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0.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4.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2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25.xml"/>
  <Override ContentType="application/vnd.openxmlformats-officedocument.drawing+xml" PartName="/xl/drawings/drawing21.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22.xml"/>
  <Override ContentType="application/vnd.openxmlformats-officedocument.drawing+xml" PartName="/xl/drawings/drawing10.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23.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5.xml"/>
  <Override ContentType="application/vnd.openxmlformats-officedocument.drawing+xml" PartName="/xl/drawings/drawing24.xml"/>
  <Override ContentType="application/vnd.openxmlformats-officedocument.drawing+xml" PartName="/xl/drawings/drawing11.xml"/>
  <Override ContentType="application/vnd.openxmlformats-officedocument.drawing+xml" PartName="/xl/drawings/drawing20.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Torre admin" sheetId="2" r:id="rId5"/>
    <sheet state="visible" name="Monitor Admin" sheetId="3" r:id="rId6"/>
    <sheet state="visible" name="DiscoSolido Admin" sheetId="4" r:id="rId7"/>
    <sheet state="visible" name="Disco duro interno Admin" sheetId="5" r:id="rId8"/>
    <sheet state="visible" name="ram Admin" sheetId="6" r:id="rId9"/>
    <sheet state="visible" name="Servidor Admin" sheetId="7" r:id="rId10"/>
    <sheet state="visible" name="Teclado Admin" sheetId="8" r:id="rId11"/>
    <sheet state="visible" name="Mouse Admin" sheetId="9" r:id="rId12"/>
    <sheet state="visible" name="Portatil Nosotros" sheetId="10" r:id="rId13"/>
    <sheet state="visible" name="Monitor Nosotros" sheetId="11" r:id="rId14"/>
    <sheet state="visible" name=" Disco mecanico Nosotros" sheetId="12" r:id="rId15"/>
    <sheet state="visible" name=" Servidor Nosotros" sheetId="13" r:id="rId16"/>
    <sheet state="visible" name=" ram nosotros" sheetId="14" r:id="rId17"/>
    <sheet state="visible" name="Consolidado" sheetId="15" r:id="rId18"/>
    <sheet state="visible" name="Tarjeta de video nosotros" sheetId="16" r:id="rId19"/>
    <sheet state="visible" name="Procesador Nosotros" sheetId="17" r:id="rId20"/>
    <sheet state="visible" name="Teclado nosostros " sheetId="18" r:id="rId21"/>
    <sheet state="visible" name="Mouse nosotros" sheetId="19" r:id="rId22"/>
    <sheet state="visible" name="software licencia" sheetId="20" r:id="rId23"/>
    <sheet state="visible" name="licencia visual" sheetId="21" r:id="rId24"/>
    <sheet state="visible" name="windows 11 licencia" sheetId="22" r:id="rId25"/>
    <sheet state="visible" name="licencia SQL" sheetId="23" r:id="rId26"/>
    <sheet state="visible" name="ParaFiscales" sheetId="24" r:id="rId27"/>
    <sheet state="visible" name="Gastos de Personal" sheetId="25" r:id="rId28"/>
  </sheets>
  <definedNames/>
  <calcPr/>
  <extLst>
    <ext uri="GoogleSheetsCustomDataVersion2">
      <go:sheetsCustomData xmlns:go="http://customooxmlschemas.google.com/" r:id="rId29" roundtripDataChecksum="n21SGdxOVd96yFQJ8nKgUoOYkjRylKxmNWeZTtkwdF4="/>
    </ext>
  </extLst>
</workbook>
</file>

<file path=xl/sharedStrings.xml><?xml version="1.0" encoding="utf-8"?>
<sst xmlns="http://schemas.openxmlformats.org/spreadsheetml/2006/main" count="1055" uniqueCount="594">
  <si>
    <t>Elaboración Propuesta Fichas Tecnicas</t>
  </si>
  <si>
    <t xml:space="preserve">Integrantes: </t>
  </si>
  <si>
    <t>Maria Camila Molina Rincon</t>
  </si>
  <si>
    <t>Johan Esteban Casquete Reina</t>
  </si>
  <si>
    <t>Melany Vanneza pinzon laserna</t>
  </si>
  <si>
    <t>Andres Felipe Reyes Saenz</t>
  </si>
  <si>
    <t xml:space="preserve">Julian Arley Moreno Maldonado                                       
</t>
  </si>
  <si>
    <t>Roles del  Spa: Administrador, Recepcionista, Empleados, Cliente</t>
  </si>
  <si>
    <t xml:space="preserve">Control de invetario para </t>
  </si>
  <si>
    <t>ADSO</t>
  </si>
  <si>
    <t>CUADRO DE COTIZACIONES</t>
  </si>
  <si>
    <t xml:space="preserve">Cuadro Comparativo de Cotizaciones </t>
  </si>
  <si>
    <t xml:space="preserve">Presupuestos (a)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</si>
  <si>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</si>
  <si>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</si>
  <si>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</si>
  <si>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</si>
  <si>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</si>
  <si>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</si>
  <si>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t>Tipo de cambio</t>
  </si>
  <si>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</si>
  <si>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</si>
  <si>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Nº 1</t>
  </si>
  <si>
    <t>Computadores y Partes Tigertech s.a.s</t>
  </si>
  <si>
    <t>901.456.832-7. Cra. 16a #78-79 of 607, Chapinero, Bogotá. 3195753830</t>
  </si>
  <si>
    <t>PC GAMER AMD RYZEN 5 5600G A520M WIFI 16GB 512 M2 VEGA 7</t>
  </si>
  <si>
    <t>$1.970.000</t>
  </si>
  <si>
    <t>$533,87</t>
  </si>
  <si>
    <t>3.690,16</t>
  </si>
  <si>
    <t>Efectivo y Transferencias</t>
  </si>
  <si>
    <t>Precio solo Efectivo, con tarjeta el valor sube hasta un 19%</t>
  </si>
  <si>
    <t xml:space="preserve">Nº2 </t>
  </si>
  <si>
    <t>Power Deal S.A.S</t>
  </si>
  <si>
    <t>900.190.657-7.Cra 15 77-05 oficina 320. 3204705000</t>
  </si>
  <si>
    <t>TORRE KRAKEN R5 / ANTEC  VCX30 + 5 ARGB / RYZ 5 5600G + A520M + 16GB DDR4 + 512 NVMe + 450W</t>
  </si>
  <si>
    <t>$2.079.000</t>
  </si>
  <si>
    <t>$563,40</t>
  </si>
  <si>
    <t>3.690,17</t>
  </si>
  <si>
    <t>Efectivo y Tarjetas</t>
  </si>
  <si>
    <t>Precio Sin envios y sujeto a descuentos de la empresa</t>
  </si>
  <si>
    <t>Nº 3</t>
  </si>
  <si>
    <t>Gtech Systems S A S</t>
  </si>
  <si>
    <t>900.870.551-3. CL 47 # 13 - 15 AP 501. 3196262690</t>
  </si>
  <si>
    <t xml:space="preserve">PC Monster A: Ryzen 5 5600G 8 Threads, Vega Graphics, 16GB DDR4, NVMe 512 </t>
  </si>
  <si>
    <t>$546,60</t>
  </si>
  <si>
    <t>3.690,18</t>
  </si>
  <si>
    <t>Precio con tarjeta, pagos con efectivo llevan un descuento de 3%</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</si>
  <si>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</si>
  <si>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</si>
  <si>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Arial"/>
        <b/>
        <color theme="1"/>
        <sz val="10.0"/>
      </rPr>
      <t>Empresa</t>
    </r>
    <r>
      <rPr>
        <rFont val="Arial"/>
        <b val="0"/>
        <i/>
        <color theme="1"/>
        <sz val="10.0"/>
      </rPr>
      <t xml:space="preserve">
(Nombre fiscal de la empresa)</t>
    </r>
  </si>
  <si>
    <r>
      <rPr>
        <rFont val="Trebuchet MS"/>
        <b/>
        <color theme="1"/>
        <sz val="10.0"/>
      </rPr>
      <t>NIT Dirección, Teléfono</t>
    </r>
    <r>
      <rPr>
        <rFont val="Trebuchet MS"/>
        <b val="0"/>
        <i/>
        <color theme="1"/>
        <sz val="10.0"/>
      </rPr>
      <t xml:space="preserve">
</t>
    </r>
  </si>
  <si>
    <r>
      <rPr>
        <rFont val="Arial"/>
        <b/>
        <color theme="1"/>
        <sz val="10.0"/>
      </rPr>
      <t>Descripción del
bien/ servicio (b)</t>
    </r>
    <r>
      <rPr>
        <rFont val="Arial"/>
        <b val="0"/>
        <i/>
        <color theme="1"/>
        <sz val="10.0"/>
      </rPr>
      <t xml:space="preserve">
Características de los bienes/ servicios</t>
    </r>
  </si>
  <si>
    <r>
      <rPr>
        <rFont val="Arial"/>
        <b/>
        <color theme="1"/>
        <sz val="10.0"/>
      </rPr>
      <t xml:space="preserve">Importe Unitario
</t>
    </r>
    <r>
      <rPr>
        <rFont val="Arial"/>
        <b val="0"/>
        <i/>
        <color theme="1"/>
        <sz val="10.0"/>
      </rPr>
      <t>(moneda nacional)</t>
    </r>
  </si>
  <si>
    <r>
      <rPr>
        <rFont val="Arial"/>
        <b/>
        <color theme="1"/>
        <sz val="10.0"/>
        <u/>
      </rPr>
      <t xml:space="preserve">Importe Total
 IVA incluido
</t>
    </r>
    <r>
      <rPr>
        <rFont val="Arial"/>
        <b val="0"/>
        <i/>
        <color theme="1"/>
        <sz val="10.0"/>
        <u/>
      </rPr>
      <t>(moneda nacional)</t>
    </r>
  </si>
  <si>
    <r>
      <rPr>
        <rFont val="Arial"/>
        <b/>
        <color theme="1"/>
        <sz val="10.0"/>
      </rPr>
      <t xml:space="preserve">Importe Total
</t>
    </r>
    <r>
      <rPr>
        <rFont val="Arial"/>
        <b val="0"/>
        <i/>
        <color theme="1"/>
        <sz val="10.0"/>
      </rPr>
      <t>(moneda extranjera)</t>
    </r>
  </si>
  <si>
    <r>
      <rPr>
        <rFont val="Arial"/>
        <b/>
        <color theme="1"/>
        <sz val="10.0"/>
      </rPr>
      <t xml:space="preserve">Forma de Pago 
</t>
    </r>
    <r>
      <rPr>
        <rFont val="Arial"/>
        <b val="0"/>
        <i/>
        <color theme="1"/>
        <sz val="10.0"/>
      </rPr>
      <t>(Contado o Cheque)</t>
    </r>
  </si>
  <si>
    <r>
      <rPr>
        <rFont val="Arial"/>
        <b/>
        <color theme="1"/>
        <sz val="10.0"/>
      </rPr>
      <t xml:space="preserve">Observaciones </t>
    </r>
    <r>
      <rPr>
        <rFont val="Arial"/>
        <b val="0"/>
        <i/>
        <color theme="1"/>
        <sz val="10.0"/>
      </rPr>
      <t xml:space="preserve">
(se debe incluir toda aquella característica que no ha sido posible incluir anteriormente)</t>
    </r>
  </si>
  <si>
    <t>MONITOR ASUS 22 VP229HF 1080 100HZ FHD</t>
  </si>
  <si>
    <t>MONITOR ACER 22" EK220Q 100Hz 1Ms 1920 X 1080 VA HDMI + VGA</t>
  </si>
  <si>
    <t>Monitor Gamer IPS Iceberg SPECMAX 24″ 1ms 100Hz GSync FreeSync HDMI FullHD G24V3</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</si>
  <si>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</si>
  <si>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</si>
  <si>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</si>
  <si>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</si>
  <si>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</si>
  <si>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</si>
  <si>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</si>
  <si>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</si>
  <si>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</si>
  <si>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</si>
  <si>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Todo Tintas y Suministros</t>
  </si>
  <si>
    <t>830031519. CR 69 K NO. 69-35. 313 854 6796</t>
  </si>
  <si>
    <t>Unidad solida M2 Xpress Legend 710 de 512 Gb Adata</t>
  </si>
  <si>
    <t>$ 327.000</t>
  </si>
  <si>
    <t>$88,62</t>
  </si>
  <si>
    <t>Frontier</t>
  </si>
  <si>
    <t>800015163-1. Calle 10 Sur No. 48A-55 . (4) 448 5100</t>
  </si>
  <si>
    <t>Disco de Estado Sólido 2.5 512GB SATA XUE® BLINK S500/512 550MB/S</t>
  </si>
  <si>
    <t>$ 356,663</t>
  </si>
  <si>
    <t>$96,65</t>
  </si>
  <si>
    <t>SYSTORE COLOMBIA</t>
  </si>
  <si>
    <t>901450245. Cr 15 # 77 05 Local 258, (314) 251 26 38</t>
  </si>
  <si>
    <t>Disco Sòlido 512gb Lexar NS100 Sata3 LNS100-512RBNA</t>
  </si>
  <si>
    <t>370.000 $</t>
  </si>
  <si>
    <t>$100,27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</si>
  <si>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</si>
  <si>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</si>
  <si>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</si>
  <si>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</si>
  <si>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</si>
  <si>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</si>
  <si>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</si>
  <si>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</si>
  <si>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</si>
  <si>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</si>
  <si>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$295.000</t>
  </si>
  <si>
    <t>$295.001</t>
  </si>
  <si>
    <t>$79,94</t>
  </si>
  <si>
    <t>Disco de Estado Sólido SSD SanDisk Plus 500GB M.2 NVMe PCIe 3.0</t>
  </si>
  <si>
    <t>$ 373,745</t>
  </si>
  <si>
    <t>$101,28</t>
  </si>
  <si>
    <t>Disco Solido M.2 Nvme 512gb Adata Legend 700 ALEG-700-512GCS</t>
  </si>
  <si>
    <t>395.000 $</t>
  </si>
  <si>
    <t>$107,04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</si>
  <si>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</si>
  <si>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</si>
  <si>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</si>
  <si>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</si>
  <si>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</si>
  <si>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</si>
  <si>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</si>
  <si>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</si>
  <si>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</si>
  <si>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</si>
  <si>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Memoria RAM ADATA 16Gb DDR4 3200 PC</t>
  </si>
  <si>
    <t>$ 448.000</t>
  </si>
  <si>
    <t>$121,41</t>
  </si>
  <si>
    <t>Memoria Ram para PC DDR4 16GB Kingston 3200mhz</t>
  </si>
  <si>
    <t>$ 330,709</t>
  </si>
  <si>
    <t>$89,45</t>
  </si>
  <si>
    <t>Memoria Ram Ddr4 Pc 16Gb Kingston 2666Mhz KVR26N17S8/16</t>
  </si>
  <si>
    <t>495.000 $</t>
  </si>
  <si>
    <t>$134,14</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</si>
  <si>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</si>
  <si>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</si>
  <si>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</si>
  <si>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</si>
  <si>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</si>
  <si>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</si>
  <si>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</si>
  <si>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</si>
  <si>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</si>
  <si>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</si>
  <si>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donweb</t>
  </si>
  <si>
    <t>901292649-1 CARRERA 87 147 B 25 CA 33, 6014602708</t>
  </si>
  <si>
    <t xml:space="preserve">Servicio de hosting de Paginas web </t>
  </si>
  <si>
    <t>$11.500</t>
  </si>
  <si>
    <t>$3,12</t>
  </si>
  <si>
    <t>Tarjeta</t>
  </si>
  <si>
    <t>200GB de almacenamiento NVMe, Dominio .COM.CO GRATIS, Cuentas de correo ILIMITADO</t>
  </si>
  <si>
    <t>HostGator</t>
  </si>
  <si>
    <t>No cuenta con NIT, HostGator es una sociedad privada que opera bajo las leyes de Texas</t>
  </si>
  <si>
    <t>$11.200</t>
  </si>
  <si>
    <t>$3,04</t>
  </si>
  <si>
    <t>25 GB de almacenamiento NVMe, Agente de IA, Backup Diario, Correos ilimitados</t>
  </si>
  <si>
    <t>Hostinger</t>
  </si>
  <si>
    <t>No posee NIT pues no se encuentra registrada en la dian, ubicacion principal Vilnius, Lituania</t>
  </si>
  <si>
    <t>$11.900</t>
  </si>
  <si>
    <t>$3,22</t>
  </si>
  <si>
    <t>50 GB del almacenamiento NVMe, Backups diarios, Agente de IA, permite creacion de multiples sitios web</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</si>
  <si>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</si>
  <si>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</si>
  <si>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rgb="FF000000"/>
        <sz val="10.0"/>
      </rPr>
      <t>Empresa</t>
    </r>
    <r>
      <rPr>
        <rFont val="Trebuchet MS"/>
        <b val="0"/>
        <i/>
        <color rgb="FF000000"/>
        <sz val="8.0"/>
      </rPr>
      <t xml:space="preserve">
(Nombre fiscal de la empresa)</t>
    </r>
  </si>
  <si>
    <r>
      <rPr>
        <rFont val="Trebuchet MS"/>
        <b/>
        <color rgb="FF000000"/>
        <sz val="10.0"/>
      </rPr>
      <t>NIT Dirección, Teléfono</t>
    </r>
    <r>
      <rPr>
        <rFont val="Trebuchet MS"/>
        <b val="0"/>
        <i/>
        <color rgb="FF000000"/>
        <sz val="10.0"/>
      </rPr>
      <t xml:space="preserve">
</t>
    </r>
  </si>
  <si>
    <r>
      <rPr>
        <rFont val="Trebuchet MS"/>
        <b/>
        <color rgb="FF000000"/>
        <sz val="10.0"/>
      </rPr>
      <t>Descripción del
bien/ servicio (b)</t>
    </r>
    <r>
      <rPr>
        <rFont val="Trebuchet MS"/>
        <b val="0"/>
        <i/>
        <color rgb="FF000000"/>
        <sz val="10.0"/>
      </rPr>
      <t xml:space="preserve">
</t>
    </r>
    <r>
      <rPr>
        <rFont val="Trebuchet MS"/>
        <b val="0"/>
        <i/>
        <color rgb="FF000000"/>
        <sz val="8.0"/>
      </rPr>
      <t>Características de los bienes/ servicios</t>
    </r>
  </si>
  <si>
    <r>
      <rPr>
        <rFont val="Trebuchet MS"/>
        <b/>
        <color rgb="FF000000"/>
        <sz val="10.0"/>
      </rPr>
      <t xml:space="preserve">Importe Unitario
</t>
    </r>
    <r>
      <rPr>
        <rFont val="Trebuchet MS"/>
        <b val="0"/>
        <i/>
        <color rgb="FF000000"/>
        <sz val="8.0"/>
      </rPr>
      <t>(moneda nacional)</t>
    </r>
  </si>
  <si>
    <r>
      <rPr>
        <rFont val="Trebuchet MS"/>
        <b/>
        <color rgb="FF000000"/>
        <sz val="10.0"/>
        <u/>
      </rPr>
      <t>Importe Total</t>
    </r>
    <r>
      <rPr>
        <rFont val="Trebuchet MS"/>
        <b/>
        <color rgb="FF000000"/>
        <sz val="10.0"/>
        <u/>
      </rPr>
      <t xml:space="preserve">
 IVA incluido
</t>
    </r>
    <r>
      <rPr>
        <rFont val="Trebuchet MS"/>
        <b val="0"/>
        <i/>
        <color rgb="FF000000"/>
        <sz val="8.0"/>
        <u/>
      </rPr>
      <t>(moneda nacional)</t>
    </r>
  </si>
  <si>
    <r>
      <rPr>
        <rFont val="Arial"/>
        <b/>
        <color rgb="FF000000"/>
        <sz val="10.0"/>
      </rPr>
      <t xml:space="preserve">Importe Total
</t>
    </r>
    <r>
      <rPr>
        <rFont val="Arial"/>
        <b val="0"/>
        <i/>
        <color rgb="FF000000"/>
        <sz val="8.0"/>
      </rPr>
      <t>(moneda extranjera)</t>
    </r>
  </si>
  <si>
    <r>
      <rPr>
        <rFont val="Trebuchet MS"/>
        <b/>
        <color rgb="FF000000"/>
        <sz val="10.0"/>
      </rPr>
      <t xml:space="preserve">Forma de Pago 
</t>
    </r>
    <r>
      <rPr>
        <rFont val="Trebuchet MS"/>
        <b val="0"/>
        <i/>
        <color rgb="FF000000"/>
        <sz val="8.0"/>
      </rPr>
      <t>(Contado o Cheque)</t>
    </r>
  </si>
  <si>
    <r>
      <rPr>
        <rFont val="Trebuchet MS"/>
        <b/>
        <color rgb="FF000000"/>
        <sz val="10.0"/>
      </rPr>
      <t xml:space="preserve">Observaciones </t>
    </r>
    <r>
      <rPr>
        <rFont val="Trebuchet MS"/>
        <b val="0"/>
        <i/>
        <color rgb="FF000000"/>
        <sz val="10.0"/>
      </rPr>
      <t xml:space="preserve">
</t>
    </r>
    <r>
      <rPr>
        <rFont val="Trebuchet MS"/>
        <b val="0"/>
        <i/>
        <color rgb="FF000000"/>
        <sz val="8.0"/>
      </rPr>
      <t>(se debe incluir toda aquella característica que no ha sido posible incluir anteriormente)</t>
    </r>
  </si>
  <si>
    <t xml:space="preserve"> Almacenes Éxito S.A</t>
  </si>
  <si>
    <t>890.900.943-1 Cra. 68b #25B-80, Bogotá (601) 407 3033</t>
  </si>
  <si>
    <t>Teclado ESENSES Alámbrico BK-108 Negro</t>
  </si>
  <si>
    <t>39.900</t>
  </si>
  <si>
    <t>$10,81</t>
  </si>
  <si>
    <t>Efectivo(en el almacen), targeta, PSE</t>
  </si>
  <si>
    <t>Colombiana de Comercio S.A</t>
  </si>
  <si>
    <t>890.900.608-9 Cra. 90 #60, Bogotá (1) 745 5444</t>
  </si>
  <si>
    <t>Teclado Hp 125 Alámbrico Usb Negro Español</t>
  </si>
  <si>
    <t>CENCOSUD COLOMBIA S.A</t>
  </si>
  <si>
    <t>900.155.107-1 Avenida 9 # 125-30, Bogotá, Colombia 601 348 9888</t>
  </si>
  <si>
    <t>Teclado USB Jaltech forza KB 05</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</si>
  <si>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</si>
  <si>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</si>
  <si>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</si>
  <si>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</si>
  <si>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</si>
  <si>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</si>
  <si>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</si>
  <si>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</si>
  <si>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</si>
  <si>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</si>
  <si>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Mouse LENOVO Alámbrico Óptico 300 Negro</t>
  </si>
  <si>
    <t>$29.900</t>
  </si>
  <si>
    <t>$8,10</t>
  </si>
  <si>
    <t>Mouse Usb Logitech M90 Negro</t>
  </si>
  <si>
    <t>$ 24.900</t>
  </si>
  <si>
    <t>$ 29.900</t>
  </si>
  <si>
    <t>Mouse HP 100 alámbrico Negro</t>
  </si>
  <si>
    <t xml:space="preserve">CONTADO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</si>
  <si>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</si>
  <si>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</si>
  <si>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</si>
  <si>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</si>
  <si>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</si>
  <si>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</si>
  <si>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</si>
  <si>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</si>
  <si>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</si>
  <si>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</si>
  <si>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</si>
  <si>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</si>
  <si>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t>830067394-6 Carrera 17 No. 93 - 09, Bogotá D.C.MercadoLibre</t>
  </si>
  <si>
    <r>
      <rPr>
        <rFont val="Arial"/>
        <color rgb="FF000000"/>
        <sz val="10.0"/>
      </rPr>
      <t xml:space="preserve">Portátil Hp 15-fc0272la Amd Ryzen 7 16 Gb De Ram 512 Gb Ssd  </t>
    </r>
    <r>
      <rPr>
        <rFont val="Arial"/>
        <color rgb="FF1155CC"/>
        <sz val="10.0"/>
        <u/>
      </rPr>
      <t>https://www.mercadolibre.com.co/portatil-hp-15fc0260la-r57520u-8gb-1tb-ssd-w11/up/MCOU3414562067#polycard_client=search-desktop&amp;search_layout=grid&amp;position=45&amp;type=product&amp;tracking_id=0c1bb0a9-ac8d-43b7-8fd1-87587f3ec486&amp;wid=MCO3120823028&amp;sid=search</t>
    </r>
  </si>
  <si>
    <t>3.679,25</t>
  </si>
  <si>
    <t>Mercado Pago: Saldo disponible en la cuenta de Mercado Pago.Tarjetas de Débito: Visa y Mastercard.</t>
  </si>
  <si>
    <t>1 año de garantía</t>
  </si>
  <si>
    <t>Panamericana</t>
  </si>
  <si>
    <t>Panamericana Librería y Papelería S.A. (Colombia) 830037946</t>
  </si>
  <si>
    <r>
      <rPr>
        <rFont val="Lato, Logitech, FuturaStd, Branding, Avigea, sans-serif"/>
        <color rgb="FF000000"/>
      </rPr>
      <t xml:space="preserve">Portátil Acer Aspire Go de 15.6", Intel Ci5 13420H, RAM 16 GB, 512 GB SSD, W11 </t>
    </r>
    <r>
      <rPr>
        <rFont val="Lato, Logitech, FuturaStd, Branding, Avigea, sans-serif"/>
        <color rgb="FF1155CC"/>
        <u/>
      </rPr>
      <t>https://www.panamericana.com.co/portatil-acer-aspire-go-de-15-6-intel-ci5-13420h-ram-16-gb-512gb-ssd-w11-721022/p?srsltid=AfmBOorSE7BB_BCG3W_AEhEnNHiu88VyaZDwv2a78r36L-vN7R7w4uIp</t>
    </r>
  </si>
  <si>
    <t>3.679,26</t>
  </si>
  <si>
    <t>ago en una sola exhibición o PPD - Pago en parcialidades o diferido</t>
  </si>
  <si>
    <r>
      <rPr>
        <rFont val="&quot;Proxima Nova&quot;, -apple-system, Roboto, Arial, sans-serif"/>
        <color rgb="FF000000"/>
        <sz val="11.0"/>
      </rPr>
      <t xml:space="preserve">Portatil Asus Vivobook 15 Amd Ryzen 7 16gb 512gb Windows 11 Plateado </t>
    </r>
    <r>
      <rPr>
        <rFont val="&quot;Proxima Nova&quot;, -apple-system, Roboto, Arial, sans-serif"/>
        <color rgb="FF1155CC"/>
        <sz val="11.0"/>
        <u/>
      </rPr>
      <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t>
    </r>
  </si>
  <si>
    <t>3.679,27</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</si>
  <si>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</si>
  <si>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</si>
  <si>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</si>
  <si>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</si>
  <si>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</si>
  <si>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</si>
  <si>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</si>
  <si>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</si>
  <si>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</si>
  <si>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</si>
  <si>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Amazon</t>
  </si>
  <si>
    <t>901180732-2 901003327 Ambos registrados en Bogotá, D.C.</t>
  </si>
  <si>
    <r>
      <rPr>
        <rFont val="Arial"/>
        <color rgb="FF0F1111"/>
      </rPr>
      <t xml:space="preserve">Acer Monitor de 27 pulgadas - Pantalla FHD IPS KB272-27 pulgadas (1920 x 1080), frecuencia de actualización de hasta 120 Hz, 99% sRGB, inclinación, compatibilidad de sincronización adaptativa </t>
    </r>
    <r>
      <rPr>
        <rFont val="Arial"/>
        <color rgb="FF1155CC"/>
        <u/>
      </rPr>
      <t>https://www.amazon.com/Acer-Monitor-pulgadas-compatibilidad-sincronizaci%C3%B3n/dp/B0D9MK23S7?th=1&amp;language=es_US&amp;currency=COP</t>
    </r>
  </si>
  <si>
    <t>Tarjetas de Crédito y Débito: Visa, Mastercard y American Express. Amazon Recargable: Tarjeta prepagada propia de Amazon. Pago en Efectivo: En tiendas OXXO y otros establecimientos participantes (se genera un código de barras).</t>
  </si>
  <si>
    <t>30 días a  1 año de garantia</t>
  </si>
  <si>
    <t xml:space="preserve">Mercado Libre </t>
  </si>
  <si>
    <r>
      <rPr>
        <rFont val="&quot;Proxima Nova&quot;, -apple-system, Roboto, Arial, sans-serif"/>
        <color rgb="FF000000"/>
        <sz val="10.0"/>
      </rPr>
      <t xml:space="preserve">Monitor Aoc 22b35hm23 Led Full Hd 22 120hz Con Hdmi Y Vga Negro </t>
    </r>
    <r>
      <rPr>
        <rFont val="&quot;Proxima Nova&quot;, -apple-system, Roboto, Arial, sans-serif"/>
        <color rgb="FF1155CC"/>
        <sz val="10.0"/>
        <u/>
      </rPr>
      <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t>
    </r>
  </si>
  <si>
    <t>Falabella</t>
  </si>
  <si>
    <t>900.017.447-8, 57 1 587 7776, Calle 99 # 11A – 32</t>
  </si>
  <si>
    <r>
      <rPr>
        <rFont val="Lato, sans-serif"/>
        <color rgb="FF262626"/>
        <sz val="10.0"/>
      </rPr>
      <t xml:space="preserve">Monitor Samsung Essential 24 S33GF FHD HDMI VGA 100Hz </t>
    </r>
    <r>
      <rPr>
        <rFont val="Lato, sans-serif"/>
        <color rgb="FF1155CC"/>
        <sz val="10.0"/>
        <u/>
      </rPr>
      <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t>
    </r>
  </si>
  <si>
    <t>Tarjetas de Crédito y Débito: Visa, Mastercard, American Express, Discover.
Plataformas de pago: PayPal y Google Pay.
Financiación: HP ofrece opciones de financiamiento para la compra de equipos.</t>
  </si>
  <si>
    <t xml:space="preserve">1 año de garantía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</si>
  <si>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</si>
  <si>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</si>
  <si>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 xml:space="preserve">M </t>
  </si>
  <si>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</si>
  <si>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</si>
  <si>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</si>
  <si>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</si>
  <si>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</si>
  <si>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</si>
  <si>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</si>
  <si>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</si>
  <si>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quot;Proxima Nova&quot;, -apple-system, Roboto, Arial, sans-serif"/>
        <color rgb="FF000000"/>
        <sz val="10.0"/>
      </rPr>
      <t xml:space="preserve">Disco duro interno Seagate Barracuda  ST1000dm010 1TB </t>
    </r>
    <r>
      <rPr>
        <rFont val="&quot;Proxima Nova&quot;, -apple-system, Roboto, Arial, sans-serif"/>
        <color rgb="FF1155CC"/>
        <sz val="10.0"/>
        <u/>
      </rPr>
      <t>https://articulo.mercadolibre.com.co/MCO-639015765-disco-duro-interno-seagate-barracuda-1tb-_JM#polycard_client=search-desktop&amp;search_layout=grid&amp;position=8&amp;type=item&amp;tracking_id=acb2fb39-cf45-4602-b246-b0364def2165&amp;wid=MCO639015765&amp;sid=search</t>
    </r>
  </si>
  <si>
    <t>Garantia de 1 mes (del vendedor)</t>
  </si>
  <si>
    <r>
      <rPr>
        <rFont val="Arial"/>
        <color theme="1"/>
        <sz val="10.0"/>
      </rPr>
      <t xml:space="preserve">Disco duro para pc 1tb western digital - wd10ezex </t>
    </r>
    <r>
      <rPr>
        <rFont val="Arial"/>
        <color rgb="FF1155CC"/>
        <sz val="10.0"/>
        <u/>
      </rPr>
      <t>https://www.falabella.com.co/falabella-co/product/118334759/Disco-duro-para-pc-1tb-western-digital-wd10ezex/118334761</t>
    </r>
  </si>
  <si>
    <t>tarjeta Falabella, tarjeta credito, efectivo</t>
  </si>
  <si>
    <t>Tienes 5 días hábiles para devolver por ley. Tienes 30 días calendario desde que recibes el producto para pedir su devolución.</t>
  </si>
  <si>
    <r>
      <rPr>
        <rFont val="&quot;Titillium Web&quot;, Arial, Helvetica, sans-serif"/>
        <color rgb="FF000000"/>
        <sz val="10.0"/>
      </rPr>
      <t xml:space="preserve">Disco Duro Externo Portatil Toshiba 1 Tb Usb 3.0 Color Negro </t>
    </r>
    <r>
      <rPr>
        <rFont val="&quot;Titillium Web&quot;, Arial, Helvetica, sans-serif"/>
        <color rgb="FF1155CC"/>
        <sz val="10.0"/>
        <u/>
      </rPr>
      <t>https://www.mercadolibre.com.co/disco-duro-externo-portatil-toshiba-1-tb-usb-30-color-negro/p/MCO32418108#polycard_client=search-desktop&amp;search_layout=grid&amp;position=2&amp;type=product&amp;tracking_id=375dd9e9-ff10-4881-9fb7-5ff648a18285&amp;wid=MCO2330174032&amp;sid=search</t>
    </r>
  </si>
  <si>
    <t xml:space="preserve">1 mes para devolucion </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</si>
  <si>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</si>
  <si>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</si>
  <si>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</si>
  <si>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</si>
  <si>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</si>
  <si>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</si>
  <si>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</si>
  <si>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</si>
  <si>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</si>
  <si>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</si>
  <si>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Bluehost</t>
  </si>
  <si>
    <t>Headquarters: Jacksonville, Florida.
Company Entity: Owned by Newfold Digital.
Support &amp; Sales Contact: 1-855-372-3679.</t>
  </si>
  <si>
    <r>
      <rPr>
        <rFont val="Arial"/>
        <color rgb="FF000000"/>
        <sz val="10.0"/>
      </rPr>
      <t xml:space="preserve">Ofrece hosting compartido, hosting dedicado y servidores virtuales privados (VPS). Además, incluye registro de dominios, correos electrónicos profesionales, creadores de sitios web (con IA) y certificados SSL.  </t>
    </r>
    <r>
      <rPr>
        <rFont val="Arial"/>
        <color rgb="FF1155CC"/>
        <sz val="10.0"/>
        <u/>
      </rPr>
      <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t>
    </r>
  </si>
  <si>
    <t xml:space="preserve"> 0,94</t>
  </si>
  <si>
    <t>Tarjetas de crédito y débito: VISA, MasterCard, American Express, Discover.
PayPal: Se puede usar para pagos únicos y renovaciones automáticas.</t>
  </si>
  <si>
    <t>Renovación automática: Por defecto, Bluehost renueva automáticamente los servidores dedicados, intentando realizar el cargo 15 días antes del vencimiento utilizando el método de pago registrado.</t>
  </si>
  <si>
    <t>CasaOS/Ubuntu Server</t>
  </si>
  <si>
    <t xml:space="preserve">La combinación deCasaOS sobre Ubuntu transforma un ordenador o servidor (incluidos mini PCs y Raspberry Pi) en una nube privada, un NAS (almacenamiento en red) o un servidor doméstico de alto rendimiento, gestionado a través de una interfaz gráfica moderna y sencilla. </t>
  </si>
  <si>
    <r>
      <rPr>
        <rFont val="Arial"/>
        <color rgb="FF000000"/>
        <sz val="10.0"/>
      </rPr>
      <t xml:space="preserve">La combinación de CasaOS sobre Ubuntu Server es una solución popular para montar un servidor doméstico (homelab) o nube privada. Básicamente, utiliza la potencia y estabilidad de Ubuntu Server como base, y añade la interfaz gráfica intuitiva de CasaOS para gestionar aplicaciones y contenedores Docker sin necesidad de usar la línea de comandos.  </t>
    </r>
    <r>
      <rPr>
        <rFont val="Arial"/>
        <color rgb="FF1155CC"/>
        <sz val="10.0"/>
        <u/>
      </rPr>
      <t>https://casaos.zimaspace.com/</t>
    </r>
  </si>
  <si>
    <t xml:space="preserve"> no tiene costo de licencia</t>
  </si>
  <si>
    <t xml:space="preserve">no aplica </t>
  </si>
  <si>
    <t xml:space="preserve">por ser codigo abierto no tiene garantia </t>
  </si>
  <si>
    <t>OpenMediaVault</t>
  </si>
  <si>
    <t>OpenMediaVault (OMV)sirve principalmente como un sistema operativo basado en Debian Linux para convertir hardware genérico (como PCs viejas, servidores o Raspberry Pi) en un Servidor de Almacenamiento Conectado a la Red (NAS). Funciona como una solución gratuita y de código abierto para centralizar datos, gestionar permisos y compartir archivos en una red local o remota</t>
  </si>
  <si>
    <r>
      <rPr>
        <rFont val="Arial"/>
        <color rgb="FF000000"/>
        <sz val="10.0"/>
      </rPr>
      <t xml:space="preserve">OpenMediaVault (OMV)es una solución de almacenamiento conectado a la red (NAS) de próxima generación, basada en Debian Linux y diseñada para convertir computadoras, servidores o Raspberry Pi en servidores de almacenamiento centralizados.   </t>
    </r>
    <r>
      <rPr>
        <rFont val="Arial"/>
        <color rgb="FF1155CC"/>
        <sz val="10.0"/>
        <u/>
      </rPr>
      <t>https://www.openmediavault.org/</t>
    </r>
  </si>
  <si>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</si>
  <si>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</si>
  <si>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</si>
  <si>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</si>
  <si>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</si>
  <si>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</si>
  <si>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</si>
  <si>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</si>
  <si>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</si>
  <si>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</si>
  <si>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Mercado libre</t>
  </si>
  <si>
    <r>
      <rPr>
        <rFont val="Poppins, sans-serif"/>
        <color rgb="FF000000"/>
        <sz val="10.0"/>
      </rPr>
      <t xml:space="preserve">Memoria RAM Premier color verde 16GB 1x16GB Adata AD4S320016G22-SGN </t>
    </r>
    <r>
      <rPr>
        <rFont val="Poppins, sans-serif"/>
        <color rgb="FF1155CC"/>
        <sz val="10.0"/>
        <u/>
      </rPr>
      <t>https://www.mercadolibre.com.co/memoria-ram-premier-color-verde-16gb-1x16gb-adata-ad4s320016g22-sgn/p/MCO18724279</t>
    </r>
  </si>
  <si>
    <t>30 dias de devolucion</t>
  </si>
  <si>
    <r>
      <rPr>
        <rFont val="&quot;Proxima Nova&quot;, -apple-system, Roboto, Arial, sans-serif"/>
        <color rgb="FF000000"/>
        <sz val="10.0"/>
      </rPr>
      <t xml:space="preserve">Timetec 16gb Ddr4 2400mhz Pc4-19200  </t>
    </r>
    <r>
      <rPr>
        <rFont val="&quot;Proxima Nova&quot;, -apple-system, Roboto, Arial, sans-serif"/>
        <color rgb="FF1155CC"/>
        <sz val="10.0"/>
        <u/>
      </rPr>
      <t>https://articulo.mercadolibre.com.co/MCO-1654528271-memoria-ram-timetec-16-gb-ddr4-2400-mhz-pc4-19200-udimm-_JM#polycard_client=search-desktop&amp;search_layout=grid&amp;position=9&amp;type=item&amp;tracking_id=561495b0-af11-428d-aae5-9a47b3d95643</t>
    </r>
  </si>
  <si>
    <t>Exito</t>
  </si>
  <si>
    <t>890900.608-9, Carrera 48 N° 32B SUR 139, (604) 6049696</t>
  </si>
  <si>
    <r>
      <rPr>
        <rFont val="Poppins, Helvetica, sans-serif"/>
        <color rgb="FF231F20"/>
        <sz val="10.0"/>
      </rPr>
      <t xml:space="preserve">Memoria Ram 16Gb Ddr4 3200Mhz Attech </t>
    </r>
    <r>
      <rPr>
        <rFont val="Poppins, Helvetica, sans-serif"/>
        <color rgb="FF1155CC"/>
        <sz val="10.0"/>
        <u/>
      </rPr>
      <t>https://www.exito.com/memoria-ram-16gb-ddr4-3200mhz-attech-para-portatil-104852224-mp/p</t>
    </r>
  </si>
  <si>
    <t>tarjetas Éxito, tarjetas débito/crédito, PSE, Nequi, Puntos Colombia, Addi y pago contra entrega</t>
  </si>
  <si>
    <t>12 meses de garantia</t>
  </si>
  <si>
    <t>Memoria Ram 16Gb Ddr4 3200Mhz Attech Para Portatil</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</si>
  <si>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</si>
  <si>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</si>
  <si>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Datos del cliente</t>
  </si>
  <si>
    <t>Nombre:</t>
  </si>
  <si>
    <t>Spa New Boys</t>
  </si>
  <si>
    <t>NIT:</t>
  </si>
  <si>
    <t>901.456.782-3</t>
  </si>
  <si>
    <t>Dirección:</t>
  </si>
  <si>
    <t>Cra 80 #70-22, Bogotá</t>
  </si>
  <si>
    <t>Teléfono:</t>
  </si>
  <si>
    <t>312 456 7890</t>
  </si>
  <si>
    <t>Datos del equipo</t>
  </si>
  <si>
    <t>Marca</t>
  </si>
  <si>
    <t>Modelo</t>
  </si>
  <si>
    <t>Sistema Operativo</t>
  </si>
  <si>
    <t>Descripcion</t>
  </si>
  <si>
    <t>Estado</t>
  </si>
  <si>
    <t>Justificación</t>
  </si>
  <si>
    <t>PC GAMER AMD RYZEN 5</t>
  </si>
  <si>
    <t>A520M</t>
  </si>
  <si>
    <t>propuesto</t>
  </si>
  <si>
    <t>Se eligió por su procesador Ryzen 5 con gráficos integrados y 16GB de RAM, ofreciendo buen rendimiento y fluidez sin necesidad de tarjeta gráfica adicional. ademas de tener un percio accesible</t>
  </si>
  <si>
    <t>EK220Q</t>
  </si>
  <si>
    <t>Se seleccionó por su resolución Full HD y 100Hz, que brindan buena calidad de imagen y fluidez visual.</t>
  </si>
  <si>
    <t>BLINK S500/512.</t>
  </si>
  <si>
    <t>XUE BLINK S500/512</t>
  </si>
  <si>
    <t>Se eligió por su capacidad y mayor velocidad frente a discos duros, mejorando el rendimiento del sistema.</t>
  </si>
  <si>
    <t>Adata</t>
  </si>
  <si>
    <t>M2 Xpress Legend 710</t>
  </si>
  <si>
    <t>Se seleccionó por su alta velocidad de lectura y escritura, optimizando el rendimiento del equipo.</t>
  </si>
  <si>
    <t>ADATA Premier 16GB DDR4 3200 AD4U320016G22-SGN</t>
  </si>
  <si>
    <t>Se eligió por su capacidad de 16GB y frecuencia de 3200MHz, lo que asegura un buen desempeño en multitarea y ejecución de aplicaciones, manteniendo estabilidad y rapidez en el sistema.</t>
  </si>
  <si>
    <t xml:space="preserve">No aplica </t>
  </si>
  <si>
    <t>Se seleccionó este servicio debido a su capacidad de almacenamiento y recursos disponibles, lo que permite alojar páginas web de manera eficiente, garantizando estabilidad y buen rendimiento.</t>
  </si>
  <si>
    <t xml:space="preserve">propuesto  </t>
  </si>
  <si>
    <t>Se eligió este proveedor por su alta disponibilidad de servidores, buen rendimiento y reconocimiento en el mercado, lo que garantiza confiabilidad y soporte para proyectos web.</t>
  </si>
  <si>
    <t>Jaltech</t>
  </si>
  <si>
    <t>Teclado USB Forza Jaltech KB-05</t>
  </si>
  <si>
    <t>Se seleccionó este teclado por su diseño ergonómico y conexión USB plug-and-play, facilitando su uso sin configuraciones adicionales, además de ofrecer comodidad para largas jornadas de trabajo.</t>
  </si>
  <si>
    <t>Logitech</t>
  </si>
  <si>
    <t>Logitech M90</t>
  </si>
  <si>
    <t>Se eligió este mouse por su precisión y sensor óptico confiable, además de su diseño sencillo y cómodo que lo hace adecuado para uso continuo en tareas de oficina.</t>
  </si>
  <si>
    <t>Pc gamer esencial</t>
  </si>
  <si>
    <t>ACER</t>
  </si>
  <si>
    <t>Combo de computador</t>
  </si>
  <si>
    <t>Se seleccionó por ser un equipo completo, compatible y fácil de instalar. Ademas su precio sale mas rentable, por esto consideramos que es mejor opcion comprarlo de esta manera en lugar de por partes.</t>
  </si>
  <si>
    <t>Computador AMD Ryzen 5</t>
  </si>
  <si>
    <t>Este es una buena segunda opcion y se eligió por su buen rendimiento gracias al procesador Ryzen 5, aunque su precio es más alto frente a opciones similares.</t>
  </si>
  <si>
    <t xml:space="preserve">Portatil Asus Vivobook 15 </t>
  </si>
  <si>
    <t>ASUS</t>
  </si>
  <si>
    <t>Vivobook 15 M1502</t>
  </si>
  <si>
    <t>Propuesto</t>
  </si>
  <si>
    <t>Se eligió por su procesador Ryzen 7 y 16GB de RAM, que ofrecen un excelente rendimiento en multitarea y eficiencia energética, junto con SSD de 512GB que mejora la velocidad del sistema.</t>
  </si>
  <si>
    <t>Reporte de mantenimiento</t>
  </si>
  <si>
    <t>Firmas de comformidad</t>
  </si>
  <si>
    <t>Por el cliente</t>
  </si>
  <si>
    <t>por la empresa</t>
  </si>
  <si>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</si>
  <si>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</si>
  <si>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</si>
  <si>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</si>
  <si>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</si>
  <si>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</si>
  <si>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</si>
  <si>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</si>
  <si>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Speed Logic</t>
  </si>
  <si>
    <t>900.041.754-5, Calle 77 # 16-20.  301 7204749</t>
  </si>
  <si>
    <r>
      <rPr>
        <rFont val="Arial"/>
        <color theme="1"/>
        <sz val="10.0"/>
      </rPr>
      <t xml:space="preserve">ASUS Dual GeForce RTX™ 3050 OC Edition 6GB GDDR6 con dos potentes ventiladores Rendimiento de juegos AAA. </t>
    </r>
    <r>
      <rPr>
        <rFont val="Arial"/>
        <color rgb="FF1155CC"/>
        <sz val="10.0"/>
        <u/>
      </rPr>
      <t>https://speedlogic.com.co/tienda/tarjetas-graficas/nvidia/tarjeta-de-video-nvidia-geforce-asus-rtx-3050-dual-oc-auto-ex-6-gigas/?srsltid=AfmBOoqg_EtgLot8X-RAR43LAG-LoS0XVaSITYZSn3uMzGvlACYI0OUf</t>
    </r>
  </si>
  <si>
    <t>consignaciones bancarias (Davivienda/Bancolombia), giros nacionales (Efecty, Baloto, Pagatodo) y pagos en línea a través de PayU o EpayCO</t>
  </si>
  <si>
    <t>sin garantia</t>
  </si>
  <si>
    <r>
      <rPr>
        <rFont val="Arial"/>
        <color theme="1"/>
        <sz val="10.0"/>
      </rPr>
      <t xml:space="preserve">ASRock AMD Radeon RX 7600 Challenger 8 GB OC GDDR6 </t>
    </r>
    <r>
      <rPr>
        <rFont val="Arial"/>
        <color rgb="FF1155CC"/>
        <sz val="10.0"/>
        <u/>
      </rPr>
      <t>https://www.amazon.com/-/es/ASRock-Challenger-DisplayPort-Enfriamiento-Silencioso/dp/B0C626FFG2</t>
    </r>
  </si>
  <si>
    <t>30 dias devolucion</t>
  </si>
  <si>
    <r>
      <rPr>
        <rFont val="Arial"/>
        <color theme="1"/>
        <sz val="10.0"/>
      </rPr>
      <t xml:space="preserve">Tarjeta De Video Gigabyte Radeon Rx 7600 Gaming Oc 8g Gddr6 </t>
    </r>
    <r>
      <rPr>
        <rFont val="Arial"/>
        <color rgb="FF1155CC"/>
        <sz val="10.0"/>
        <u/>
      </rPr>
      <t>https://www.mercadolibre.com.co/tarjeta-de-video-gigabyte-radeon-rx-7600-gaming-oc-8g-gddr6/p/MCO27793940</t>
    </r>
    <r>
      <rPr>
        <rFont val="Arial"/>
        <color theme="1"/>
        <sz val="10.0"/>
      </rPr>
      <t xml:space="preserve"> 
</t>
    </r>
  </si>
  <si>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</si>
  <si>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</si>
  <si>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</si>
  <si>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</si>
  <si>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</si>
  <si>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</si>
  <si>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</si>
  <si>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</si>
  <si>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</si>
  <si>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</si>
  <si>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830067394-6 Carrera 17 No. 93 - 09, Piso 3°, Bogotá D.C.MercadoLibre</t>
  </si>
  <si>
    <r>
      <rPr>
        <rFont val="Arial"/>
        <color rgb="FF000000"/>
        <sz val="10.0"/>
      </rPr>
      <t xml:space="preserve">Procesador gamer Intel Core i5-12400F BX8071512400F de 6 núcleos y 4.4GHz de frecuencia </t>
    </r>
    <r>
      <rPr>
        <rFont val="Arial"/>
        <color rgb="FF1155CC"/>
        <sz val="10.0"/>
        <u/>
      </rPr>
      <t>https://www.mercadolibre.com.co/procesador-gamer-intel-core-i5-12400f-bx8071512400f-de-6-nucleos-y-44ghz-de-frecuencia/p/MCO18733972#polycard_client=search-desktop&amp;search_layout=grid&amp;position=5&amp;type=product&amp;tracking_id=d310df42-6d23-4042-be54-551fd42f7c86&amp;wid=MCO3713302828&amp;sid=search</t>
    </r>
  </si>
  <si>
    <t xml:space="preserve"> 30 dias de devolucion</t>
  </si>
  <si>
    <r>
      <rPr>
        <rFont val="Arial"/>
        <color rgb="FF000000"/>
        <sz val="10.0"/>
      </rPr>
      <t xml:space="preserve">Procesador AMD Ryzen 5 5600G de 6 núcleos 12 hilos </t>
    </r>
    <r>
      <rPr>
        <rFont val="Arial"/>
        <color rgb="FF1155CC"/>
        <sz val="10.0"/>
        <u/>
      </rPr>
      <t>https://www.mercadolibre.com.co/procesador-amd-ryzen-5-5600gt-6-nucleos-am4-grafica-radeon/p/MCO32444906#polycard_client=recommendations_pdp-v2p&amp;reco_backend=ranker_retrieval_system_org&amp;reco_model=coldstart_low_exposition&amp;reco_client=pdp-v2p&amp;reco_item_pos=0&amp;reco_backend_type=low_level&amp;reco_id=ae481b39-9ffb-4579-8852-0f71b1bbf312&amp;wid=MCO2799695908&amp;sid=recos</t>
    </r>
  </si>
  <si>
    <t>219,76</t>
  </si>
  <si>
    <r>
      <rPr>
        <rFont val="Arial"/>
        <color theme="1"/>
        <sz val="10.0"/>
      </rPr>
      <t xml:space="preserve">es un procesador de gama media-alta diseñado específicamente para entusiastas del gaming y la productividad que buscan dar el salto a la plataforma AM5 Modelo: 7600X. </t>
    </r>
    <r>
      <rPr>
        <rFont val="Arial"/>
        <color rgb="FF1155CC"/>
        <sz val="10.0"/>
        <u/>
      </rPr>
      <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t>
    </r>
  </si>
  <si>
    <t>Licenciamiento de Patentes y Venta de Chipsets: Las transacciones son corporativas y directas con los fabricantes de equipos originales (OEMs).</t>
  </si>
  <si>
    <t xml:space="preserve"> 30 dias de devolucion </t>
  </si>
  <si>
    <r>
      <rPr>
        <rFont val="Arial"/>
        <b/>
        <color theme="1"/>
        <sz val="10.0"/>
      </rPr>
      <t xml:space="preserve">(a) Se deben presentar tres (3) presupuestos cuando:   
   </t>
    </r>
    <r>
      <rPr>
        <rFont val="Arial"/>
        <b val="0"/>
        <color theme="1"/>
        <sz val="10.0"/>
      </rPr>
      <t xml:space="preserve">El valor del gasto supere el monto de pesos un mil ($ 1.000,00). 
     Se pueden presentar al menos tres (3) solicitudes de cotización (del bien o servicio a contratar) cursadas a tres o más empresas oferentes.
     La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</si>
  <si>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</si>
  <si>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</si>
  <si>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rgb="FF0F1111"/>
        <sz val="10.0"/>
      </rPr>
      <t>NIT Dirección, Teléfono</t>
    </r>
    <r>
      <rPr>
        <rFont val="Trebuchet MS"/>
        <b val="0"/>
        <i/>
        <color rgb="FF0F1111"/>
        <sz val="10.0"/>
      </rPr>
      <t xml:space="preserve">
</t>
    </r>
  </si>
  <si>
    <r>
      <rPr>
        <rFont val="Trebuchet MS"/>
        <b/>
        <color rgb="FF0F1111"/>
        <sz val="10.0"/>
      </rPr>
      <t>Descripción del
bien/ servicio (b)</t>
    </r>
    <r>
      <rPr>
        <rFont val="Trebuchet MS"/>
        <b val="0"/>
        <i/>
        <color rgb="FF0F1111"/>
        <sz val="10.0"/>
      </rPr>
      <t xml:space="preserve">
</t>
    </r>
    <r>
      <rPr>
        <rFont val="Trebuchet MS"/>
        <b val="0"/>
        <i/>
        <color rgb="FF0F1111"/>
        <sz val="8.0"/>
      </rPr>
      <t>Características de los bienes/ servicios</t>
    </r>
  </si>
  <si>
    <r>
      <rPr>
        <rFont val="Trebuchet MS"/>
        <b/>
        <color rgb="FF0F1111"/>
        <sz val="10.0"/>
      </rPr>
      <t xml:space="preserve">Importe Unitario
</t>
    </r>
    <r>
      <rPr>
        <rFont val="Trebuchet MS"/>
        <b val="0"/>
        <i/>
        <color rgb="FF0F111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</si>
  <si>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</si>
  <si>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</si>
  <si>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</si>
  <si>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</si>
  <si>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falabella</t>
  </si>
  <si>
    <t>900.047.981-8 , cuenta con multiples locales, 018000 958780</t>
  </si>
  <si>
    <r>
      <rPr>
        <rFont val="Arial"/>
        <color rgb="FF0F1111"/>
        <sz val="10.0"/>
      </rPr>
      <t xml:space="preserve">Teclado USB Genius Smart KB-100 </t>
    </r>
    <r>
      <rPr>
        <rFont val="Arial"/>
        <color rgb="FF1155CC"/>
        <sz val="10.0"/>
        <u/>
      </rPr>
      <t>https://www.falabella.com.co/falabella-co/product/140143182/Teclado-USB-Genius-Smart-KB-100-Con-Teclas-12-Multimedia-FN/140143183</t>
    </r>
  </si>
  <si>
    <t>3679,25</t>
  </si>
  <si>
    <t>Tarjeta CMR (crédito y débito), otras tarjetas de crédito/débito bancarias, PSE para cuentas de ahorros, CMR Puntos, Gift Cards y pago en efectivo</t>
  </si>
  <si>
    <t>Sin garantia</t>
  </si>
  <si>
    <r>
      <rPr>
        <rFont val="Arial"/>
        <color rgb="FF0F1111"/>
        <sz val="10.0"/>
      </rPr>
      <t xml:space="preserve">Teclado Hp 125 Alámbrico Usb Negro Español </t>
    </r>
    <r>
      <rPr>
        <rFont val="Arial"/>
        <color rgb="FF1155CC"/>
        <sz val="10.0"/>
        <u/>
      </rPr>
      <t>https://www.exito.com/teclado-hp-125-alambrico-usb-negro-espanol-104852239-mp/p</t>
    </r>
  </si>
  <si>
    <t>3 meses de garantia</t>
  </si>
  <si>
    <r>
      <rPr>
        <rFont val="Arial"/>
        <color rgb="FF0F1111"/>
        <sz val="10.0"/>
      </rPr>
      <t xml:space="preserve">Maxell Teclado Alambrico Kb-90 </t>
    </r>
    <r>
      <rPr>
        <rFont val="Arial"/>
        <color rgb="FF1155CC"/>
        <sz val="10.0"/>
        <u/>
      </rPr>
      <t>https://www.mercadolibre.com.co/maxell-teclado-alambr-kb-90-basico/p/MCO19931301</t>
    </r>
  </si>
  <si>
    <t xml:space="preserve">30 dias de devolucion </t>
  </si>
  <si>
    <t>3.679,28</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</si>
  <si>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</si>
  <si>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</si>
  <si>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</si>
  <si>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</si>
  <si>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</si>
  <si>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</si>
  <si>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</si>
  <si>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</si>
  <si>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</si>
  <si>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</si>
  <si>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r>
      <rPr>
        <rFont val="Arial"/>
        <color rgb="FF0F1111"/>
      </rPr>
      <t xml:space="preserve">Mouse Logitech M90 Usb. Instalación rápida y fácil, puede conectar el cable a un puerto USB y usarlo inmediatamente </t>
    </r>
    <r>
      <rPr>
        <rFont val="Arial"/>
        <color rgb="FF1155CC"/>
        <u/>
      </rPr>
      <t>https://www.falabella.com.co/falabella-co/product/120778408/Mouse-Logitech-M90-Usb/120778409</t>
    </r>
  </si>
  <si>
    <t>tarjetas bancarias, efectivo en establecimientos seleccionados y opciones de pago digital</t>
  </si>
  <si>
    <t>1 año de garantía por defectos de fabricación directamente con LOGITECH.</t>
  </si>
  <si>
    <r>
      <rPr>
        <rFont val="&quot;Proxima Nova&quot;, -apple-system, Roboto, Arial, sans-serif"/>
        <color rgb="FF000000"/>
        <sz val="11.0"/>
      </rPr>
      <t xml:space="preserve">Mouse Dell MS116 negro. Compatibilidad con Windows 10. 7. 8.1. 11. Linux. Chrome OS. Android. </t>
    </r>
    <r>
      <rPr>
        <rFont val="&quot;Proxima Nova&quot;, -apple-system, Roboto, Arial, sans-serif"/>
        <color rgb="FF1155CC"/>
        <sz val="10.0"/>
        <u/>
      </rPr>
      <t>https://www.mercadolibre.com.co/mouse-dell-ms116-negro/p/MCO6332790</t>
    </r>
  </si>
  <si>
    <r>
      <rPr>
        <rFont val="Arial"/>
        <color rgb="FF1C1C1C"/>
        <sz val="10.0"/>
      </rPr>
      <t xml:space="preserve">
Mouse ESENSES Inalámbrico Óptico WOM 2000-Negros </t>
    </r>
    <r>
      <rPr>
        <rFont val="Arial"/>
        <color rgb="FF1155CC"/>
        <sz val="10.0"/>
        <u/>
      </rPr>
      <t>https://www.mercadolibre.com.co/mouse-inalambrico-marca--esenses-1000-dpi-wom-1010/up/MCOU3842376372#polycard_client=recommendations_vip-v2p&amp;reco_backend=ranker_retrieval_system_org&amp;reco_model=rk_ent_v3_retsys_org&amp;reco_client=vip-v2p&amp;reco_item_pos=1&amp;reco_backend_type=low_level&amp;reco_id=30c5e1a3-7b01-45ad-aa7f-6a4e19091b0b&amp;wid=MCO1854512255&amp;sid=recos</t>
    </r>
  </si>
  <si>
    <t>tarjetas de crédito (Visa, Mastercard, American Express), PSE (débito bancario), Baloto, Efecty y consignación bancaria</t>
  </si>
  <si>
    <t>30 dias de garantia</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</si>
  <si>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</si>
  <si>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</si>
  <si>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</si>
  <si>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</si>
  <si>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</si>
  <si>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</si>
  <si>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</si>
  <si>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</si>
  <si>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</si>
  <si>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</si>
  <si>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 xml:space="preserve">Microsoft Coporation </t>
  </si>
  <si>
    <t>91-1144442 (EE. UU.)One Microsoft Way, Redmond, Washington 98052, Estados Unidos</t>
  </si>
  <si>
    <t>Desarrolla software como Windows y Office; soluciones empresariales y nube.</t>
  </si>
  <si>
    <t>$500.000 – $800.000 COP (pago único o suscripción anual)</t>
  </si>
  <si>
    <t>$714.000 COP</t>
  </si>
  <si>
    <t>150 – 200 USD</t>
  </si>
  <si>
    <t>(tarjeta / pago inmediato)</t>
  </si>
  <si>
    <t>Licencia propietaria; requiere pago para uso legal.
Puede incluir actualizaciones y soporte según el plan.</t>
  </si>
  <si>
    <t>Canonical Ltd</t>
  </si>
  <si>
    <t>No. 05515334 (Reino Unido)5th Floor, Blue Fin Building, 110 Southwark Street, Londres, Reino Unido</t>
  </si>
  <si>
    <t>Mantiene Ubuntu; sistemas operativos y servicios de soporte open source.</t>
  </si>
  <si>
    <t>$400.000+ COP/año</t>
  </si>
  <si>
    <t>$476.000 COP con IVA</t>
  </si>
  <si>
    <t>100 USD/año</t>
  </si>
  <si>
    <t>(especialmente en soporte)</t>
  </si>
  <si>
    <t>Ubuntu es gratuito y de código abierto.
El soporte técnico es opcional y de pago</t>
  </si>
  <si>
    <t>Google LLC</t>
  </si>
  <si>
    <t>EIN 77-0493581 (EE. UU.)1600 Amphitheatre Parkway, Mountain View, California 94043, Estados Unidos</t>
  </si>
  <si>
    <t>Ofrece servicios digitales como buscador, Chrome y herramientas en la nube.</t>
  </si>
  <si>
    <t>$25.000 – $60.000 COP/mes por usuario</t>
  </si>
  <si>
    <t>$35.700 COP/mes</t>
  </si>
  <si>
    <t>6 – 12 USD/mes por usuario</t>
  </si>
  <si>
    <t xml:space="preserve">3.679,25 </t>
  </si>
  <si>
    <t>(suscripción mensual automática)</t>
  </si>
  <si>
    <t>Modelo freemium: gratis con opciones premium.</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</si>
  <si>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</si>
  <si>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</si>
  <si>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NIT Dirección, Teléfono</t>
    </r>
    <r>
      <rPr>
        <rFont val="Trebuchet MS"/>
        <b val="0"/>
        <i/>
        <color theme="1"/>
        <sz val="10.0"/>
      </rPr>
      <t xml:space="preserve">
</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</si>
  <si>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</si>
  <si>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</si>
  <si>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</si>
  <si>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</si>
  <si>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</si>
  <si>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</si>
  <si>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</si>
  <si>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</si>
  <si>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Creative Commons (CC BY)</t>
  </si>
  <si>
    <t>444 Castro Street, Suite 900, Mountain View, California, Estados Unidos</t>
  </si>
  <si>
    <t>Permite uso comercial
Permite modificaciones
Obligatorio dar crédito al autor</t>
  </si>
  <si>
    <t>$0 COP (gratuita)</t>
  </si>
  <si>
    <t>$0 COP</t>
  </si>
  <si>
    <t>0 USD</t>
  </si>
  <si>
    <t>(gratuita)</t>
  </si>
  <si>
    <t>Permite uso comercial sin restricciones adicionales.
No exige compartir con la misma licencia.
Solo requiere atribución al autor.</t>
  </si>
  <si>
    <t>Creative Commons (CC BY-NC)</t>
  </si>
  <si>
    <t>No permite uso comercial
Permite modificar
Requiere atribución</t>
  </si>
  <si>
    <t>Prohíbe cualquier uso con fines comerciales.
Puede generar dudas en qué se considera “comercial”.
Requiere atribución al autor.</t>
  </si>
  <si>
    <t>Creative Commons (CC BY-SA)</t>
  </si>
  <si>
    <t>Permite uso comercial
Permite modificar
Debe conservar la misma licencia
Requiere atribución</t>
  </si>
  <si>
    <t>Obliga a licenciar las obras derivadas con la misma licencia.
Compatible con proyectos colaborativos (ej: contenido abierto).
Requiere atribución al autor.</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</si>
  <si>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</si>
  <si>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</si>
  <si>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</si>
  <si>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</si>
  <si>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</si>
  <si>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</si>
  <si>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Importe Total</t>
    </r>
    <r>
      <rPr>
        <rFont val="Trebuchet MS"/>
        <b/>
        <color theme="1"/>
        <sz val="10.0"/>
        <u/>
      </rPr>
      <t xml:space="preserve">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</si>
  <si>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</si>
  <si>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</si>
  <si>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</si>
  <si>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Windows 11 Home (Licencia OEM)</t>
  </si>
  <si>
    <t xml:space="preserve">EIN (EE. UU.): 91-1144442 </t>
  </si>
  <si>
    <t>Licencia ligada al equipo (no transferible)
Funciones esenciales (navegación, apps, juegos)
Más económico que otras versiones</t>
  </si>
  <si>
    <t>≈ $500.000 COP</t>
  </si>
  <si>
    <t>$95.000 COP</t>
  </si>
  <si>
    <t>161 USD</t>
  </si>
  <si>
    <t>Contado</t>
  </si>
  <si>
    <t>Viene preinstalado en equipos nuevos.
No se puede transferir a otro dispositivo.
Funcionalidad limitada frente a versiones superiores.</t>
  </si>
  <si>
    <t>Windows 11 Pro (Licencia Retail)</t>
  </si>
  <si>
    <t>One Microsoft Way, Redmond, Washington 98052, Estados Unidos</t>
  </si>
  <si>
    <t>Transferible a otro equipo
Incluye herramientas empresariales (BitLocker, escritorio remoto)
Mayor control de seguridad</t>
  </si>
  <si>
    <t>≈ $800.000 COP</t>
  </si>
  <si>
    <t>152.000 COP</t>
  </si>
  <si>
    <t>257 USD</t>
  </si>
  <si>
    <t>Permite transferencia entre equipos.
Incluye funciones avanzadas de seguridad y gestión.
Requiere activación con clave de producto.
Windows 11 Enterprise (Volumen)
Uso exclusivo para empresas.
Requiere contrato de licenciamiento por volumen.
Incluye herramientas avanzadas de administración y seguridad.
✅ Con esto ya tienes todo completo para tu trabajo 👍</t>
  </si>
  <si>
    <t>Windows 11 Enterprise (Licencia por volumen)</t>
  </si>
  <si>
    <t xml:space="preserve"> 1 425-882-8080</t>
  </si>
  <si>
    <t>Licencias por volumen
Seguridad avanzada y administración de dispositivos
Activación mediante servidores (KMS o MAK)</t>
  </si>
  <si>
    <t>≈ $1.200.000 COP</t>
  </si>
  <si>
    <t>228.000 COP</t>
  </si>
  <si>
    <t>386 USD</t>
  </si>
  <si>
    <t>Uso exclusivo para empresas.
Requiere contrato de licenciamiento por volumen.
Incluye herramientas avanzadas de administración y seguridad.</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</si>
  <si>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</si>
  <si>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</si>
  <si>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r>
      <rPr>
        <rFont val="Trebuchet MS"/>
        <b/>
        <color theme="1"/>
        <sz val="10.0"/>
      </rPr>
      <t>Empresa</t>
    </r>
    <r>
      <rPr>
        <rFont val="Trebuchet MS"/>
        <b val="0"/>
        <i/>
        <color theme="1"/>
        <sz val="8.0"/>
      </rPr>
      <t xml:space="preserve">
(Nombre fiscal de la empresa)</t>
    </r>
  </si>
  <si>
    <r>
      <rPr>
        <rFont val="Trebuchet MS"/>
        <b/>
        <color theme="1"/>
        <sz val="10.0"/>
      </rPr>
      <t>NIT Dirección, Teléfono</t>
    </r>
    <r>
      <rPr>
        <rFont val="Trebuchet MS"/>
        <b val="0"/>
        <i/>
        <color theme="1"/>
        <sz val="10.0"/>
      </rPr>
      <t xml:space="preserve">
</t>
    </r>
  </si>
  <si>
    <r>
      <rPr>
        <rFont val="Trebuchet MS"/>
        <b/>
        <color theme="1"/>
        <sz val="10.0"/>
      </rPr>
      <t>Descripción del
bien/ servicio (b)</t>
    </r>
    <r>
      <rPr>
        <rFont val="Trebuchet MS"/>
        <b val="0"/>
        <i/>
        <color theme="1"/>
        <sz val="10.0"/>
      </rPr>
      <t xml:space="preserve">
</t>
    </r>
    <r>
      <rPr>
        <rFont val="Trebuchet MS"/>
        <b val="0"/>
        <i/>
        <color theme="1"/>
        <sz val="8.0"/>
      </rPr>
      <t>Características de los bienes/ servicios</t>
    </r>
  </si>
  <si>
    <r>
      <rPr>
        <rFont val="Trebuchet MS"/>
        <b/>
        <color theme="1"/>
        <sz val="10.0"/>
      </rPr>
      <t xml:space="preserve">Importe Unitario
</t>
    </r>
    <r>
      <rPr>
        <rFont val="Trebuchet MS"/>
        <b val="0"/>
        <i/>
        <color theme="1"/>
        <sz val="8.0"/>
      </rPr>
      <t>(moneda nacional)</t>
    </r>
  </si>
  <si>
    <r>
      <rPr>
        <rFont val="Trebuchet MS"/>
        <b/>
        <color theme="1"/>
        <sz val="10.0"/>
        <u/>
      </rPr>
      <t xml:space="preserve">Importe Total
 IVA incluido
</t>
    </r>
    <r>
      <rPr>
        <rFont val="Trebuchet MS"/>
        <b val="0"/>
        <i/>
        <color theme="1"/>
        <sz val="8.0"/>
        <u/>
      </rPr>
      <t>(moneda nacional)</t>
    </r>
  </si>
  <si>
    <r>
      <rPr>
        <rFont val="Arial"/>
        <b/>
        <color theme="1"/>
        <sz val="10.0"/>
      </rPr>
      <t xml:space="preserve">Importe Total
</t>
    </r>
    <r>
      <rPr>
        <rFont val="Arial"/>
        <b val="0"/>
        <i/>
        <color theme="1"/>
        <sz val="8.0"/>
      </rPr>
      <t>(moneda extranjera)</t>
    </r>
  </si>
  <si>
    <r>
      <rPr>
        <rFont val="Trebuchet MS"/>
        <b/>
        <color theme="1"/>
        <sz val="10.0"/>
      </rPr>
      <t xml:space="preserve">Forma de Pago 
</t>
    </r>
    <r>
      <rPr>
        <rFont val="Trebuchet MS"/>
        <b val="0"/>
        <i/>
        <color theme="1"/>
        <sz val="8.0"/>
      </rPr>
      <t>(Contado o Cheque)</t>
    </r>
  </si>
  <si>
    <r>
      <rPr>
        <rFont val="Trebuchet MS"/>
        <b/>
        <color theme="1"/>
        <sz val="10.0"/>
      </rPr>
      <t xml:space="preserve">Observaciones </t>
    </r>
    <r>
      <rPr>
        <rFont val="Trebuchet MS"/>
        <b val="0"/>
        <i/>
        <color theme="1"/>
        <sz val="10.0"/>
      </rPr>
      <t xml:space="preserve">
</t>
    </r>
    <r>
      <rPr>
        <rFont val="Trebuchet MS"/>
        <b val="0"/>
        <i/>
        <color theme="1"/>
        <sz val="8.0"/>
      </rPr>
      <t>(se debe incluir toda aquella característica que no ha sido posible incluir anteriormente)</t>
    </r>
  </si>
  <si>
    <t>LINKS</t>
  </si>
  <si>
    <t>Microsoft SQL Server Express</t>
  </si>
  <si>
    <t>EIN (EE. UU.): 91-1144442</t>
  </si>
  <si>
    <r>
      <rPr>
        <rFont val="Arial"/>
        <color theme="1"/>
        <sz val="10.0"/>
        <u/>
      </rPr>
      <t xml:space="preserve">Sin costo
Limitado en tamaño de base de datos y recursos
Ideal para estudiantes y pequeños proyectos 
 </t>
    </r>
    <r>
      <rPr>
        <rFont val="Arial"/>
        <color rgb="FF1155CC"/>
        <sz val="10.0"/>
        <u/>
      </rPr>
      <t>https://www.microsoft.com/es-cl/download/details.aspx?id=104781&amp;utm_source=chatgpt.com</t>
    </r>
  </si>
  <si>
    <t>$0 COP (gratuito)</t>
  </si>
  <si>
    <t>No aplica (gratuito)</t>
  </si>
  <si>
    <t>Tiene limitaciones en tamaño de base de datos y uso de recursos.
No incluye soporte técnico oficial completo.
Ideal para aprendizaje y desarrollo básico.</t>
  </si>
  <si>
    <t>Microsoft SQL Server Standard</t>
  </si>
  <si>
    <r>
      <rPr>
        <rFont val="Arial"/>
        <color theme="1"/>
        <sz val="10.0"/>
      </rPr>
      <t xml:space="preserve">Licencia de pago
Buen rendimiento y seguridad
Soporta aplicaciones empresariales
</t>
    </r>
    <r>
      <rPr>
        <rFont val="Arial"/>
        <color rgb="FF1155CC"/>
        <sz val="10.0"/>
        <u/>
      </rPr>
      <t>https://www.microsoft.com/es-co/sql-server?utm_source=chatgpt.com</t>
    </r>
  </si>
  <si>
    <t>≈ $3.000.000 COP (por licencia)</t>
  </si>
  <si>
    <t>$3.570.000 COP</t>
  </si>
  <si>
    <t>965 USD</t>
  </si>
  <si>
    <t>Contado (pago único o licencia por núcleo)</t>
  </si>
  <si>
    <t>Licenciamiento por núcleo o servidor + CAL.
Escalable para empresas medianas.
Incluye soporte y actualizaciones según contrato.</t>
  </si>
  <si>
    <t>Microsoft SQL Server Enterprise</t>
  </si>
  <si>
    <t>1 425-882-8080</t>
  </si>
  <si>
    <t>Máximo rendimiento y escalabilidad
Alta seguridad y análisis de datos
Soporte para grandes volúmenes de información
https://info.microsoft.com/ww-landing-sql-server-2025.html?utm_source=chatgpt.com</t>
  </si>
  <si>
    <t>≈ $10.000.000 COP (por licencia)</t>
  </si>
  <si>
    <t>11.900.000 COP</t>
  </si>
  <si>
    <t>3.216 USD</t>
  </si>
  <si>
    <t>Contado (contrato empresarial o licenciamiento por volumen)</t>
  </si>
  <si>
    <t>Licenciamiento más costoso y complejo.
Ofrece alta disponibilidad (clustering, replicación avanzada).
Diseñado para entornos críticos y grandes volúmenes de datos.</t>
  </si>
  <si>
    <r>
      <rPr>
        <rFont val="Arial"/>
        <b/>
        <color theme="1"/>
        <sz val="10.0"/>
      </rPr>
      <t xml:space="preserve">(a) Se deben presentar tres (3) presupuestos cuando:   
   </t>
    </r>
    <r>
      <rPr>
        <rFont val="Arial"/>
        <b val="0"/>
        <color theme="1"/>
        <sz val="10.0"/>
      </rPr>
      <t>El valor del gasto supere el monto de pesos un mil ($ 1.000,00). 
     Se pueden presentar al menos tres (3)</t>
    </r>
    <r>
      <rPr>
        <rFont val="Arial"/>
        <b val="0"/>
        <color theme="1"/>
        <sz val="10.0"/>
      </rPr>
      <t xml:space="preserve"> solicitudes de cotización (del bien o servicio a contratar) cursadas</t>
    </r>
    <r>
      <rPr>
        <rFont val="Arial"/>
        <b val="0"/>
        <color theme="1"/>
        <sz val="10.0"/>
      </rPr>
      <t xml:space="preserve"> a tres o más empresas oferentes.
     L</t>
    </r>
    <r>
      <rPr>
        <rFont val="Arial"/>
        <b val="0"/>
        <color theme="1"/>
        <sz val="10.0"/>
      </rPr>
      <t xml:space="preserve">a selección del proveedor se hará con el criterio del más bajo precio.
     </t>
    </r>
    <r>
      <rPr>
        <rFont val="Arial"/>
        <b/>
        <color theme="1"/>
        <sz val="10.0"/>
      </rPr>
      <t>En caso de no contar con tres (3) presupuestos, o no poder seleccionar al proveedor que ofrece menor precio, presentar este cuadro una nota de justificación siguiendo las pautas del ítem    (XX)</t>
    </r>
    <r>
      <rPr>
        <rFont val="Arial"/>
        <b val="0"/>
        <color theme="1"/>
        <sz val="10.0"/>
      </rPr>
      <t xml:space="preserve">
</t>
    </r>
  </si>
  <si>
    <r>
      <rPr>
        <rFont val="Arial"/>
        <b/>
        <color theme="1"/>
        <sz val="10.0"/>
      </rPr>
      <t>(b) Ejemplos:</t>
    </r>
    <r>
      <rPr>
        <rFont val="Arial"/>
        <b val="0"/>
        <color theme="1"/>
        <sz val="10.0"/>
      </rPr>
      <t xml:space="preserve">
        En el caso de viajes, indicar Origen/Destino (si corresponde también escalas)
        Si se tratara de servicios tipo catering, indicar las cantidades de asistentes, así como los días en que se demanda la prestación del servicio.
        Si fuera papelería indicar, cantidades de afiches, trípticos, etc.</t>
    </r>
  </si>
  <si>
    <t>Nomina</t>
  </si>
  <si>
    <t>Salario Minimo</t>
  </si>
  <si>
    <t>Auxilio de Transporte</t>
  </si>
  <si>
    <t>Salario Minimo Integral</t>
  </si>
  <si>
    <t>Aportes Fiscales</t>
  </si>
  <si>
    <t>SENA</t>
  </si>
  <si>
    <t>ICBF</t>
  </si>
  <si>
    <t>Cajas</t>
  </si>
  <si>
    <t>Total</t>
  </si>
  <si>
    <t>Cargas Prestacionales</t>
  </si>
  <si>
    <t>Cesantias</t>
  </si>
  <si>
    <t>Intereses a las Cesantias</t>
  </si>
  <si>
    <t>Prima de Servicios</t>
  </si>
  <si>
    <t>Vacaciones</t>
  </si>
  <si>
    <t>Seguridad Social</t>
  </si>
  <si>
    <t>Salud</t>
  </si>
  <si>
    <t>Empresa</t>
  </si>
  <si>
    <t>Empleado</t>
  </si>
  <si>
    <t>Pension</t>
  </si>
  <si>
    <t>Total Empresa</t>
  </si>
  <si>
    <t>Total Empleado</t>
  </si>
  <si>
    <t>Totales</t>
  </si>
  <si>
    <t>Salario Personal</t>
  </si>
  <si>
    <t>Subsidio de Transporte</t>
  </si>
  <si>
    <t>Total Sin Descuentos</t>
  </si>
  <si>
    <t>Sueldo Total Año</t>
  </si>
  <si>
    <t>Por Hora</t>
  </si>
  <si>
    <t>Cargo</t>
  </si>
  <si>
    <t>Sueldo Mensual</t>
  </si>
  <si>
    <t>Dias Laborados</t>
  </si>
  <si>
    <t>Salario minimo</t>
  </si>
  <si>
    <t>Programador Junior</t>
  </si>
  <si>
    <t>Programador Junior Bilingue</t>
  </si>
  <si>
    <t>Programador Senior</t>
  </si>
  <si>
    <t>Programador Senior Bilingue</t>
  </si>
  <si>
    <t>Aportes Fiscales Minimo</t>
  </si>
  <si>
    <t>Aportes Fiscales Junior</t>
  </si>
  <si>
    <t>Aportes Fiscales Junior B</t>
  </si>
  <si>
    <t>Aportes Fiscales Senior</t>
  </si>
  <si>
    <t>Aportes Fiscales Senior B</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</si>
</sst>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d/mm/yyyy"/>
    <numFmt numFmtId="165" formatCode="&quot;$&quot;#,##0"/>
    <numFmt numFmtId="166" formatCode="_-[$$-409]* #,##0.00_ ;_-[$$-409]* \-#,##0.00\ ;_-[$$-409]* &quot;-&quot;??_ ;_-@_ "/>
    <numFmt numFmtId="167" formatCode="&quot;$&quot;#,##0.00"/>
    <numFmt numFmtId="168" formatCode="_([$$-409]* #,##0.00_);_([$$-409]* \(#,##0.00\);_([$$-409]* &quot;-&quot;??_);_(@_)"/>
    <numFmt numFmtId="169" formatCode="_-[$$-240A]\ * #,##0.00_-;\-[$$-240A]\ * #,##0.00_-;_-[$$-240A]\ * &quot;-&quot;??_-;_-@"/>
    <numFmt numFmtId="170" formatCode="_(&quot;$&quot;* #,##0.00_);_(&quot;$&quot;* \(#,##0.00\);_(&quot;$&quot;* &quot;-&quot;??_);_(@_)"/>
    <numFmt numFmtId="171" formatCode="_-&quot;$&quot;\ * #,##0.00_-;\-&quot;$&quot;\ * #,##0.00_-;_-&quot;$&quot;\ * &quot;-&quot;??_-;_-@"/>
  </numFmts>
  <fonts count="97">
    <font>
      <sz val="10.0"/>
      <color rgb="FF000000"/>
      <name val="Arial"/>
      <scheme val="minor"/>
    </font>
    <font>
      <sz val="10.0"/>
      <color rgb="FF000000"/>
      <name val="Arial"/>
    </font>
    <font>
      <b/>
      <sz val="25.0"/>
      <color rgb="FF000000"/>
      <name val="Times New Roman"/>
    </font>
    <font/>
    <font>
      <sz val="23.0"/>
      <color rgb="FF000000"/>
      <name val="Times New Roman"/>
    </font>
    <font>
      <sz val="25.0"/>
      <color rgb="FF000000"/>
      <name val="Times New Roman"/>
    </font>
    <font>
      <sz val="24.0"/>
      <color rgb="FF000000"/>
      <name val="Times New Roman"/>
    </font>
    <font>
      <sz val="22.0"/>
      <color rgb="FF000000"/>
      <name val="Times New Roman"/>
    </font>
    <font>
      <sz val="10.0"/>
      <color theme="1"/>
      <name val="Arial"/>
    </font>
    <font>
      <b/>
      <sz val="12.0"/>
      <color theme="1"/>
      <name val="Arial"/>
    </font>
    <font>
      <b/>
      <sz val="10.0"/>
      <color theme="1"/>
      <name val="Arial"/>
    </font>
    <font>
      <b/>
      <sz val="10.0"/>
      <color theme="1"/>
      <name val="Trebuchet MS"/>
    </font>
    <font>
      <b/>
      <u/>
      <sz val="10.0"/>
      <color theme="1"/>
      <name val="Trebuchet MS"/>
    </font>
    <font>
      <i/>
      <sz val="10.0"/>
      <color theme="1"/>
      <name val="Arial"/>
    </font>
    <font>
      <sz val="10.0"/>
      <color rgb="FF000000"/>
      <name val="Trebuchet MS"/>
    </font>
    <font>
      <u/>
      <sz val="10.0"/>
      <color rgb="FF000000"/>
      <name val="Arial"/>
    </font>
    <font>
      <u/>
      <sz val="10.0"/>
      <color rgb="FF0000FF"/>
      <name val="Arial"/>
    </font>
    <font>
      <u/>
      <sz val="10.0"/>
      <color rgb="FF000000"/>
      <name val="Trebuchet MS"/>
    </font>
    <font>
      <sz val="10.0"/>
      <color theme="1"/>
      <name val="Trebuchet MS"/>
    </font>
    <font>
      <sz val="10.0"/>
      <color theme="1"/>
      <name val="Proxima Nova"/>
    </font>
    <font>
      <sz val="10.0"/>
      <color rgb="FF231F20"/>
      <name val="Trebuchet MS"/>
    </font>
    <font>
      <sz val="10.0"/>
      <color theme="1"/>
      <name val="Open Sans"/>
    </font>
    <font>
      <sz val="10.0"/>
      <color theme="1"/>
      <name val="Montserrat"/>
    </font>
    <font>
      <sz val="10.0"/>
      <color theme="1"/>
      <name val="Arial Narrow"/>
    </font>
    <font>
      <b/>
      <u/>
      <sz val="10.0"/>
      <color theme="1"/>
      <name val="Arial"/>
    </font>
    <font>
      <b/>
      <u/>
      <sz val="10.0"/>
      <color theme="1"/>
      <name val="Trebuchet MS"/>
    </font>
    <font>
      <sz val="10.0"/>
      <color rgb="FF231F20"/>
      <name val="Arial"/>
    </font>
    <font>
      <sz val="10.0"/>
      <color rgb="FF333333"/>
      <name val="Arial"/>
    </font>
    <font>
      <u/>
      <sz val="10.0"/>
      <color rgb="FF000000"/>
      <name val="Trebuchet MS"/>
    </font>
    <font>
      <u/>
      <sz val="10.0"/>
      <color rgb="FF000000"/>
      <name val="Arial"/>
    </font>
    <font>
      <b/>
      <sz val="10.0"/>
      <color rgb="FF000000"/>
      <name val="Arial"/>
    </font>
    <font>
      <b/>
      <sz val="10.0"/>
      <color rgb="FF000000"/>
      <name val="Trebuchet MS"/>
    </font>
    <font>
      <b/>
      <u/>
      <sz val="10.0"/>
      <color rgb="FF000000"/>
      <name val="Trebuchet MS"/>
    </font>
    <font>
      <b/>
      <u/>
      <sz val="10.0"/>
      <color theme="1"/>
      <name val="Trebuchet MS"/>
    </font>
    <font>
      <color theme="1"/>
      <name val="Arial"/>
      <scheme val="minor"/>
    </font>
    <font>
      <u/>
      <sz val="10.0"/>
      <color rgb="FF000000"/>
      <name val="Arial"/>
    </font>
    <font>
      <sz val="10.0"/>
      <color rgb="FF202124"/>
      <name val="&quot;Google Sans&quot;"/>
    </font>
    <font>
      <u/>
      <sz val="10.0"/>
      <color rgb="FF000000"/>
      <name val="Arial"/>
    </font>
    <font>
      <u/>
      <color rgb="FF000000"/>
      <name val="Lato"/>
    </font>
    <font>
      <sz val="10.0"/>
      <color rgb="FF444444"/>
      <name val="Arial"/>
    </font>
    <font>
      <sz val="10.0"/>
      <color rgb="FF001D35"/>
      <name val="Arial"/>
    </font>
    <font>
      <u/>
      <sz val="11.0"/>
      <color rgb="FF000000"/>
      <name val="&quot;Proxima Nova&quot;"/>
    </font>
    <font>
      <b/>
      <u/>
      <sz val="10.0"/>
      <color theme="1"/>
      <name val="Trebuchet MS"/>
    </font>
    <font>
      <u/>
      <color rgb="FF0F1111"/>
      <name val="Arial"/>
    </font>
    <font>
      <sz val="10.0"/>
      <color rgb="FF0F1111"/>
      <name val="Arial"/>
    </font>
    <font>
      <u/>
      <sz val="10.0"/>
      <color rgb="FF000000"/>
      <name val="Arial"/>
    </font>
    <font>
      <u/>
      <sz val="10.0"/>
      <color rgb="FF000000"/>
      <name val="&quot;Proxima Nova&quot;"/>
    </font>
    <font>
      <u/>
      <sz val="10.0"/>
      <color rgb="FF262626"/>
      <name val="Lato"/>
    </font>
    <font>
      <sz val="11.0"/>
      <color rgb="FF333333"/>
      <name val="Lato"/>
    </font>
    <font>
      <u/>
      <sz val="10.0"/>
      <color rgb="FF000000"/>
      <name val="&quot;Proxima Nova&quot;"/>
    </font>
    <font>
      <u/>
      <sz val="10.0"/>
      <color theme="1"/>
      <name val="Arial"/>
    </font>
    <font>
      <sz val="10.0"/>
      <color rgb="FF333333"/>
      <name val="Lato"/>
    </font>
    <font>
      <u/>
      <sz val="10.0"/>
      <color theme="1"/>
      <name val="Arial"/>
    </font>
    <font>
      <sz val="12.0"/>
      <color rgb="FF0A0A0A"/>
      <name val="&quot;Google Sans&quot;"/>
    </font>
    <font>
      <sz val="10.0"/>
      <color rgb="FF0A0A0A"/>
      <name val="&quot;Google Sans&quot;"/>
    </font>
    <font>
      <u/>
      <sz val="10.0"/>
      <color rgb="FF000000"/>
      <name val="&quot;Titillium Web&quot;"/>
    </font>
    <font>
      <color rgb="FF0F1111"/>
      <name val="Arial"/>
      <scheme val="minor"/>
    </font>
    <font>
      <b/>
      <sz val="10.0"/>
      <color rgb="FF0F1111"/>
      <name val="Trebuchet MS"/>
    </font>
    <font>
      <u/>
      <sz val="10.0"/>
      <color rgb="FF000000"/>
      <name val="Arial"/>
    </font>
    <font>
      <u/>
      <sz val="10.0"/>
      <color theme="1"/>
      <name val="Arial"/>
    </font>
    <font>
      <sz val="10.0"/>
      <color rgb="FF666666"/>
      <name val="Arial"/>
    </font>
    <font>
      <u/>
      <sz val="10.0"/>
      <color rgb="FF0F1111"/>
      <name val="Arial"/>
    </font>
    <font>
      <u/>
      <sz val="10.0"/>
      <color rgb="FF000000"/>
      <name val="Arial"/>
    </font>
    <font>
      <sz val="10.0"/>
      <color rgb="FF0F1111"/>
      <name val="Trebuchet MS"/>
    </font>
    <font>
      <u/>
      <sz val="10.0"/>
      <color rgb="FF000000"/>
      <name val="Poppins"/>
    </font>
    <font>
      <u/>
      <sz val="10.0"/>
      <color theme="1"/>
      <name val="Arial"/>
    </font>
    <font>
      <u/>
      <sz val="10.0"/>
      <color rgb="FF000000"/>
      <name val="&quot;Proxima Nova&quot;"/>
    </font>
    <font>
      <sz val="10.0"/>
      <color rgb="FF000000"/>
      <name val="&quot;Proxima Nova&quot;"/>
    </font>
    <font>
      <u/>
      <sz val="10.0"/>
      <color rgb="FF231F20"/>
      <name val="Poppins"/>
    </font>
    <font>
      <sz val="12.0"/>
      <color rgb="FF001D35"/>
      <name val="&quot;Google Sans&quot;"/>
    </font>
    <font>
      <sz val="15.0"/>
      <color rgb="FF231F20"/>
      <name val="Poppins"/>
    </font>
    <font>
      <sz val="16.0"/>
      <color theme="1"/>
      <name val="Times New Roman"/>
    </font>
    <font>
      <b/>
      <sz val="13.0"/>
      <color theme="1"/>
      <name val="Times New Roman"/>
    </font>
    <font>
      <sz val="13.0"/>
      <color theme="1"/>
      <name val="Times New Roman"/>
    </font>
    <font>
      <u/>
      <sz val="13.0"/>
      <color rgb="FF0000FF"/>
      <name val="Times New Roman"/>
    </font>
    <font>
      <u/>
      <sz val="13.0"/>
      <color theme="1"/>
      <name val="Times New Roman"/>
    </font>
    <font>
      <sz val="11.0"/>
      <color theme="1"/>
      <name val="Arial"/>
      <scheme val="minor"/>
    </font>
    <font>
      <u/>
      <sz val="10.0"/>
      <color theme="1"/>
      <name val="Arial"/>
    </font>
    <font>
      <u/>
      <sz val="10.0"/>
      <color rgb="FF000000"/>
      <name val="Arial"/>
    </font>
    <font>
      <u/>
      <sz val="10.0"/>
      <color rgb="FF000000"/>
      <name val="Arial"/>
    </font>
    <font>
      <b/>
      <sz val="12.0"/>
      <color rgb="FF0F1111"/>
      <name val="Arial"/>
    </font>
    <font>
      <u/>
      <sz val="10.0"/>
      <color rgb="FF0F1111"/>
      <name val="Arial"/>
    </font>
    <font>
      <sz val="10.0"/>
      <color rgb="FF0F1111"/>
      <name val="Arial Narrow"/>
    </font>
    <font>
      <u/>
      <color rgb="FF0F1111"/>
      <name val="Arial"/>
    </font>
    <font>
      <u/>
      <sz val="10.0"/>
      <color rgb="FF1C1C1C"/>
      <name val="Arial"/>
    </font>
    <font>
      <b/>
      <u/>
      <sz val="10.0"/>
      <color theme="1"/>
      <name val="Trebuchet MS"/>
    </font>
    <font>
      <b/>
      <u/>
      <sz val="10.0"/>
      <color theme="1"/>
      <name val="Trebuchet MS"/>
    </font>
    <font>
      <u/>
      <sz val="10.0"/>
      <color theme="1"/>
      <name val="Arial"/>
    </font>
    <font>
      <sz val="9.0"/>
      <color theme="1"/>
      <name val="Arial"/>
    </font>
    <font>
      <u/>
      <sz val="9.0"/>
      <color theme="1"/>
      <name val="Arial"/>
    </font>
    <font>
      <b/>
      <u/>
      <sz val="10.0"/>
      <color theme="1"/>
      <name val="Trebuchet MS"/>
    </font>
    <font>
      <u/>
      <sz val="10.0"/>
      <color theme="1"/>
      <name val="Arial"/>
    </font>
    <font>
      <u/>
      <sz val="10.0"/>
      <color rgb="FF0000FF"/>
      <name val="Arial"/>
    </font>
    <font>
      <u/>
      <sz val="10.0"/>
      <color rgb="FF0000FF"/>
      <name val="Arial"/>
    </font>
    <font>
      <u/>
      <sz val="10.0"/>
      <color theme="1"/>
      <name val="Arial"/>
    </font>
    <font>
      <sz val="11.0"/>
      <color theme="1"/>
      <name val="Calibri"/>
    </font>
    <font>
      <b/>
      <sz val="11.0"/>
      <color theme="1"/>
      <name val="Calibri"/>
    </font>
  </fonts>
  <fills count="14">
    <fill>
      <patternFill patternType="none"/>
    </fill>
    <fill>
      <patternFill patternType="lightGray"/>
    </fill>
    <fill>
      <patternFill patternType="solid">
        <fgColor rgb="FF6AA84F"/>
        <bgColor rgb="FF6AA84F"/>
      </patternFill>
    </fill>
    <fill>
      <patternFill patternType="solid">
        <fgColor rgb="FFC0C0C0"/>
        <bgColor rgb="FFC0C0C0"/>
      </patternFill>
    </fill>
    <fill>
      <patternFill patternType="solid">
        <fgColor rgb="FFFFFF99"/>
        <bgColor rgb="FFFFFF99"/>
      </patternFill>
    </fill>
    <fill>
      <patternFill patternType="solid">
        <fgColor rgb="FFFFCC00"/>
        <bgColor rgb="FFFFCC00"/>
      </patternFill>
    </fill>
    <fill>
      <patternFill patternType="solid">
        <fgColor rgb="FFCCFFCC"/>
        <bgColor rgb="FFCCFFCC"/>
      </patternFill>
    </fill>
    <fill>
      <patternFill patternType="solid">
        <fgColor rgb="FFFFFFFF"/>
        <bgColor rgb="FFFFFFFF"/>
      </patternFill>
    </fill>
    <fill>
      <patternFill patternType="solid">
        <fgColor rgb="FFF5F5F5"/>
        <bgColor rgb="FFF5F5F5"/>
      </patternFill>
    </fill>
    <fill>
      <patternFill patternType="solid">
        <fgColor rgb="FFD5A6BD"/>
        <bgColor rgb="FFD5A6BD"/>
      </patternFill>
    </fill>
    <fill>
      <patternFill patternType="solid">
        <fgColor rgb="FFF8F8F8"/>
        <bgColor rgb="FFF8F8F8"/>
      </patternFill>
    </fill>
    <fill>
      <patternFill patternType="solid">
        <fgColor rgb="FFC5E0B3"/>
        <bgColor rgb="FFC5E0B3"/>
      </patternFill>
    </fill>
    <fill>
      <patternFill patternType="solid">
        <fgColor rgb="FFDADADA"/>
        <bgColor rgb="FFDADADA"/>
      </patternFill>
    </fill>
    <fill>
      <patternFill patternType="solid">
        <fgColor rgb="FFE2EFD9"/>
        <bgColor rgb="FFE2EFD9"/>
      </patternFill>
    </fill>
  </fills>
  <borders count="49">
    <border/>
    <border>
      <left/>
      <right/>
      <top/>
      <bottom/>
    </border>
    <border>
      <left/>
      <top/>
      <bottom/>
    </border>
    <border>
      <top/>
      <bottom/>
    </border>
    <border>
      <right/>
      <top/>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border>
    <border>
      <left style="thin">
        <color rgb="FF000000"/>
      </left>
      <right style="thin">
        <color rgb="FF000000"/>
      </right>
      <top style="thin">
        <color rgb="FF000000"/>
      </top>
    </border>
    <border>
      <left style="thin">
        <color rgb="FF000000"/>
      </left>
      <right/>
      <top style="thin">
        <color rgb="FF000000"/>
      </top>
      <bottom/>
    </border>
    <border>
      <left style="thin">
        <color rgb="FF000000"/>
      </left>
      <right style="thin">
        <color rgb="FF000000"/>
      </right>
      <bottom style="thin">
        <color rgb="FF000000"/>
      </bottom>
    </border>
    <border>
      <left style="thin">
        <color rgb="FF000000"/>
      </left>
      <right/>
      <top style="thin">
        <color rgb="FF000000"/>
      </top>
    </border>
    <border>
      <bottom style="thin">
        <color rgb="FF000000"/>
      </bottom>
    </border>
    <border>
      <left style="medium">
        <color rgb="FF000000"/>
      </lef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medium">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medium">
        <color rgb="FF000000"/>
      </right>
      <top style="thin">
        <color rgb="FF000000"/>
      </top>
      <bottom style="medium">
        <color rgb="FF000000"/>
      </bottom>
    </border>
    <border>
      <left/>
      <right style="medium">
        <color rgb="FF000000"/>
      </right>
      <top/>
      <bottom style="thin">
        <color rgb="FF000000"/>
      </bottom>
    </border>
    <border>
      <left/>
      <right style="medium">
        <color rgb="FF000000"/>
      </right>
      <top style="thin">
        <color rgb="FF000000"/>
      </top>
      <bottom style="thin">
        <color rgb="FF000000"/>
      </bottom>
    </border>
    <border>
      <left style="medium">
        <color rgb="FF000000"/>
      </left>
      <right style="medium">
        <color rgb="FF000000"/>
      </right>
      <top style="thin">
        <color rgb="FF000000"/>
      </top>
      <bottom/>
    </border>
    <border>
      <left/>
      <right style="medium">
        <color rgb="FF000000"/>
      </right>
      <top style="thin">
        <color rgb="FF000000"/>
      </top>
      <bottom/>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top style="medium">
        <color rgb="FF000000"/>
      </top>
      <bottom style="medium">
        <color rgb="FF000000"/>
      </bottom>
    </border>
    <border>
      <right/>
      <top style="medium">
        <color rgb="FF000000"/>
      </top>
      <bottom style="medium">
        <color rgb="FF000000"/>
      </bottom>
    </border>
    <border>
      <left style="medium">
        <color rgb="FF000000"/>
      </left>
      <right/>
      <top style="medium">
        <color rgb="FF000000"/>
      </top>
      <bottom style="medium">
        <color rgb="FF000000"/>
      </bottom>
    </border>
    <border>
      <left style="medium">
        <color rgb="FF000000"/>
      </left>
      <right style="medium">
        <color rgb="FF000000"/>
      </right>
      <top style="medium">
        <color rgb="FF000000"/>
      </top>
    </border>
    <border>
      <left style="medium">
        <color rgb="FF000000"/>
      </left>
      <right/>
      <top style="medium">
        <color rgb="FF000000"/>
      </top>
      <bottom/>
    </border>
    <border>
      <left style="medium">
        <color rgb="FF000000"/>
      </left>
      <right style="medium">
        <color rgb="FF000000"/>
      </right>
      <bottom style="medium">
        <color rgb="FF000000"/>
      </bottom>
    </border>
    <border>
      <left style="medium">
        <color rgb="FF000000"/>
      </left>
      <top style="medium">
        <color rgb="FF000000"/>
      </top>
      <bottom style="thin">
        <color rgb="FF000000"/>
      </bottom>
    </border>
    <border>
      <left/>
      <right/>
      <top style="medium">
        <color rgb="FF000000"/>
      </top>
      <bottom style="thin">
        <color rgb="FF000000"/>
      </bottom>
    </border>
    <border>
      <left style="medium">
        <color rgb="FF000000"/>
      </left>
      <right/>
      <top style="medium">
        <color rgb="FF000000"/>
      </top>
      <bottom style="thin">
        <color rgb="FF000000"/>
      </bottom>
    </border>
    <border>
      <left style="medium">
        <color rgb="FF000000"/>
      </left>
      <right style="medium">
        <color rgb="FF000000"/>
      </right>
      <top/>
      <bottom style="thin">
        <color rgb="FF000000"/>
      </bottom>
    </border>
    <border>
      <left style="medium">
        <color rgb="FF000000"/>
      </left>
      <top style="thin">
        <color rgb="FF000000"/>
      </top>
      <bottom style="thin">
        <color rgb="FF000000"/>
      </bottom>
    </border>
    <border>
      <left/>
      <right/>
      <top style="thin">
        <color rgb="FF000000"/>
      </top>
      <bottom style="thin">
        <color rgb="FF000000"/>
      </bottom>
    </border>
    <border>
      <left style="medium">
        <color rgb="FF000000"/>
      </left>
      <right/>
      <top style="thin">
        <color rgb="FF000000"/>
      </top>
      <bottom style="thin">
        <color rgb="FF000000"/>
      </bottom>
    </border>
    <border>
      <left style="medium">
        <color rgb="FF000000"/>
      </left>
      <right style="medium">
        <color rgb="FF000000"/>
      </right>
      <top style="thin">
        <color rgb="FF000000"/>
      </top>
    </border>
    <border>
      <left style="medium">
        <color rgb="FF000000"/>
      </left>
      <top style="thin">
        <color rgb="FF000000"/>
      </top>
    </border>
    <border>
      <left style="medium">
        <color rgb="FF000000"/>
      </left>
      <top style="medium">
        <color rgb="FF000000"/>
      </top>
      <bottom/>
    </border>
    <border>
      <right style="medium">
        <color rgb="FF000000"/>
      </right>
      <top style="medium">
        <color rgb="FF000000"/>
      </top>
      <bottom/>
    </border>
    <border>
      <left style="medium">
        <color rgb="FF000000"/>
      </left>
      <right/>
      <top style="thin">
        <color rgb="FF000000"/>
      </top>
      <bottom/>
    </border>
    <border>
      <left style="medium">
        <color rgb="FF000000"/>
      </left>
      <right style="medium">
        <color rgb="FF000000"/>
      </right>
      <top/>
      <bottom/>
    </border>
  </borders>
  <cellStyleXfs count="1">
    <xf borderId="0" fillId="0" fontId="0" numFmtId="0" applyAlignment="1" applyFont="1"/>
  </cellStyleXfs>
  <cellXfs count="322">
    <xf borderId="0" fillId="0" fontId="0" numFmtId="0" xfId="0" applyAlignment="1" applyFont="1">
      <alignment readingOrder="0" shrinkToFit="0" vertical="bottom" wrapText="0"/>
    </xf>
    <xf borderId="1" fillId="2" fontId="1" numFmtId="0" xfId="0" applyBorder="1" applyFill="1" applyFont="1"/>
    <xf borderId="2" fillId="2" fontId="2" numFmtId="0" xfId="0" applyBorder="1" applyFont="1"/>
    <xf borderId="3" fillId="0" fontId="3" numFmtId="0" xfId="0" applyBorder="1" applyFont="1"/>
    <xf borderId="4" fillId="0" fontId="3" numFmtId="0" xfId="0" applyBorder="1" applyFont="1"/>
    <xf borderId="1" fillId="2" fontId="4" numFmtId="0" xfId="0" applyBorder="1" applyFont="1"/>
    <xf borderId="1" fillId="2" fontId="5" numFmtId="0" xfId="0" applyBorder="1" applyFont="1"/>
    <xf borderId="1" fillId="2" fontId="4" numFmtId="0" xfId="0" applyAlignment="1" applyBorder="1" applyFont="1">
      <alignment readingOrder="0"/>
    </xf>
    <xf borderId="1" fillId="2" fontId="1" numFmtId="0" xfId="0" applyAlignment="1" applyBorder="1" applyFont="1">
      <alignment readingOrder="0"/>
    </xf>
    <xf borderId="1" fillId="2" fontId="6" numFmtId="0" xfId="0" applyBorder="1" applyFont="1"/>
    <xf borderId="1" fillId="2" fontId="7" numFmtId="0" xfId="0" applyAlignment="1" applyBorder="1" applyFont="1">
      <alignment readingOrder="0"/>
    </xf>
    <xf borderId="1" fillId="2" fontId="5" numFmtId="0" xfId="0" applyAlignment="1" applyBorder="1" applyFont="1">
      <alignment readingOrder="0"/>
    </xf>
    <xf borderId="1" fillId="2" fontId="5" numFmtId="0" xfId="0" applyAlignment="1" applyBorder="1" applyFont="1">
      <alignment horizontal="center"/>
    </xf>
    <xf borderId="1" fillId="2" fontId="5" numFmtId="164" xfId="0" applyBorder="1" applyFont="1" applyNumberFormat="1"/>
    <xf borderId="0" fillId="0" fontId="8" numFmtId="0" xfId="0" applyFont="1"/>
    <xf borderId="0" fillId="0" fontId="9" numFmtId="0" xfId="0" applyAlignment="1" applyFont="1">
      <alignment horizontal="center" vertical="center"/>
    </xf>
    <xf borderId="5" fillId="3" fontId="9" numFmtId="0" xfId="0" applyAlignment="1" applyBorder="1" applyFill="1" applyFont="1">
      <alignment horizontal="center" shrinkToFit="0" vertical="center" wrapText="1"/>
    </xf>
    <xf borderId="6" fillId="0" fontId="3" numFmtId="0" xfId="0" applyBorder="1" applyFont="1"/>
    <xf borderId="7" fillId="0" fontId="3" numFmtId="0" xfId="0" applyBorder="1" applyFont="1"/>
    <xf borderId="8" fillId="4" fontId="10" numFmtId="0" xfId="0" applyAlignment="1" applyBorder="1" applyFill="1" applyFont="1">
      <alignment horizontal="center" shrinkToFit="0" vertical="center" wrapText="1"/>
    </xf>
    <xf borderId="8" fillId="0" fontId="11" numFmtId="0" xfId="0" applyAlignment="1" applyBorder="1" applyFont="1">
      <alignment horizontal="center" shrinkToFit="0" vertical="center" wrapText="1"/>
    </xf>
    <xf borderId="8" fillId="0" fontId="11" numFmtId="0" xfId="0" applyAlignment="1" applyBorder="1" applyFont="1">
      <alignment horizontal="center" readingOrder="0" shrinkToFit="0" vertical="center" wrapText="1"/>
    </xf>
    <xf borderId="8" fillId="5" fontId="12" numFmtId="0" xfId="0" applyAlignment="1" applyBorder="1" applyFill="1" applyFont="1">
      <alignment horizontal="center" shrinkToFit="0" vertical="center" wrapText="1"/>
    </xf>
    <xf borderId="9" fillId="6" fontId="10" numFmtId="0" xfId="0" applyAlignment="1" applyBorder="1" applyFill="1" applyFont="1">
      <alignment horizontal="center" shrinkToFit="0" vertical="center" wrapText="1"/>
    </xf>
    <xf borderId="0" fillId="0" fontId="13" numFmtId="0" xfId="0" applyAlignment="1" applyFont="1">
      <alignment horizontal="center" vertical="center"/>
    </xf>
    <xf borderId="8" fillId="0" fontId="10" numFmtId="0" xfId="0" applyAlignment="1" applyBorder="1" applyFont="1">
      <alignment horizontal="center" vertical="center"/>
    </xf>
    <xf borderId="8" fillId="0" fontId="14" numFmtId="0" xfId="0" applyAlignment="1" applyBorder="1" applyFont="1">
      <alignment horizontal="center" readingOrder="0" shrinkToFit="0" vertical="center" wrapText="1"/>
    </xf>
    <xf borderId="8" fillId="0" fontId="15" numFmtId="0" xfId="0" applyAlignment="1" applyBorder="1" applyFont="1">
      <alignment horizontal="center" readingOrder="0" shrinkToFit="0" vertical="center" wrapText="1"/>
    </xf>
    <xf borderId="8" fillId="7" fontId="16" numFmtId="0" xfId="0" applyAlignment="1" applyBorder="1" applyFill="1" applyFont="1">
      <alignment horizontal="center" readingOrder="0" shrinkToFit="0" vertical="center" wrapText="1"/>
    </xf>
    <xf borderId="8" fillId="0" fontId="14" numFmtId="165" xfId="0" applyAlignment="1" applyBorder="1" applyFont="1" applyNumberFormat="1">
      <alignment horizontal="center" readingOrder="0" shrinkToFit="0" vertical="center" wrapText="1"/>
    </xf>
    <xf borderId="8" fillId="0" fontId="17" numFmtId="166" xfId="0" applyAlignment="1" applyBorder="1" applyFont="1" applyNumberFormat="1">
      <alignment horizontal="center" readingOrder="0" shrinkToFit="0" vertical="center" wrapText="1"/>
    </xf>
    <xf borderId="8" fillId="0" fontId="18" numFmtId="0" xfId="0" applyAlignment="1" applyBorder="1" applyFont="1">
      <alignment horizontal="center" readingOrder="0" shrinkToFit="0" vertical="center" wrapText="1"/>
    </xf>
    <xf borderId="10" fillId="7" fontId="19" numFmtId="0" xfId="0" applyAlignment="1" applyBorder="1" applyFont="1">
      <alignment horizontal="center" readingOrder="0" shrinkToFit="0" vertical="center" wrapText="1"/>
    </xf>
    <xf borderId="8" fillId="0" fontId="20" numFmtId="0" xfId="0" applyAlignment="1" applyBorder="1" applyFont="1">
      <alignment horizontal="center" readingOrder="0" shrinkToFit="0" vertical="center" wrapText="1"/>
    </xf>
    <xf borderId="10" fillId="7" fontId="21" numFmtId="0" xfId="0" applyAlignment="1" applyBorder="1" applyFont="1">
      <alignment horizontal="center" readingOrder="0" shrinkToFit="0" vertical="center" wrapText="1"/>
    </xf>
    <xf borderId="10" fillId="7" fontId="22" numFmtId="0" xfId="0" applyAlignment="1" applyBorder="1" applyFont="1">
      <alignment horizontal="center" readingOrder="0" shrinkToFit="0" vertical="center" wrapText="1"/>
    </xf>
    <xf borderId="8" fillId="0" fontId="8" numFmtId="0" xfId="0" applyBorder="1" applyFont="1"/>
    <xf borderId="8" fillId="0" fontId="18" numFmtId="0" xfId="0" applyAlignment="1" applyBorder="1" applyFont="1">
      <alignment horizontal="left" shrinkToFit="0" vertical="top" wrapText="1"/>
    </xf>
    <xf borderId="5" fillId="0" fontId="10" numFmtId="0" xfId="0" applyAlignment="1" applyBorder="1" applyFont="1">
      <alignment horizontal="left" readingOrder="0" shrinkToFit="0" vertical="center" wrapText="1"/>
    </xf>
    <xf borderId="5" fillId="0" fontId="10" numFmtId="0" xfId="0" applyAlignment="1" applyBorder="1" applyFont="1">
      <alignment horizontal="left" shrinkToFit="0" vertical="center" wrapText="1"/>
    </xf>
    <xf borderId="0" fillId="0" fontId="23" numFmtId="0" xfId="0" applyAlignment="1" applyFont="1">
      <alignment horizontal="center" shrinkToFit="0" vertical="center" wrapText="1"/>
    </xf>
    <xf borderId="8" fillId="0" fontId="10" numFmtId="0" xfId="0" applyAlignment="1" applyBorder="1" applyFont="1">
      <alignment horizontal="center" shrinkToFit="0" vertical="center" wrapText="1"/>
    </xf>
    <xf borderId="8" fillId="5" fontId="24"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167" xfId="0" applyAlignment="1" applyBorder="1" applyFont="1" applyNumberFormat="1">
      <alignment horizontal="center" readingOrder="0" shrinkToFit="0" vertical="center" wrapText="1"/>
    </xf>
    <xf borderId="8" fillId="0" fontId="8" numFmtId="167" xfId="0" applyAlignment="1" applyBorder="1" applyFont="1" applyNumberFormat="1">
      <alignment horizontal="center" readingOrder="0" shrinkToFit="0" vertical="center" wrapText="1"/>
    </xf>
    <xf borderId="10" fillId="7" fontId="1" numFmtId="0" xfId="0" applyAlignment="1" applyBorder="1" applyFont="1">
      <alignment horizontal="center" readingOrder="0" shrinkToFit="0" vertical="center" wrapText="1"/>
    </xf>
    <xf borderId="8" fillId="7" fontId="1" numFmtId="0" xfId="0" applyAlignment="1" applyBorder="1" applyFont="1">
      <alignment horizontal="center" readingOrder="0" shrinkToFit="0" vertical="center" wrapText="1"/>
    </xf>
    <xf borderId="11" fillId="4" fontId="10" numFmtId="0" xfId="0" applyAlignment="1" applyBorder="1" applyFont="1">
      <alignment horizontal="center" shrinkToFit="0" vertical="center" wrapText="1"/>
    </xf>
    <xf borderId="12" fillId="0" fontId="11" numFmtId="0" xfId="0" applyAlignment="1" applyBorder="1" applyFont="1">
      <alignment horizontal="center" shrinkToFit="0" vertical="center" wrapText="1"/>
    </xf>
    <xf borderId="11" fillId="5" fontId="25" numFmtId="0" xfId="0" applyAlignment="1" applyBorder="1" applyFont="1">
      <alignment horizontal="center" shrinkToFit="0" vertical="center" wrapText="1"/>
    </xf>
    <xf borderId="13" fillId="6" fontId="10" numFmtId="0" xfId="0" applyAlignment="1" applyBorder="1" applyFont="1">
      <alignment horizontal="center" shrinkToFit="0" vertical="center" wrapText="1"/>
    </xf>
    <xf borderId="8" fillId="0" fontId="1" numFmtId="0" xfId="0" applyAlignment="1" applyBorder="1" applyFont="1">
      <alignment horizontal="center" readingOrder="0" shrinkToFit="0" vertical="center" wrapText="1"/>
    </xf>
    <xf borderId="8" fillId="0" fontId="1" numFmtId="49" xfId="0" applyAlignment="1" applyBorder="1" applyFont="1" applyNumberFormat="1">
      <alignment horizontal="center" readingOrder="0" shrinkToFit="0" vertical="center" wrapText="1"/>
    </xf>
    <xf borderId="8" fillId="0" fontId="8" numFmtId="49" xfId="0" applyAlignment="1" applyBorder="1" applyFont="1" applyNumberFormat="1">
      <alignment horizontal="center" readingOrder="0" shrinkToFit="0" vertical="center" wrapText="1"/>
    </xf>
    <xf borderId="8" fillId="7" fontId="1" numFmtId="0" xfId="0" applyAlignment="1" applyBorder="1" applyFont="1">
      <alignment horizontal="center" shrinkToFit="0" vertical="center" wrapText="1"/>
    </xf>
    <xf borderId="8" fillId="0" fontId="26" numFmtId="0" xfId="0" applyAlignment="1" applyBorder="1" applyFont="1">
      <alignment horizontal="center" readingOrder="0" shrinkToFit="0" vertical="center" wrapText="1"/>
    </xf>
    <xf borderId="8" fillId="7" fontId="27" numFmtId="0" xfId="0" applyAlignment="1" applyBorder="1" applyFont="1">
      <alignment horizontal="center" readingOrder="0" shrinkToFit="0" vertical="center" wrapText="1"/>
    </xf>
    <xf borderId="11" fillId="7" fontId="27" numFmtId="0" xfId="0" applyAlignment="1" applyBorder="1" applyFont="1">
      <alignment horizontal="center" shrinkToFit="0" vertical="center" wrapText="1"/>
    </xf>
    <xf borderId="12" fillId="0" fontId="1" numFmtId="0" xfId="0" applyAlignment="1" applyBorder="1" applyFont="1">
      <alignment horizontal="center" readingOrder="0" shrinkToFit="0" vertical="center" wrapText="1"/>
    </xf>
    <xf borderId="12" fillId="0" fontId="1" numFmtId="49" xfId="0" applyAlignment="1" applyBorder="1" applyFont="1" applyNumberFormat="1">
      <alignment horizontal="center" readingOrder="0" shrinkToFit="0" vertical="center" wrapText="1"/>
    </xf>
    <xf borderId="8" fillId="7" fontId="27" numFmtId="0" xfId="0" applyAlignment="1" applyBorder="1" applyFont="1">
      <alignment horizontal="center" shrinkToFit="0" vertical="center" wrapText="1"/>
    </xf>
    <xf borderId="8" fillId="0" fontId="8" numFmtId="0" xfId="0" applyAlignment="1" applyBorder="1" applyFont="1">
      <alignment vertical="center"/>
    </xf>
    <xf borderId="14" fillId="0" fontId="3" numFmtId="0" xfId="0" applyBorder="1" applyFont="1"/>
    <xf borderId="8" fillId="0" fontId="1" numFmtId="0" xfId="0" applyAlignment="1" applyBorder="1" applyFont="1">
      <alignment horizontal="center" shrinkToFit="0" vertical="center" wrapText="1"/>
    </xf>
    <xf borderId="8" fillId="0" fontId="8" numFmtId="49" xfId="0" applyAlignment="1" applyBorder="1" applyFont="1" applyNumberFormat="1">
      <alignment horizontal="left" shrinkToFit="0" vertical="center" wrapText="1"/>
    </xf>
    <xf borderId="8" fillId="0" fontId="8" numFmtId="0" xfId="0" applyAlignment="1" applyBorder="1" applyFont="1">
      <alignment horizontal="left" shrinkToFit="0" vertical="center" wrapText="1"/>
    </xf>
    <xf borderId="5" fillId="0" fontId="10" numFmtId="0" xfId="0" applyAlignment="1" applyBorder="1" applyFont="1">
      <alignment horizontal="center" vertical="center"/>
    </xf>
    <xf borderId="8" fillId="7" fontId="1" numFmtId="49" xfId="0" applyAlignment="1" applyBorder="1" applyFont="1" applyNumberFormat="1">
      <alignment horizontal="center" readingOrder="0" shrinkToFit="0" vertical="center" wrapText="1"/>
    </xf>
    <xf borderId="14" fillId="0" fontId="18" numFmtId="0" xfId="0" applyAlignment="1" applyBorder="1" applyFont="1">
      <alignment horizontal="left" shrinkToFit="0" vertical="center" wrapText="1"/>
    </xf>
    <xf borderId="8" fillId="0" fontId="1" numFmtId="49" xfId="0" applyAlignment="1" applyBorder="1" applyFont="1" applyNumberFormat="1">
      <alignment horizontal="center" readingOrder="0" shrinkToFit="0" vertical="center" wrapText="1"/>
    </xf>
    <xf borderId="8" fillId="0" fontId="26" numFmtId="49" xfId="0" applyAlignment="1" applyBorder="1" applyFont="1" applyNumberFormat="1">
      <alignment horizontal="center" readingOrder="0" shrinkToFit="0" vertical="center" wrapText="1"/>
    </xf>
    <xf borderId="8" fillId="0" fontId="28" numFmtId="49" xfId="0" applyAlignment="1" applyBorder="1" applyFont="1" applyNumberFormat="1">
      <alignment horizontal="center" readingOrder="0" shrinkToFit="0" vertical="center" wrapText="1"/>
    </xf>
    <xf borderId="8" fillId="7" fontId="1" numFmtId="49" xfId="0" applyAlignment="1" applyBorder="1" applyFont="1" applyNumberFormat="1">
      <alignment horizontal="center" shrinkToFit="0" vertical="center" wrapText="1"/>
    </xf>
    <xf borderId="8" fillId="0" fontId="29"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center" shrinkToFit="0" vertical="center" wrapText="1"/>
    </xf>
    <xf borderId="14" fillId="0" fontId="18" numFmtId="49" xfId="0" applyAlignment="1" applyBorder="1" applyFont="1" applyNumberFormat="1">
      <alignment horizontal="left" shrinkToFit="0" vertical="center" wrapText="1"/>
    </xf>
    <xf borderId="13" fillId="6" fontId="10" numFmtId="168" xfId="0" applyAlignment="1" applyBorder="1" applyFont="1" applyNumberFormat="1">
      <alignment horizontal="center" shrinkToFit="0" vertical="center" wrapText="1"/>
    </xf>
    <xf borderId="14" fillId="0" fontId="18" numFmtId="0" xfId="0" applyAlignment="1" applyBorder="1" applyFont="1">
      <alignment horizontal="left" shrinkToFit="0" vertical="top" wrapText="1"/>
    </xf>
    <xf borderId="14" fillId="0" fontId="18" numFmtId="0" xfId="0" applyAlignment="1" applyBorder="1" applyFont="1">
      <alignment horizontal="left" readingOrder="0" shrinkToFit="0" vertical="top" wrapText="1"/>
    </xf>
    <xf borderId="8" fillId="4" fontId="30" numFmtId="49" xfId="0" applyAlignment="1" applyBorder="1" applyFont="1" applyNumberFormat="1">
      <alignment horizontal="center" shrinkToFit="0" vertical="center" wrapText="1"/>
    </xf>
    <xf borderId="12" fillId="0" fontId="31" numFmtId="49" xfId="0" applyAlignment="1" applyBorder="1" applyFont="1" applyNumberFormat="1">
      <alignment horizontal="center" shrinkToFit="0" vertical="center" wrapText="1"/>
    </xf>
    <xf borderId="8" fillId="0" fontId="31" numFmtId="49" xfId="0" applyAlignment="1" applyBorder="1" applyFont="1" applyNumberFormat="1">
      <alignment horizontal="center" readingOrder="0" shrinkToFit="0" vertical="center" wrapText="1"/>
    </xf>
    <xf borderId="11" fillId="5" fontId="32" numFmtId="49" xfId="0" applyAlignment="1" applyBorder="1" applyFont="1" applyNumberFormat="1">
      <alignment horizontal="center" shrinkToFit="0" vertical="center" wrapText="1"/>
    </xf>
    <xf borderId="13" fillId="6" fontId="30" numFmtId="49" xfId="0" applyAlignment="1" applyBorder="1" applyFont="1" applyNumberFormat="1">
      <alignment horizontal="center" shrinkToFit="0" vertical="center" wrapText="1"/>
    </xf>
    <xf borderId="5" fillId="0" fontId="30" numFmtId="49" xfId="0" applyAlignment="1" applyBorder="1" applyFont="1" applyNumberFormat="1">
      <alignment horizontal="center" shrinkToFit="0" vertical="center" wrapText="1"/>
    </xf>
    <xf borderId="8" fillId="7" fontId="1" numFmtId="49" xfId="0" applyAlignment="1" applyBorder="1" applyFont="1" applyNumberFormat="1">
      <alignment shrinkToFit="0" vertical="center" wrapText="1"/>
    </xf>
    <xf borderId="8" fillId="8" fontId="1" numFmtId="49" xfId="0" applyAlignment="1" applyBorder="1" applyFill="1" applyFont="1" applyNumberFormat="1">
      <alignment shrinkToFit="0" vertical="center" wrapText="1"/>
    </xf>
    <xf borderId="12" fillId="7" fontId="1" numFmtId="49" xfId="0" applyAlignment="1" applyBorder="1" applyFont="1" applyNumberFormat="1">
      <alignment horizontal="center" readingOrder="0" shrinkToFit="0" vertical="center" wrapText="1"/>
    </xf>
    <xf borderId="8" fillId="0" fontId="1" numFmtId="49" xfId="0" applyAlignment="1" applyBorder="1" applyFont="1" applyNumberFormat="1">
      <alignment horizontal="left" shrinkToFit="0" vertical="center" wrapText="1"/>
    </xf>
    <xf borderId="5" fillId="0" fontId="1" numFmtId="49" xfId="0" applyAlignment="1" applyBorder="1" applyFont="1" applyNumberFormat="1">
      <alignment shrinkToFit="0" vertical="center" wrapText="1"/>
    </xf>
    <xf borderId="14" fillId="0" fontId="1" numFmtId="49" xfId="0" applyAlignment="1" applyBorder="1" applyFont="1" applyNumberFormat="1">
      <alignment horizontal="center" shrinkToFit="0" vertical="center" wrapText="1"/>
    </xf>
    <xf borderId="8" fillId="4" fontId="10" numFmtId="49" xfId="0" applyAlignment="1" applyBorder="1" applyFont="1" applyNumberFormat="1">
      <alignment horizontal="center" shrinkToFit="0" vertical="center" wrapText="1"/>
    </xf>
    <xf borderId="12" fillId="0" fontId="11" numFmtId="49" xfId="0" applyAlignment="1" applyBorder="1" applyFont="1" applyNumberFormat="1">
      <alignment horizontal="center" shrinkToFit="0" vertical="center" wrapText="1"/>
    </xf>
    <xf borderId="8" fillId="0" fontId="11" numFmtId="49" xfId="0" applyAlignment="1" applyBorder="1" applyFont="1" applyNumberFormat="1">
      <alignment horizontal="center" readingOrder="0" shrinkToFit="0" vertical="center" wrapText="1"/>
    </xf>
    <xf borderId="11" fillId="5" fontId="33" numFmtId="49" xfId="0" applyAlignment="1" applyBorder="1" applyFont="1" applyNumberFormat="1">
      <alignment horizontal="center" shrinkToFit="0" vertical="center" wrapText="1"/>
    </xf>
    <xf borderId="13" fillId="6" fontId="10" numFmtId="49" xfId="0" applyAlignment="1" applyBorder="1" applyFont="1" applyNumberFormat="1">
      <alignment horizontal="center" shrinkToFit="0" vertical="center" wrapText="1"/>
    </xf>
    <xf borderId="5" fillId="0" fontId="10" numFmtId="49" xfId="0" applyAlignment="1" applyBorder="1" applyFont="1" applyNumberFormat="1">
      <alignment horizontal="center" shrinkToFit="0" vertical="center" wrapText="1"/>
    </xf>
    <xf borderId="10" fillId="7" fontId="1" numFmtId="49" xfId="0" applyAlignment="1" applyBorder="1" applyFont="1" applyNumberFormat="1">
      <alignment horizontal="center" shrinkToFit="0" vertical="center" wrapText="1"/>
    </xf>
    <xf borderId="0" fillId="0" fontId="34" numFmtId="0" xfId="0" applyAlignment="1" applyFont="1">
      <alignment horizontal="center"/>
    </xf>
    <xf borderId="0" fillId="0" fontId="34" numFmtId="0" xfId="0" applyAlignment="1" applyFont="1">
      <alignment readingOrder="0"/>
    </xf>
    <xf borderId="15" fillId="6" fontId="10" numFmtId="0" xfId="0" applyAlignment="1" applyBorder="1" applyFont="1">
      <alignment horizontal="center" shrinkToFit="0" vertical="center" wrapText="1"/>
    </xf>
    <xf borderId="8" fillId="0" fontId="8" numFmtId="0" xfId="0" applyAlignment="1" applyBorder="1" applyFont="1">
      <alignment horizontal="center" readingOrder="0" shrinkToFit="0" vertical="center" wrapText="1"/>
    </xf>
    <xf borderId="8" fillId="0" fontId="35" numFmtId="0" xfId="0" applyAlignment="1" applyBorder="1" applyFont="1">
      <alignment readingOrder="0" shrinkToFit="0" vertical="center" wrapText="1"/>
    </xf>
    <xf borderId="8" fillId="0" fontId="1" numFmtId="167" xfId="0" applyAlignment="1" applyBorder="1" applyFont="1" applyNumberFormat="1">
      <alignment readingOrder="0" vertical="center"/>
    </xf>
    <xf borderId="8" fillId="7" fontId="36" numFmtId="167" xfId="0" applyAlignment="1" applyBorder="1" applyFont="1" applyNumberFormat="1">
      <alignment horizontal="center" readingOrder="0" vertical="center"/>
    </xf>
    <xf borderId="8" fillId="7" fontId="37" numFmtId="166" xfId="0" applyAlignment="1" applyBorder="1" applyFont="1" applyNumberFormat="1">
      <alignment horizontal="center" readingOrder="0" shrinkToFit="0" vertical="center" wrapText="1"/>
    </xf>
    <xf borderId="8" fillId="7" fontId="1" numFmtId="0" xfId="0" applyAlignment="1" applyBorder="1" applyFont="1">
      <alignment horizontal="center" readingOrder="0" shrinkToFit="0" vertical="center" wrapText="1"/>
    </xf>
    <xf borderId="8" fillId="0" fontId="1" numFmtId="0" xfId="0" applyAlignment="1" applyBorder="1" applyFont="1">
      <alignment horizontal="center" readingOrder="0" shrinkToFit="0" vertical="center" wrapText="1"/>
    </xf>
    <xf borderId="8" fillId="7" fontId="38" numFmtId="0" xfId="0" applyAlignment="1" applyBorder="1" applyFont="1">
      <alignment readingOrder="0" shrinkToFit="0" wrapText="1"/>
    </xf>
    <xf borderId="0" fillId="0" fontId="34" numFmtId="169" xfId="0" applyAlignment="1" applyFont="1" applyNumberFormat="1">
      <alignment horizontal="center" readingOrder="0" vertical="center"/>
    </xf>
    <xf borderId="8" fillId="7" fontId="1" numFmtId="169" xfId="0" applyAlignment="1" applyBorder="1" applyFont="1" applyNumberFormat="1">
      <alignment horizontal="center" readingOrder="0" shrinkToFit="0" vertical="center" wrapText="1"/>
    </xf>
    <xf borderId="8" fillId="8" fontId="39" numFmtId="0" xfId="0" applyAlignment="1" applyBorder="1" applyFont="1">
      <alignment horizontal="center" readingOrder="0" shrinkToFit="0" vertical="center" wrapText="1"/>
    </xf>
    <xf borderId="8" fillId="0" fontId="40" numFmtId="0" xfId="0" applyAlignment="1" applyBorder="1" applyFont="1">
      <alignment readingOrder="0" shrinkToFit="0" wrapText="1"/>
    </xf>
    <xf borderId="8" fillId="7" fontId="41" numFmtId="0" xfId="0" applyAlignment="1" applyBorder="1" applyFont="1">
      <alignment readingOrder="0" shrinkToFit="0" vertical="center" wrapText="1"/>
    </xf>
    <xf borderId="14" fillId="0" fontId="18" numFmtId="0" xfId="0" applyAlignment="1" applyBorder="1" applyFont="1">
      <alignment horizontal="center" shrinkToFit="0" vertical="top" wrapText="1"/>
    </xf>
    <xf borderId="0" fillId="0" fontId="34" numFmtId="167" xfId="0" applyAlignment="1" applyFont="1" applyNumberFormat="1">
      <alignment horizontal="center"/>
    </xf>
    <xf borderId="0" fillId="0" fontId="34" numFmtId="167" xfId="0" applyAlignment="1" applyFont="1" applyNumberFormat="1">
      <alignment horizontal="left"/>
    </xf>
    <xf borderId="12" fillId="0" fontId="11" numFmtId="167" xfId="0" applyAlignment="1" applyBorder="1" applyFont="1" applyNumberFormat="1">
      <alignment horizontal="center" shrinkToFit="0" vertical="center" wrapText="1"/>
    </xf>
    <xf borderId="11" fillId="5" fontId="42" numFmtId="167" xfId="0" applyAlignment="1" applyBorder="1" applyFont="1" applyNumberFormat="1">
      <alignment horizontal="center" shrinkToFit="0" vertical="center" wrapText="1"/>
    </xf>
    <xf borderId="13" fillId="6" fontId="10" numFmtId="167" xfId="0" applyAlignment="1" applyBorder="1" applyFont="1" applyNumberFormat="1">
      <alignment horizontal="left" shrinkToFit="0" vertical="center" wrapText="1"/>
    </xf>
    <xf borderId="8" fillId="7" fontId="43" numFmtId="0" xfId="0" applyAlignment="1" applyBorder="1" applyFont="1">
      <alignment readingOrder="0" shrinkToFit="0" vertical="center" wrapText="1"/>
    </xf>
    <xf borderId="8" fillId="7" fontId="44" numFmtId="167" xfId="0" applyAlignment="1" applyBorder="1" applyFont="1" applyNumberFormat="1">
      <alignment horizontal="center" readingOrder="0" vertical="center"/>
    </xf>
    <xf borderId="8" fillId="7" fontId="1" numFmtId="167" xfId="0" applyAlignment="1" applyBorder="1" applyFont="1" applyNumberFormat="1">
      <alignment horizontal="center" readingOrder="0" shrinkToFit="0" vertical="center" wrapText="1"/>
    </xf>
    <xf borderId="8" fillId="7" fontId="45" numFmtId="167" xfId="0" applyAlignment="1" applyBorder="1" applyFont="1" applyNumberFormat="1">
      <alignment horizontal="center" readingOrder="0" shrinkToFit="0" vertical="center" wrapText="1"/>
    </xf>
    <xf borderId="8" fillId="7" fontId="44" numFmtId="0" xfId="0" applyAlignment="1" applyBorder="1" applyFont="1">
      <alignment horizontal="center" readingOrder="0" shrinkToFit="0" vertical="center" wrapText="1"/>
    </xf>
    <xf borderId="8" fillId="7" fontId="1" numFmtId="0" xfId="0" applyAlignment="1" applyBorder="1" applyFont="1">
      <alignment horizontal="center" readingOrder="0" shrinkToFit="0" vertical="center" wrapText="1"/>
    </xf>
    <xf borderId="0" fillId="7" fontId="46" numFmtId="0" xfId="0" applyAlignment="1" applyFont="1">
      <alignment readingOrder="0" shrinkToFit="0" vertical="center" wrapText="1"/>
    </xf>
    <xf borderId="8" fillId="7" fontId="27" numFmtId="167" xfId="0" applyAlignment="1" applyBorder="1" applyFont="1" applyNumberFormat="1">
      <alignment horizontal="center" readingOrder="0" shrinkToFit="0" vertical="center" wrapText="1"/>
    </xf>
    <xf borderId="8" fillId="7" fontId="1" numFmtId="0" xfId="0" applyAlignment="1" applyBorder="1" applyFont="1">
      <alignment readingOrder="0" shrinkToFit="0" vertical="center" wrapText="1"/>
    </xf>
    <xf borderId="8" fillId="7" fontId="47" numFmtId="0" xfId="0" applyAlignment="1" applyBorder="1" applyFont="1">
      <alignment readingOrder="0" shrinkToFit="0" vertical="center" wrapText="1"/>
    </xf>
    <xf borderId="8" fillId="7" fontId="48" numFmtId="0" xfId="0" applyAlignment="1" applyBorder="1" applyFont="1">
      <alignment horizontal="center" readingOrder="0" shrinkToFit="0" vertical="center" wrapText="1"/>
    </xf>
    <xf borderId="14" fillId="0" fontId="18" numFmtId="167" xfId="0" applyAlignment="1" applyBorder="1" applyFont="1" applyNumberFormat="1">
      <alignment horizontal="center" shrinkToFit="0" vertical="top" wrapText="1"/>
    </xf>
    <xf borderId="14" fillId="0" fontId="18" numFmtId="167" xfId="0" applyAlignment="1" applyBorder="1" applyFont="1" applyNumberFormat="1">
      <alignment horizontal="left" shrinkToFit="0" vertical="top" wrapText="1"/>
    </xf>
    <xf borderId="0" fillId="0" fontId="23" numFmtId="167" xfId="0" applyAlignment="1" applyFont="1" applyNumberFormat="1">
      <alignment horizontal="center" shrinkToFit="0" vertical="center" wrapText="1"/>
    </xf>
    <xf borderId="0" fillId="0" fontId="8" numFmtId="167" xfId="0" applyAlignment="1" applyFont="1" applyNumberFormat="1">
      <alignment horizontal="center"/>
    </xf>
    <xf borderId="0" fillId="0" fontId="8" numFmtId="167" xfId="0" applyAlignment="1" applyFont="1" applyNumberFormat="1">
      <alignment horizontal="left"/>
    </xf>
    <xf borderId="12" fillId="0" fontId="11" numFmtId="0" xfId="0" applyAlignment="1" applyBorder="1" applyFont="1">
      <alignment horizontal="center" readingOrder="0" shrinkToFit="0" vertical="center" wrapText="1"/>
    </xf>
    <xf borderId="8" fillId="0" fontId="8" numFmtId="0" xfId="0" applyAlignment="1" applyBorder="1" applyFont="1">
      <alignment horizontal="center" readingOrder="0" shrinkToFit="0" vertical="center" wrapText="1"/>
    </xf>
    <xf borderId="0" fillId="7" fontId="49" numFmtId="0" xfId="0" applyAlignment="1" applyFon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50" numFmtId="167" xfId="0" applyAlignment="1" applyBorder="1" applyFont="1" applyNumberFormat="1">
      <alignment horizontal="center" readingOrder="0" shrinkToFit="0" vertical="center" wrapText="1"/>
    </xf>
    <xf borderId="8" fillId="7" fontId="8" numFmtId="0" xfId="0" applyAlignment="1" applyBorder="1" applyFont="1">
      <alignment horizontal="center" readingOrder="0" shrinkToFit="0" vertical="center" wrapText="1"/>
    </xf>
    <xf borderId="8" fillId="7" fontId="51" numFmtId="0" xfId="0" applyAlignment="1" applyBorder="1" applyFont="1">
      <alignment horizontal="left" readingOrder="0" shrinkToFit="0" vertical="center" wrapText="1"/>
    </xf>
    <xf borderId="8" fillId="7" fontId="52" numFmtId="0" xfId="0" applyAlignment="1" applyBorder="1" applyFont="1">
      <alignment horizontal="center" readingOrder="0" shrinkToFit="0" vertical="center" wrapText="1"/>
    </xf>
    <xf borderId="8" fillId="7" fontId="53" numFmtId="0" xfId="0" applyAlignment="1" applyBorder="1" applyFont="1">
      <alignment horizontal="center" readingOrder="0" shrinkToFit="0" vertical="center" wrapText="1"/>
    </xf>
    <xf borderId="8" fillId="7" fontId="54" numFmtId="0" xfId="0" applyAlignment="1" applyBorder="1" applyFont="1">
      <alignment horizontal="center" readingOrder="0" shrinkToFit="0" vertical="center" wrapText="1"/>
    </xf>
    <xf borderId="8" fillId="7" fontId="55" numFmtId="0" xfId="0" applyAlignment="1" applyBorder="1" applyFont="1">
      <alignment horizontal="center" readingOrder="0" shrinkToFit="0" vertical="center" wrapText="1"/>
    </xf>
    <xf borderId="0" fillId="0" fontId="56" numFmtId="0" xfId="0" applyFont="1"/>
    <xf borderId="8" fillId="0" fontId="57" numFmtId="0" xfId="0" applyAlignment="1" applyBorder="1" applyFont="1">
      <alignment horizontal="center" readingOrder="0" shrinkToFit="0" vertical="center" wrapText="1"/>
    </xf>
    <xf borderId="8" fillId="0" fontId="44" numFmtId="0" xfId="0" applyAlignment="1" applyBorder="1" applyFont="1">
      <alignment horizontal="center" readingOrder="0" shrinkToFit="0" vertical="center" wrapText="1"/>
    </xf>
    <xf borderId="8" fillId="0" fontId="58" numFmtId="0" xfId="0" applyAlignment="1" applyBorder="1" applyFont="1">
      <alignment horizontal="center" readingOrder="0" shrinkToFit="0" vertical="center" wrapText="1"/>
    </xf>
    <xf borderId="8" fillId="0" fontId="1" numFmtId="169" xfId="0" applyAlignment="1" applyBorder="1" applyFont="1" applyNumberFormat="1">
      <alignment horizontal="center" readingOrder="0" shrinkToFit="0" vertical="center" wrapText="1"/>
    </xf>
    <xf borderId="8" fillId="7" fontId="8" numFmtId="168" xfId="0" applyAlignment="1" applyBorder="1" applyFont="1" applyNumberFormat="1">
      <alignment horizontal="center" readingOrder="0" shrinkToFit="0" vertical="center" wrapText="1"/>
    </xf>
    <xf borderId="8" fillId="7" fontId="59" numFmtId="166" xfId="0" applyAlignment="1" applyBorder="1" applyFont="1" applyNumberFormat="1">
      <alignment horizontal="center" readingOrder="0" shrinkToFit="0" vertical="center" wrapText="1"/>
    </xf>
    <xf borderId="8" fillId="7" fontId="60" numFmtId="0" xfId="0" applyAlignment="1" applyBorder="1" applyFont="1">
      <alignment horizontal="center" readingOrder="0" shrinkToFit="0" vertical="center" wrapText="1"/>
    </xf>
    <xf borderId="8" fillId="0" fontId="61" numFmtId="0" xfId="0" applyAlignment="1" applyBorder="1" applyFont="1">
      <alignment horizontal="center" readingOrder="0" shrinkToFit="0" vertical="center" wrapText="1"/>
    </xf>
    <xf borderId="8" fillId="7" fontId="62" numFmtId="0" xfId="0" applyAlignment="1" applyBorder="1" applyFont="1">
      <alignment horizontal="center" readingOrder="0" shrinkToFit="0" vertical="center" wrapText="1"/>
    </xf>
    <xf borderId="14" fillId="0" fontId="63" numFmtId="0" xfId="0" applyAlignment="1" applyBorder="1" applyFont="1">
      <alignment horizontal="left" shrinkToFit="0" vertical="top" wrapText="1"/>
    </xf>
    <xf borderId="0" fillId="0" fontId="64" numFmtId="0" xfId="0" applyAlignment="1" applyFont="1">
      <alignment readingOrder="0" shrinkToFit="0" vertical="center" wrapText="1"/>
    </xf>
    <xf borderId="8" fillId="7" fontId="65" numFmtId="169" xfId="0" applyAlignment="1" applyBorder="1" applyFont="1" applyNumberFormat="1">
      <alignment horizontal="center" readingOrder="0" shrinkToFit="0" vertical="center" wrapText="1"/>
    </xf>
    <xf borderId="8" fillId="7" fontId="66" numFmtId="0" xfId="0" applyAlignment="1" applyBorder="1" applyFont="1">
      <alignment readingOrder="0" shrinkToFit="0" vertical="center" wrapText="1"/>
    </xf>
    <xf borderId="8" fillId="7" fontId="67" numFmtId="167" xfId="0" applyAlignment="1" applyBorder="1" applyFont="1" applyNumberFormat="1">
      <alignment horizontal="center" readingOrder="0" vertical="center"/>
    </xf>
    <xf borderId="0" fillId="7" fontId="67" numFmtId="167" xfId="0" applyAlignment="1" applyFont="1" applyNumberFormat="1">
      <alignment horizontal="center" readingOrder="0" vertical="center"/>
    </xf>
    <xf borderId="8" fillId="7" fontId="1" numFmtId="0" xfId="0" applyAlignment="1" applyBorder="1" applyFont="1">
      <alignment readingOrder="0" shrinkToFit="0" vertical="center" wrapText="1"/>
    </xf>
    <xf borderId="8" fillId="0" fontId="68" numFmtId="0" xfId="0" applyAlignment="1" applyBorder="1" applyFont="1">
      <alignment horizontal="left" readingOrder="0" shrinkToFit="0" vertical="center" wrapText="1"/>
    </xf>
    <xf borderId="8" fillId="7" fontId="69" numFmtId="0" xfId="0" applyAlignment="1" applyBorder="1" applyFont="1">
      <alignment horizontal="center" readingOrder="0" shrinkToFit="0" vertical="center" wrapText="1"/>
    </xf>
    <xf borderId="0" fillId="0" fontId="70" numFmtId="0" xfId="0" applyAlignment="1" applyFont="1">
      <alignment horizontal="left" readingOrder="0"/>
    </xf>
    <xf borderId="0" fillId="0" fontId="71" numFmtId="0" xfId="0" applyFont="1"/>
    <xf borderId="0" fillId="0" fontId="72" numFmtId="0" xfId="0" applyFont="1"/>
    <xf borderId="5" fillId="9" fontId="73" numFmtId="0" xfId="0" applyAlignment="1" applyBorder="1" applyFill="1" applyFont="1">
      <alignment horizontal="center" readingOrder="0"/>
    </xf>
    <xf borderId="0" fillId="0" fontId="73" numFmtId="0" xfId="0" applyFont="1"/>
    <xf borderId="5" fillId="0" fontId="73" numFmtId="0" xfId="0" applyAlignment="1" applyBorder="1" applyFont="1">
      <alignment readingOrder="0"/>
    </xf>
    <xf borderId="5" fillId="7" fontId="34" numFmtId="0" xfId="0" applyAlignment="1" applyBorder="1" applyFont="1">
      <alignment readingOrder="0"/>
    </xf>
    <xf borderId="16" fillId="7" fontId="73" numFmtId="0" xfId="0" applyBorder="1" applyFont="1"/>
    <xf borderId="5" fillId="0" fontId="34" numFmtId="0" xfId="0" applyAlignment="1" applyBorder="1" applyFont="1">
      <alignment readingOrder="0"/>
    </xf>
    <xf borderId="6" fillId="0" fontId="73" numFmtId="0" xfId="0" applyBorder="1" applyFont="1"/>
    <xf borderId="7" fillId="0" fontId="73" numFmtId="0" xfId="0" applyBorder="1" applyFont="1"/>
    <xf borderId="0" fillId="0" fontId="74" numFmtId="0" xfId="0" applyFont="1"/>
    <xf borderId="8" fillId="9" fontId="73" numFmtId="0" xfId="0" applyAlignment="1" applyBorder="1" applyFont="1">
      <alignment readingOrder="0"/>
    </xf>
    <xf borderId="0" fillId="0" fontId="73" numFmtId="0" xfId="0" applyAlignment="1" applyFont="1">
      <alignment horizontal="center"/>
    </xf>
    <xf borderId="8" fillId="0" fontId="75" numFmtId="0" xfId="0" applyAlignment="1" applyBorder="1" applyFont="1">
      <alignment horizontal="center" shrinkToFit="0" vertical="center" wrapText="1"/>
    </xf>
    <xf borderId="8" fillId="0" fontId="73" numFmtId="0" xfId="0" applyAlignment="1" applyBorder="1" applyFont="1">
      <alignment horizontal="center" readingOrder="0" shrinkToFit="0" vertical="center" wrapText="1"/>
    </xf>
    <xf borderId="8" fillId="0" fontId="73" numFmtId="0" xfId="0" applyAlignment="1" applyBorder="1" applyFont="1">
      <alignment horizontal="center" shrinkToFit="0" vertical="center" wrapText="1"/>
    </xf>
    <xf borderId="0" fillId="0" fontId="34" numFmtId="0" xfId="0" applyAlignment="1" applyFont="1">
      <alignment horizontal="center" readingOrder="0" shrinkToFit="0" vertical="center" wrapText="1"/>
    </xf>
    <xf borderId="8" fillId="0" fontId="73" numFmtId="0" xfId="0" applyAlignment="1" applyBorder="1" applyFont="1">
      <alignment readingOrder="0" shrinkToFit="0" vertical="center" wrapText="1"/>
    </xf>
    <xf borderId="0" fillId="0" fontId="34" numFmtId="0" xfId="0" applyAlignment="1" applyFont="1">
      <alignment readingOrder="0" shrinkToFit="0" vertical="center" wrapText="1"/>
    </xf>
    <xf borderId="0" fillId="0" fontId="73" numFmtId="0" xfId="0" applyAlignment="1" applyFont="1">
      <alignment horizontal="center" shrinkToFit="0" vertical="center" wrapText="1"/>
    </xf>
    <xf borderId="8" fillId="0" fontId="34" numFmtId="0" xfId="0" applyAlignment="1" applyBorder="1" applyFont="1">
      <alignment horizontal="center" readingOrder="0" shrinkToFit="0" vertical="center" wrapText="1"/>
    </xf>
    <xf borderId="0" fillId="0" fontId="72" numFmtId="0" xfId="0" applyAlignment="1" applyFont="1">
      <alignment horizontal="center" shrinkToFit="0" vertical="center" wrapText="1"/>
    </xf>
    <xf borderId="0" fillId="0" fontId="73" numFmtId="0" xfId="0" applyAlignment="1" applyFont="1">
      <alignment horizontal="center" vertical="center"/>
    </xf>
    <xf borderId="8" fillId="0" fontId="73" numFmtId="0" xfId="0" applyAlignment="1" applyBorder="1" applyFont="1">
      <alignment horizontal="center" readingOrder="0" vertical="center"/>
    </xf>
    <xf borderId="8" fillId="0" fontId="76" numFmtId="0" xfId="0" applyAlignment="1" applyBorder="1" applyFont="1">
      <alignment horizontal="center" readingOrder="0" shrinkToFit="0" vertical="center" wrapText="1"/>
    </xf>
    <xf borderId="5" fillId="0" fontId="73" numFmtId="0" xfId="0" applyBorder="1" applyFont="1"/>
    <xf borderId="8" fillId="0" fontId="73" numFmtId="0" xfId="0" applyBorder="1" applyFont="1"/>
    <xf borderId="0" fillId="0" fontId="34" numFmtId="167" xfId="0" applyFont="1" applyNumberFormat="1"/>
    <xf borderId="0" fillId="0" fontId="34" numFmtId="165" xfId="0" applyFont="1" applyNumberFormat="1"/>
    <xf borderId="13" fillId="6" fontId="10" numFmtId="165" xfId="0" applyAlignment="1" applyBorder="1" applyFont="1" applyNumberFormat="1">
      <alignment horizontal="center" readingOrder="0" shrinkToFit="0" vertical="center" wrapText="1"/>
    </xf>
    <xf borderId="8" fillId="7" fontId="8" numFmtId="167" xfId="0" applyAlignment="1" applyBorder="1" applyFont="1" applyNumberFormat="1">
      <alignment horizontal="center" readingOrder="0" shrinkToFit="0" vertical="center" wrapText="1"/>
    </xf>
    <xf borderId="8" fillId="7" fontId="77" numFmtId="165" xfId="0" applyAlignment="1" applyBorder="1" applyFont="1" applyNumberFormat="1">
      <alignment horizontal="center" readingOrder="0" shrinkToFit="0" vertical="center" wrapText="1"/>
    </xf>
    <xf borderId="8" fillId="0" fontId="8" numFmtId="165" xfId="0" applyAlignment="1" applyBorder="1" applyFont="1" applyNumberFormat="1">
      <alignment horizontal="center" readingOrder="0" shrinkToFit="0" vertical="center" wrapText="1"/>
    </xf>
    <xf borderId="14" fillId="0" fontId="18" numFmtId="165" xfId="0" applyAlignment="1" applyBorder="1" applyFont="1" applyNumberFormat="1">
      <alignment horizontal="left" shrinkToFit="0" vertical="top" wrapText="1"/>
    </xf>
    <xf borderId="0" fillId="0" fontId="8" numFmtId="167" xfId="0" applyFont="1" applyNumberFormat="1"/>
    <xf borderId="0" fillId="0" fontId="8" numFmtId="165" xfId="0" applyFont="1" applyNumberFormat="1"/>
    <xf borderId="13" fillId="6" fontId="10" numFmtId="167" xfId="0" applyAlignment="1" applyBorder="1" applyFont="1" applyNumberFormat="1">
      <alignment horizontal="center" shrinkToFit="0" vertical="center" wrapText="1"/>
    </xf>
    <xf borderId="8" fillId="7" fontId="78" numFmtId="0" xfId="0" applyAlignment="1" applyBorder="1" applyFont="1">
      <alignment readingOrder="0" shrinkToFit="0" vertical="center" wrapText="1"/>
    </xf>
    <xf borderId="0" fillId="7" fontId="79" numFmtId="0" xfId="0" applyAlignment="1" applyFont="1">
      <alignment readingOrder="0" shrinkToFit="0" vertical="center" wrapText="1"/>
    </xf>
    <xf borderId="0" fillId="0" fontId="56" numFmtId="167" xfId="0" applyFont="1" applyNumberFormat="1"/>
    <xf borderId="0" fillId="0" fontId="80" numFmtId="0" xfId="0" applyAlignment="1" applyFont="1">
      <alignment horizontal="center" vertical="center"/>
    </xf>
    <xf borderId="5" fillId="0" fontId="9" numFmtId="0" xfId="0" applyAlignment="1" applyBorder="1" applyFont="1">
      <alignment horizontal="center" shrinkToFit="0" vertical="center" wrapText="1"/>
    </xf>
    <xf borderId="12" fillId="0" fontId="57" numFmtId="0" xfId="0" applyAlignment="1" applyBorder="1" applyFont="1">
      <alignment horizontal="center" shrinkToFit="0" vertical="center" wrapText="1"/>
    </xf>
    <xf borderId="12" fillId="0" fontId="57" numFmtId="167" xfId="0" applyAlignment="1" applyBorder="1" applyFont="1" applyNumberFormat="1">
      <alignment horizontal="center" shrinkToFit="0" vertical="center" wrapText="1"/>
    </xf>
    <xf borderId="8" fillId="7" fontId="81" numFmtId="0" xfId="0" applyAlignment="1" applyBorder="1" applyFont="1">
      <alignment horizontal="center" readingOrder="0" shrinkToFit="0" vertical="center" wrapText="1"/>
    </xf>
    <xf borderId="8" fillId="7" fontId="44" numFmtId="167" xfId="0" applyAlignment="1" applyBorder="1" applyFont="1" applyNumberFormat="1">
      <alignment horizontal="center" readingOrder="0" shrinkToFit="0" vertical="center" wrapText="1"/>
    </xf>
    <xf borderId="8" fillId="7" fontId="54" numFmtId="0" xfId="0" applyAlignment="1" applyBorder="1" applyFont="1">
      <alignment horizontal="center" readingOrder="0" shrinkToFit="0" vertical="center" wrapText="1"/>
    </xf>
    <xf borderId="14" fillId="0" fontId="63" numFmtId="167" xfId="0" applyAlignment="1" applyBorder="1" applyFont="1" applyNumberFormat="1">
      <alignment horizontal="left" shrinkToFit="0" vertical="top" wrapText="1"/>
    </xf>
    <xf borderId="0" fillId="0" fontId="82" numFmtId="0" xfId="0" applyAlignment="1" applyFont="1">
      <alignment horizontal="center" shrinkToFit="0" vertical="center" wrapText="1"/>
    </xf>
    <xf borderId="0" fillId="0" fontId="82" numFmtId="167" xfId="0" applyAlignment="1" applyFont="1" applyNumberFormat="1">
      <alignment horizontal="center" shrinkToFit="0" vertical="center" wrapText="1"/>
    </xf>
    <xf borderId="8" fillId="7" fontId="83" numFmtId="0" xfId="0" applyAlignment="1" applyBorder="1" applyFont="1">
      <alignment horizontal="center" readingOrder="0" shrinkToFit="0" vertical="center" wrapText="1"/>
    </xf>
    <xf borderId="8" fillId="0" fontId="53" numFmtId="0" xfId="0" applyAlignment="1" applyBorder="1" applyFont="1">
      <alignment horizontal="center" readingOrder="0" shrinkToFit="0" vertical="center" wrapText="1"/>
    </xf>
    <xf borderId="7" fillId="7" fontId="1" numFmtId="167" xfId="0" applyAlignment="1" applyBorder="1" applyFont="1" applyNumberFormat="1">
      <alignment horizontal="center" readingOrder="0" shrinkToFit="0" vertical="center" wrapText="1"/>
    </xf>
    <xf borderId="10" fillId="7" fontId="44" numFmtId="0" xfId="0" applyAlignment="1" applyBorder="1" applyFont="1">
      <alignment horizontal="center" readingOrder="0" shrinkToFit="0" vertical="center" wrapText="1"/>
    </xf>
    <xf borderId="8" fillId="7" fontId="84" numFmtId="0" xfId="0" applyAlignment="1" applyBorder="1" applyFont="1">
      <alignment horizontal="center" readingOrder="0" shrinkToFit="0" vertical="center" wrapText="1"/>
    </xf>
    <xf borderId="7" fillId="7" fontId="1" numFmtId="0" xfId="0" applyAlignment="1" applyBorder="1" applyFont="1">
      <alignment horizontal="center" readingOrder="0" shrinkToFit="0" vertical="center" wrapText="1"/>
    </xf>
    <xf borderId="12" fillId="5" fontId="85" numFmtId="167" xfId="0" applyAlignment="1" applyBorder="1" applyFont="1" applyNumberFormat="1">
      <alignment horizontal="center" readingOrder="0" shrinkToFit="0" vertical="center" wrapText="1"/>
    </xf>
    <xf borderId="15" fillId="6" fontId="10" numFmtId="167" xfId="0" applyAlignment="1" applyBorder="1" applyFont="1" applyNumberFormat="1">
      <alignment horizontal="center" readingOrder="0" shrinkToFit="0" vertical="center" wrapText="1"/>
    </xf>
    <xf borderId="8" fillId="0" fontId="34" numFmtId="0" xfId="0" applyAlignment="1" applyBorder="1" applyFont="1">
      <alignment horizontal="left" readingOrder="0" shrinkToFit="0" vertical="top" wrapText="1"/>
    </xf>
    <xf borderId="8" fillId="0" fontId="34" numFmtId="0" xfId="0" applyAlignment="1" applyBorder="1" applyFont="1">
      <alignment readingOrder="0" shrinkToFit="0" wrapText="1"/>
    </xf>
    <xf borderId="8" fillId="0" fontId="34" numFmtId="167" xfId="0" applyAlignment="1" applyBorder="1" applyFont="1" applyNumberFormat="1">
      <alignment readingOrder="0" shrinkToFit="0" wrapText="1"/>
    </xf>
    <xf borderId="8" fillId="0" fontId="34" numFmtId="167" xfId="0" applyAlignment="1" applyBorder="1" applyFont="1" applyNumberFormat="1">
      <alignment horizontal="center" readingOrder="0" shrinkToFit="0" vertical="center" wrapText="1"/>
    </xf>
    <xf borderId="8" fillId="0" fontId="34" numFmtId="166" xfId="0" applyAlignment="1" applyBorder="1" applyFont="1" applyNumberFormat="1">
      <alignment horizontal="center" readingOrder="0" shrinkToFit="0" vertical="center" wrapText="1"/>
    </xf>
    <xf borderId="8" fillId="0" fontId="34" numFmtId="0" xfId="0" applyAlignment="1" applyBorder="1" applyFont="1">
      <alignment readingOrder="0" shrinkToFit="0" vertical="top" wrapText="1"/>
    </xf>
    <xf borderId="8" fillId="0" fontId="34" numFmtId="167" xfId="0" applyAlignment="1" applyBorder="1" applyFont="1" applyNumberFormat="1">
      <alignment readingOrder="0" shrinkToFit="0" vertical="center" wrapText="1"/>
    </xf>
    <xf borderId="8" fillId="0" fontId="34" numFmtId="167" xfId="0" applyAlignment="1" applyBorder="1" applyFont="1" applyNumberFormat="1">
      <alignment horizontal="center" readingOrder="0" vertical="center"/>
    </xf>
    <xf borderId="8" fillId="0" fontId="34" numFmtId="0" xfId="0" applyAlignment="1" applyBorder="1" applyFont="1">
      <alignment readingOrder="0" shrinkToFit="0" vertical="center" wrapText="1"/>
    </xf>
    <xf borderId="0" fillId="0" fontId="34" numFmtId="0" xfId="0" applyFont="1"/>
    <xf borderId="8" fillId="0" fontId="18" numFmtId="167" xfId="0" applyAlignment="1" applyBorder="1" applyFont="1" applyNumberFormat="1">
      <alignment horizontal="center" shrinkToFit="0" vertical="top" wrapText="1"/>
    </xf>
    <xf borderId="12" fillId="5" fontId="86" numFmtId="0" xfId="0" applyAlignment="1" applyBorder="1" applyFont="1">
      <alignment horizontal="center" readingOrder="0" shrinkToFit="0" vertical="center" wrapText="1"/>
    </xf>
    <xf borderId="15" fillId="6" fontId="10" numFmtId="0" xfId="0" applyAlignment="1" applyBorder="1" applyFont="1">
      <alignment horizontal="center" readingOrder="0" shrinkToFit="0" vertical="center" wrapText="1"/>
    </xf>
    <xf borderId="8" fillId="0" fontId="87" numFmtId="0" xfId="0" applyAlignment="1" applyBorder="1" applyFont="1">
      <alignment horizontal="center" readingOrder="0" shrinkToFit="0" vertical="top" wrapText="1"/>
    </xf>
    <xf borderId="8" fillId="0" fontId="34" numFmtId="170" xfId="0" applyAlignment="1" applyBorder="1" applyFont="1" applyNumberFormat="1">
      <alignment horizontal="center" readingOrder="0" shrinkToFit="0" vertical="center" wrapText="1"/>
    </xf>
    <xf borderId="8" fillId="0" fontId="34" numFmtId="168" xfId="0" applyAlignment="1" applyBorder="1" applyFont="1" applyNumberFormat="1">
      <alignment horizontal="center" readingOrder="0" shrinkToFit="0" vertical="center" wrapText="1"/>
    </xf>
    <xf borderId="8" fillId="0" fontId="8" numFmtId="0" xfId="0" applyAlignment="1" applyBorder="1" applyFont="1">
      <alignment horizontal="center" readingOrder="0" shrinkToFit="0" vertical="top" wrapText="1"/>
    </xf>
    <xf borderId="8" fillId="7" fontId="88" numFmtId="0" xfId="0" applyAlignment="1" applyBorder="1" applyFont="1">
      <alignment horizontal="center" readingOrder="0" shrinkToFit="0" vertical="center" wrapText="1"/>
    </xf>
    <xf borderId="8" fillId="0" fontId="89" numFmtId="0" xfId="0" applyAlignment="1" applyBorder="1" applyFont="1">
      <alignment horizontal="center" readingOrder="0" shrinkToFit="0" vertical="center" wrapText="1"/>
    </xf>
    <xf borderId="12" fillId="5" fontId="90" numFmtId="0" xfId="0" applyAlignment="1" applyBorder="1" applyFont="1">
      <alignment horizontal="center" shrinkToFit="0" vertical="center" wrapText="1"/>
    </xf>
    <xf borderId="8" fillId="0" fontId="91" numFmtId="0" xfId="0" applyAlignment="1" applyBorder="1" applyFont="1">
      <alignment horizontal="center" readingOrder="0" shrinkToFit="0" vertical="center" wrapText="1"/>
    </xf>
    <xf borderId="8" fillId="0" fontId="34" numFmtId="169" xfId="0" applyAlignment="1" applyBorder="1" applyFont="1" applyNumberFormat="1">
      <alignment horizontal="center" readingOrder="0" shrinkToFit="0" vertical="center" wrapText="1"/>
    </xf>
    <xf borderId="8" fillId="0" fontId="92" numFmtId="0" xfId="0" applyAlignment="1" applyBorder="1" applyFont="1">
      <alignment horizontal="center" readingOrder="0" shrinkToFit="0" vertical="center" wrapText="1"/>
    </xf>
    <xf borderId="8" fillId="10" fontId="93" numFmtId="0" xfId="0" applyAlignment="1" applyBorder="1" applyFill="1" applyFont="1">
      <alignment horizontal="center" readingOrder="0" shrinkToFit="0" vertical="center" wrapText="1"/>
    </xf>
    <xf borderId="0" fillId="3" fontId="9" numFmtId="0" xfId="0" applyAlignment="1" applyFont="1">
      <alignment horizontal="center" shrinkToFit="0" vertical="center" wrapText="1"/>
    </xf>
    <xf borderId="0" fillId="3" fontId="34" numFmtId="0" xfId="0" applyFont="1"/>
    <xf borderId="0" fillId="0" fontId="10" numFmtId="0" xfId="0" applyAlignment="1" applyFont="1">
      <alignment horizontal="center" readingOrder="0" vertical="center"/>
    </xf>
    <xf borderId="8" fillId="0" fontId="94" numFmtId="0" xfId="0" applyAlignment="1" applyBorder="1" applyFont="1">
      <alignment horizontal="center" readingOrder="0" shrinkToFit="0" vertical="center" wrapText="1"/>
    </xf>
    <xf borderId="0" fillId="0" fontId="95" numFmtId="0" xfId="0" applyAlignment="1" applyFont="1">
      <alignment vertical="bottom"/>
    </xf>
    <xf borderId="17" fillId="11" fontId="96" numFmtId="0" xfId="0" applyAlignment="1" applyBorder="1" applyFill="1" applyFont="1">
      <alignment horizontal="center" vertical="bottom"/>
    </xf>
    <xf borderId="18" fillId="0" fontId="3" numFmtId="0" xfId="0" applyBorder="1" applyFont="1"/>
    <xf borderId="19" fillId="12" fontId="95" numFmtId="0" xfId="0" applyAlignment="1" applyBorder="1" applyFill="1" applyFont="1">
      <alignment vertical="bottom"/>
    </xf>
    <xf borderId="19" fillId="0" fontId="95" numFmtId="171" xfId="0" applyAlignment="1" applyBorder="1" applyFont="1" applyNumberFormat="1">
      <alignment horizontal="right" vertical="bottom"/>
    </xf>
    <xf borderId="20" fillId="12" fontId="95" numFmtId="0" xfId="0" applyAlignment="1" applyBorder="1" applyFont="1">
      <alignment vertical="bottom"/>
    </xf>
    <xf borderId="20" fillId="0" fontId="95" numFmtId="171" xfId="0" applyAlignment="1" applyBorder="1" applyFont="1" applyNumberFormat="1">
      <alignment horizontal="right" vertical="bottom"/>
    </xf>
    <xf borderId="21" fillId="12" fontId="95" numFmtId="0" xfId="0" applyAlignment="1" applyBorder="1" applyFont="1">
      <alignment vertical="bottom"/>
    </xf>
    <xf borderId="21" fillId="0" fontId="95" numFmtId="171" xfId="0" applyAlignment="1" applyBorder="1" applyFont="1" applyNumberFormat="1">
      <alignment horizontal="right" vertical="bottom"/>
    </xf>
    <xf borderId="22" fillId="13" fontId="95" numFmtId="9" xfId="0" applyAlignment="1" applyBorder="1" applyFill="1" applyFont="1" applyNumberFormat="1">
      <alignment horizontal="right" vertical="bottom"/>
    </xf>
    <xf borderId="23" fillId="13" fontId="95" numFmtId="9" xfId="0" applyAlignment="1" applyBorder="1" applyFont="1" applyNumberFormat="1">
      <alignment horizontal="right" vertical="bottom"/>
    </xf>
    <xf borderId="24" fillId="12" fontId="95" numFmtId="0" xfId="0" applyAlignment="1" applyBorder="1" applyFont="1">
      <alignment vertical="bottom"/>
    </xf>
    <xf borderId="25" fillId="13" fontId="95" numFmtId="9" xfId="0" applyAlignment="1" applyBorder="1" applyFont="1" applyNumberFormat="1">
      <alignment horizontal="right" vertical="bottom"/>
    </xf>
    <xf borderId="26" fillId="11" fontId="96" numFmtId="0" xfId="0" applyAlignment="1" applyBorder="1" applyFont="1">
      <alignment vertical="bottom"/>
    </xf>
    <xf borderId="27" fillId="11" fontId="96" numFmtId="9" xfId="0" applyAlignment="1" applyBorder="1" applyFont="1" applyNumberFormat="1">
      <alignment horizontal="right" vertical="bottom"/>
    </xf>
    <xf borderId="19" fillId="13" fontId="95" numFmtId="10" xfId="0" applyAlignment="1" applyBorder="1" applyFont="1" applyNumberFormat="1">
      <alignment horizontal="right" vertical="bottom"/>
    </xf>
    <xf borderId="20" fillId="13" fontId="95" numFmtId="10" xfId="0" applyAlignment="1" applyBorder="1" applyFont="1" applyNumberFormat="1">
      <alignment horizontal="right" vertical="bottom"/>
    </xf>
    <xf borderId="24" fillId="13" fontId="95" numFmtId="10" xfId="0" applyAlignment="1" applyBorder="1" applyFont="1" applyNumberFormat="1">
      <alignment horizontal="right" vertical="bottom"/>
    </xf>
    <xf borderId="26" fillId="11" fontId="96" numFmtId="10" xfId="0" applyAlignment="1" applyBorder="1" applyFont="1" applyNumberFormat="1">
      <alignment horizontal="right" vertical="bottom"/>
    </xf>
    <xf borderId="17" fillId="12" fontId="95" numFmtId="0" xfId="0" applyAlignment="1" applyBorder="1" applyFont="1">
      <alignment horizontal="center" vertical="bottom"/>
    </xf>
    <xf borderId="21" fillId="13" fontId="95" numFmtId="10" xfId="0" applyAlignment="1" applyBorder="1" applyFont="1" applyNumberFormat="1">
      <alignment horizontal="right" vertical="bottom"/>
    </xf>
    <xf borderId="20" fillId="11" fontId="96" numFmtId="0" xfId="0" applyAlignment="1" applyBorder="1" applyFont="1">
      <alignment vertical="bottom"/>
    </xf>
    <xf borderId="20" fillId="11" fontId="96" numFmtId="9" xfId="0" applyAlignment="1" applyBorder="1" applyFont="1" applyNumberFormat="1">
      <alignment horizontal="right" vertical="bottom"/>
    </xf>
    <xf borderId="24" fillId="11" fontId="96" numFmtId="0" xfId="0" applyAlignment="1" applyBorder="1" applyFont="1">
      <alignment vertical="bottom"/>
    </xf>
    <xf borderId="24" fillId="11" fontId="96" numFmtId="9" xfId="0" applyAlignment="1" applyBorder="1" applyFont="1" applyNumberFormat="1">
      <alignment horizontal="right" vertical="bottom"/>
    </xf>
    <xf borderId="28" fillId="11" fontId="96" numFmtId="0" xfId="0" applyAlignment="1" applyBorder="1" applyFont="1">
      <alignment vertical="bottom"/>
    </xf>
    <xf borderId="29" fillId="11" fontId="96" numFmtId="10" xfId="0" applyAlignment="1" applyBorder="1" applyFont="1" applyNumberFormat="1">
      <alignment horizontal="right" vertical="bottom"/>
    </xf>
    <xf borderId="17" fillId="11" fontId="96" numFmtId="0" xfId="0" applyAlignment="1" applyBorder="1" applyFont="1">
      <alignment horizontal="center"/>
    </xf>
    <xf borderId="30" fillId="0" fontId="3" numFmtId="0" xfId="0" applyBorder="1" applyFont="1"/>
    <xf borderId="31" fillId="0" fontId="3" numFmtId="0" xfId="0" applyBorder="1" applyFont="1"/>
    <xf borderId="28" fillId="11" fontId="96" numFmtId="0" xfId="0" applyAlignment="1" applyBorder="1" applyFont="1">
      <alignment horizontal="center"/>
    </xf>
    <xf borderId="32" fillId="11" fontId="96" numFmtId="0" xfId="0" applyAlignment="1" applyBorder="1" applyFont="1">
      <alignment horizontal="center"/>
    </xf>
    <xf borderId="33" fillId="11" fontId="96" numFmtId="0" xfId="0" applyAlignment="1" applyBorder="1" applyFont="1">
      <alignment horizontal="center"/>
    </xf>
    <xf borderId="26" fillId="11" fontId="96" numFmtId="0" xfId="0" applyAlignment="1" applyBorder="1" applyFont="1">
      <alignment horizontal="center"/>
    </xf>
    <xf borderId="34" fillId="11" fontId="96" numFmtId="0" xfId="0" applyAlignment="1" applyBorder="1" applyFont="1">
      <alignment horizontal="center"/>
    </xf>
    <xf borderId="35" fillId="0" fontId="3" numFmtId="0" xfId="0" applyBorder="1" applyFont="1"/>
    <xf borderId="19" fillId="0" fontId="95" numFmtId="0" xfId="0" applyAlignment="1" applyBorder="1" applyFont="1">
      <alignment vertical="bottom"/>
    </xf>
    <xf borderId="36" fillId="0" fontId="95" numFmtId="171" xfId="0" applyAlignment="1" applyBorder="1" applyFont="1" applyNumberFormat="1">
      <alignment horizontal="right" vertical="bottom"/>
    </xf>
    <xf borderId="19" fillId="0" fontId="95" numFmtId="1" xfId="0" applyAlignment="1" applyBorder="1" applyFont="1" applyNumberFormat="1">
      <alignment horizontal="right" vertical="bottom"/>
    </xf>
    <xf borderId="37" fillId="13" fontId="95" numFmtId="171" xfId="0" applyAlignment="1" applyBorder="1" applyFont="1" applyNumberFormat="1">
      <alignment horizontal="right" vertical="bottom"/>
    </xf>
    <xf borderId="38" fillId="13" fontId="95" numFmtId="171" xfId="0" applyAlignment="1" applyBorder="1" applyFont="1" applyNumberFormat="1">
      <alignment horizontal="right" vertical="bottom"/>
    </xf>
    <xf borderId="39" fillId="13" fontId="95" numFmtId="171" xfId="0" applyAlignment="1" applyBorder="1" applyFont="1" applyNumberFormat="1">
      <alignment horizontal="right" vertical="bottom"/>
    </xf>
    <xf borderId="20" fillId="0" fontId="95" numFmtId="0" xfId="0" applyAlignment="1" applyBorder="1" applyFont="1">
      <alignment vertical="bottom"/>
    </xf>
    <xf borderId="40" fillId="0" fontId="95" numFmtId="171" xfId="0" applyAlignment="1" applyBorder="1" applyFont="1" applyNumberFormat="1">
      <alignment horizontal="right" vertical="bottom"/>
    </xf>
    <xf borderId="20" fillId="0" fontId="95" numFmtId="1" xfId="0" applyAlignment="1" applyBorder="1" applyFont="1" applyNumberFormat="1">
      <alignment horizontal="right" vertical="bottom"/>
    </xf>
    <xf borderId="41" fillId="13" fontId="95" numFmtId="171" xfId="0" applyAlignment="1" applyBorder="1" applyFont="1" applyNumberFormat="1">
      <alignment horizontal="right" vertical="bottom"/>
    </xf>
    <xf borderId="42" fillId="13" fontId="95" numFmtId="171" xfId="0" applyAlignment="1" applyBorder="1" applyFont="1" applyNumberFormat="1">
      <alignment horizontal="right" vertical="bottom"/>
    </xf>
    <xf borderId="40" fillId="0" fontId="95" numFmtId="171" xfId="0" applyAlignment="1" applyBorder="1" applyFont="1" applyNumberFormat="1">
      <alignment vertical="bottom"/>
    </xf>
    <xf borderId="20" fillId="0" fontId="95" numFmtId="171" xfId="0" applyAlignment="1" applyBorder="1" applyFont="1" applyNumberFormat="1">
      <alignment vertical="bottom"/>
    </xf>
    <xf borderId="43" fillId="0" fontId="95" numFmtId="0" xfId="0" applyAlignment="1" applyBorder="1" applyFont="1">
      <alignment vertical="bottom"/>
    </xf>
    <xf borderId="44" fillId="0" fontId="95" numFmtId="171" xfId="0" applyAlignment="1" applyBorder="1" applyFont="1" applyNumberFormat="1">
      <alignment vertical="bottom"/>
    </xf>
    <xf borderId="43" fillId="0" fontId="95" numFmtId="171" xfId="0" applyAlignment="1" applyBorder="1" applyFont="1" applyNumberFormat="1">
      <alignment vertical="bottom"/>
    </xf>
    <xf borderId="28" fillId="11" fontId="96" numFmtId="171" xfId="0" applyAlignment="1" applyBorder="1" applyFont="1" applyNumberFormat="1">
      <alignment horizontal="right" vertical="bottom"/>
    </xf>
    <xf borderId="28" fillId="11" fontId="95" numFmtId="0" xfId="0" applyAlignment="1" applyBorder="1" applyFont="1">
      <alignment vertical="bottom"/>
    </xf>
    <xf borderId="32" fillId="11" fontId="96" numFmtId="171" xfId="0" applyAlignment="1" applyBorder="1" applyFont="1" applyNumberFormat="1">
      <alignment horizontal="right" vertical="bottom"/>
    </xf>
    <xf borderId="0" fillId="0" fontId="95" numFmtId="171" xfId="0" applyAlignment="1" applyFont="1" applyNumberFormat="1">
      <alignment vertical="bottom"/>
    </xf>
    <xf borderId="22" fillId="13" fontId="95" numFmtId="171" xfId="0" applyAlignment="1" applyBorder="1" applyFont="1" applyNumberFormat="1">
      <alignment horizontal="right" vertical="bottom"/>
    </xf>
    <xf borderId="26" fillId="13" fontId="96" numFmtId="0" xfId="0" applyAlignment="1" applyBorder="1" applyFont="1">
      <alignment vertical="bottom"/>
    </xf>
    <xf borderId="27" fillId="13" fontId="96" numFmtId="171" xfId="0" applyAlignment="1" applyBorder="1" applyFont="1" applyNumberFormat="1">
      <alignment horizontal="right" vertical="bottom"/>
    </xf>
    <xf borderId="45" fillId="11" fontId="96" numFmtId="0" xfId="0" applyAlignment="1" applyBorder="1" applyFont="1">
      <alignment horizontal="center" vertical="bottom"/>
    </xf>
    <xf borderId="46" fillId="0" fontId="3" numFmtId="0" xfId="0" applyBorder="1" applyFont="1"/>
    <xf borderId="38" fillId="12" fontId="95" numFmtId="0" xfId="0" applyAlignment="1" applyBorder="1" applyFont="1">
      <alignment vertical="bottom"/>
    </xf>
    <xf borderId="19" fillId="13" fontId="95" numFmtId="171" xfId="0" applyAlignment="1" applyBorder="1" applyFont="1" applyNumberFormat="1">
      <alignment horizontal="right" vertical="bottom"/>
    </xf>
    <xf borderId="42" fillId="12" fontId="95" numFmtId="0" xfId="0" applyAlignment="1" applyBorder="1" applyFont="1">
      <alignment vertical="bottom"/>
    </xf>
    <xf borderId="47" fillId="12" fontId="95" numFmtId="0" xfId="0" applyAlignment="1" applyBorder="1" applyFont="1">
      <alignment vertical="bottom"/>
    </xf>
    <xf borderId="48" fillId="13" fontId="96" numFmtId="171" xfId="0" applyAlignment="1" applyBorder="1" applyFont="1" applyNumberFormat="1">
      <alignment horizontal="right" vertical="bottom"/>
    </xf>
    <xf borderId="28" fillId="13" fontId="96" numFmtId="0" xfId="0" applyAlignment="1" applyBorder="1" applyFont="1">
      <alignment vertical="bottom"/>
    </xf>
    <xf borderId="29" fillId="13" fontId="96" numFmtId="171" xfId="0" applyAlignment="1" applyBorder="1" applyFont="1" applyNumberForma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22" Type="http://schemas.openxmlformats.org/officeDocument/2006/relationships/worksheet" Target="worksheets/sheet19.xml"/><Relationship Id="rId21" Type="http://schemas.openxmlformats.org/officeDocument/2006/relationships/worksheet" Target="worksheets/sheet18.xml"/><Relationship Id="rId24" Type="http://schemas.openxmlformats.org/officeDocument/2006/relationships/worksheet" Target="worksheets/sheet21.xml"/><Relationship Id="rId23" Type="http://schemas.openxmlformats.org/officeDocument/2006/relationships/worksheet" Target="worksheets/sheet20.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customschemas.google.com/relationships/workbookmetadata" Target="metadata"/><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tigercomputadores.com/producto/c-gamer-amd-ryzen-5-5600g-a520m-wifi-16gb-512-m2-vega-7/" TargetMode="External"/><Relationship Id="rId2" Type="http://schemas.openxmlformats.org/officeDocument/2006/relationships/hyperlink" Target="https://powerdeal.com.co/collections/pc-gamer-ensamblados/products/copia-de-pc-torre-kayn-amd-ryzen-5-5600g-a520m-16gb-ssd-512gb-pd" TargetMode="External"/><Relationship Id="rId3" Type="http://schemas.openxmlformats.org/officeDocument/2006/relationships/hyperlink" Target="https://gtech.systems/producto/pc-gamer/linea-pro-gamer/pc-monster-a-ryzen-5-2400g-8-threads-vega-graphics/"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hyperlink" Target="https://www.mercadolibre.com.co/portatil-hp-15fc0260la-r57520u-8gb-1tb-ssd-w11/up/MCOU3414562067" TargetMode="External"/><Relationship Id="rId2" Type="http://schemas.openxmlformats.org/officeDocument/2006/relationships/hyperlink" Target="https://www.panamericana.com.co/portatil-acer-aspire-go-de-15-6-intel-ci5-13420h-ram-16-gb-512gb-ssd-w11-721022/p?srsltid=AfmBOorSE7BB_BCG3W_AEhEnNHiu88VyaZDwv2a78r36L-vN7R7w4uIp" TargetMode="External"/><Relationship Id="rId3" Type="http://schemas.openxmlformats.org/officeDocument/2006/relationships/hyperlink" Target="https://www.mercadolibre.com.co/portatil-asus-vivobook-15-amd-ryzen-7-16gb-512gb-windows-11-plateado/p/MCO63052946?pdp_filters=item_id%3AMCO1789962793&amp;from=gshop&amp;matt_tool=87585337&amp;matt_word=&amp;matt_source=google&amp;matt_campaign_id=22126928786&amp;matt_ad_group_id=173140661443&amp;matt_match_type=&amp;matt_network=g&amp;matt_device=c&amp;matt_creative=729836849962&amp;matt_keyword=&amp;matt_ad_position=&amp;matt_ad_type=pla&amp;matt_merchant_id=735122983&amp;matt_product_id=MCO63052946-product&amp;matt_product_partition_id=2389933078058&amp;matt_target_id=aud-2200363567910:pla-2389933078058&amp;cq_src=google_ads&amp;cq_cmp=22126928786&amp;cq_net=g&amp;cq_plt=gp&amp;cq_med=pla&amp;gad_source=1&amp;gad_campaignid=22126928786&amp;gbraid=0AAAAAD1DcozRCWvWDKp-eHmX_1NPqrQx0&amp;gclid=Cj0KCQjws83OBhD4ARIsACblj1_bGFdwebhPcJAi9_rqQF3ZMyyWDJ6DbcuOuyAik44e8tIH7mJII14aApUrEALw_wcB" TargetMode="External"/><Relationship Id="rId4"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hyperlink" Target="https://www.amazon.com/Acer-Monitor-pulgadas-compatibilidad-sincronizaci%C3%B3n/dp/B0D9MK23S7?th=1&amp;language=es_US&amp;currency=COP" TargetMode="External"/><Relationship Id="rId2" Type="http://schemas.openxmlformats.org/officeDocument/2006/relationships/hyperlink" Target="https://www.mercadolibre.com.co/monitor-aoc-22b35hm23-led-full-hd-22-120hz-con-hdmi-y-vga-negro/p/MCO57030646?pdp_filters=item_id%3AMCO3706011738&amp;from=gshop&amp;matt_tool=32927594&amp;matt_word=&amp;matt_source=google&amp;matt_campaign_id=22126928795&amp;matt_ad_group_id=173140665043&amp;matt_match_type=&amp;matt_network=g&amp;matt_device=c&amp;matt_creative=729917879993&amp;matt_keyword=&amp;matt_ad_position=&amp;matt_ad_type=pla&amp;matt_merchant_id=735127773&amp;matt_product_id=MCO57030646-product&amp;matt_product_partition_id=2388112038413&amp;matt_target_id=aud-2200363567910:pla-2388112038413&amp;cq_src=google_ads&amp;cq_cmp=22126928795&amp;cq_net=g&amp;cq_plt=gp&amp;cq_med=pla&amp;gad_source=1&amp;gad_campaignid=22126928795&amp;gbraid=0AAAAAD1DcoxfrUg4jabDNUTsmAg75yfkl&amp;gclid=Cj0KCQjws83OBhD4ARIsACblj185yFW1yg8KzpMWdpFYWWzKl0xAyKa12I-Icw5gkHuD8xm4BVN-t1waAs1SEALw_wcB" TargetMode="External"/><Relationship Id="rId3" Type="http://schemas.openxmlformats.org/officeDocument/2006/relationships/hyperlink" Target="https://www.falabella.com.co/falabella-co/product/151085606/monitor-samsung-essential-24-s33gf-fhd-hdmi-vga-100hz/151085607?kid=shopp261fa&amp;gclsrc=aw.ds&amp;gad_source=4&amp;gad_campaignid=21861273110&amp;gbraid=0AAAAADtuoyRiS9fCQ81DE1qLD4RbYjXf_&amp;gclid=Cj0KCQjws83OBhD4ARIsACblj19tmGFANehD-r9pyg-MvjP09-FfU25Njr-tHtRDEliWIHJG4Fp3PXsaAns6EALw_wcB" TargetMode="External"/><Relationship Id="rId4"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hyperlink" Target="https://articulo.mercadolibre.com.co/MCO-639015765-disco-duro-interno-seagate-barracuda-1tb-_JM" TargetMode="External"/><Relationship Id="rId2" Type="http://schemas.openxmlformats.org/officeDocument/2006/relationships/hyperlink" Target="https://www.falabella.com.co/falabella-co/product/118334759/Disco-duro-para-pc-1tb-western-digital-wd10ezex/118334761" TargetMode="External"/><Relationship Id="rId3" Type="http://schemas.openxmlformats.org/officeDocument/2006/relationships/hyperlink" Target="https://www.mercadolibre.com.co/disco-duro-externo-portatil-toshiba-1-tb-usb-30-color-negro/p/MCO32418108" TargetMode="External"/><Relationship Id="rId4"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hyperlink" Target="https://www.bluehost.com/pricing-and-plans?utm_campaign=brand_PPC&amp;utm_source=googleads&amp;utm_medium=brandsearch&amp;channelid=P61C101S570N0B5578A2D4499E0000V901&amp;siteid=46097236&amp;gclsrc=aw.ds&amp;gad_source=1&amp;gad_campaignid=22901189979&amp;gbraid=0AAAAADtGWPJCqV7uqcxDdvE1HAZTCw05N&amp;gclid=CjwKCAjw1tLOBhAMEiwAiPkRHjNyo_Q8Sy0ZXRi0JAPleXOqAVMLw8MjT7AclvHiHHONrM1fJ8zxgBoCeDMQAvD_BwE" TargetMode="External"/><Relationship Id="rId2" Type="http://schemas.openxmlformats.org/officeDocument/2006/relationships/hyperlink" Target="https://casaos.zimaspace.com/" TargetMode="External"/><Relationship Id="rId3" Type="http://schemas.openxmlformats.org/officeDocument/2006/relationships/hyperlink" Target="https://www.openmediavault.org/" TargetMode="External"/><Relationship Id="rId4"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mercadolibre.com.co/memoria-ram-premier-color-verde-16gb-1x16gb-adata-ad4s320016g22-sgn/p/MCO18724279" TargetMode="External"/><Relationship Id="rId2" Type="http://schemas.openxmlformats.org/officeDocument/2006/relationships/hyperlink" Target="https://articulo.mercadolibre.com.co/MCO-1654528271-memoria-ram-timetec-16-gb-ddr4-2400-mhz-pc4-19200-udimm-_JM" TargetMode="External"/><Relationship Id="rId3" Type="http://schemas.openxmlformats.org/officeDocument/2006/relationships/hyperlink" Target="https://www.exito.com/memoria-ram-16gb-ddr4-3200mhz-attech-para-portatil-104852224-mp/p" TargetMode="External"/><Relationship Id="rId4"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hyperlink" Target="https://speedlogic.com.co/tienda/tarjetas-graficas/nvidia/tarjeta-de-video-nvidia-geforce-asus-rtx-3050-dual-oc-auto-ex-6-gigas/?srsltid=AfmBOoqg_EtgLot8X-RAR43LAG-LoS0XVaSITYZSn3uMzGvlACYI0OUf" TargetMode="External"/><Relationship Id="rId2" Type="http://schemas.openxmlformats.org/officeDocument/2006/relationships/hyperlink" Target="https://www.amazon.com/-/es/ASRock-Challenger-DisplayPort-Enfriamiento-Silencioso/dp/B0C626FFG2" TargetMode="External"/><Relationship Id="rId3" Type="http://schemas.openxmlformats.org/officeDocument/2006/relationships/hyperlink" Target="https://www.mercadolibre.com.co/tarjeta-de-video-gigabyte-radeon-rx-7600-gaming-oc-8g-gddr6/p/MCO27793940" TargetMode="External"/><Relationship Id="rId4"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hyperlink" Target="https://www.mercadolibre.com.co/procesador-gamer-intel-core-i5-12400f-bx8071512400f-de-6-nucleos-y-44ghz-de-frecuencia/p/MCO18733972" TargetMode="External"/><Relationship Id="rId2" Type="http://schemas.openxmlformats.org/officeDocument/2006/relationships/hyperlink" Target="https://www.mercadolibre.com.co/procesador-amd-ryzen-5-5600gt-6-nucleos-am4-grafica-radeon/p/MCO32444906" TargetMode="External"/><Relationship Id="rId3" Type="http://schemas.openxmlformats.org/officeDocument/2006/relationships/hyperlink" Target="https://www.amazon.com/-/es/AMD-Procesador-desbloqueado-RyzenTM-9600X/dp/B0D6NN6TM7/ref=sr_1_3?__mk_es_US=%C3%85M%C3%85%C5%BD%C3%95%C3%91&amp;crid=1AH9NA5Z0VQJN&amp;dib=eyJ2IjoiMSJ9.z9fq0_6wXHuqejIEi2t8ldmGAKLVL7fdOStrySIhFgDdYhdp0KtgXIrN9EhJ6pxu8aoLNky7H3QLz6rC0jliEBFIHXasKAgbWITx-Ip5rBbng-Uq1TEYpsws__2PD-HwCw_1E1UAgta6CQ0EwOI2Y51Y4zsilwTR__AkYwl5xZ11QHtMD9Qypz07OVV6rTRXWBvDVtOp3rESfBm46xfZp3gIex0rz7d6JUMpQUtadgc.xmTWwP29NjQBaY1qOSBmTfdYW6FFdTRQ1bmn82x4-ws&amp;dib_tag=se&amp;keywords=Procesador%2BGamer%2BAMD%2BRyzen%2B5%2B7600X&amp;qid=1775520498&amp;sprefix=procesador%2Bgamer%2Bamd%2Bryzen%2B5%2B7600x%2B%2Caps%2C159&amp;sr=8-3&amp;th=1" TargetMode="External"/><Relationship Id="rId4"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hyperlink" Target="https://www.falabella.com.co/falabella-co/product/140143182/Teclado-USB-Genius-Smart-KB-100-Con-Teclas-12-Multimedia-FN/140143183" TargetMode="External"/><Relationship Id="rId2" Type="http://schemas.openxmlformats.org/officeDocument/2006/relationships/hyperlink" Target="https://www.exito.com/teclado-hp-125-alambrico-usb-negro-espanol-104852239-mp/p" TargetMode="External"/><Relationship Id="rId3" Type="http://schemas.openxmlformats.org/officeDocument/2006/relationships/hyperlink" Target="https://www.mercadolibre.com.co/maxell-teclado-alambr-kb-90-basico/p/MCO19931301" TargetMode="External"/><Relationship Id="rId4"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hyperlink" Target="https://www.falabella.com.co/falabella-co/product/120778408/Mouse-Logitech-M90-Usb/120778409" TargetMode="External"/><Relationship Id="rId2" Type="http://schemas.openxmlformats.org/officeDocument/2006/relationships/hyperlink" Target="https://www.mercadolibre.com.co/mouse-dell-ms116-negro/p/MCO6332790" TargetMode="External"/><Relationship Id="rId3" Type="http://schemas.openxmlformats.org/officeDocument/2006/relationships/hyperlink" Target="https://www.mercadolibre.com.co/mouse-inalambrico-marca--esenses-1000-dpi-wom-1010/up/MCOU3842376372" TargetMode="External"/><Relationship Id="rId4"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hyperlink" Target="https://www.microsoft.com/es-cl/download/details.aspx?id=104781&amp;utm_source=chatgpt.com" TargetMode="External"/><Relationship Id="rId2" Type="http://schemas.openxmlformats.org/officeDocument/2006/relationships/hyperlink" Target="https://www.microsoft.com/es-co/sql-server?utm_source=chatgpt.com" TargetMode="External"/><Relationship Id="rId3"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2.63" defaultRowHeight="15.0"/>
  <cols>
    <col customWidth="1" min="6" max="6" width="9.0"/>
    <col customWidth="1" min="7" max="7" width="20.0"/>
  </cols>
  <sheetData>
    <row r="1">
      <c r="A1" s="1"/>
      <c r="B1" s="1"/>
      <c r="C1" s="1"/>
      <c r="D1" s="1"/>
      <c r="E1" s="1"/>
      <c r="F1" s="1"/>
      <c r="G1" s="1"/>
      <c r="H1" s="1"/>
      <c r="I1" s="1"/>
      <c r="J1" s="1"/>
      <c r="K1" s="1"/>
      <c r="L1" s="1"/>
      <c r="M1" s="1"/>
      <c r="N1" s="1"/>
      <c r="O1" s="1"/>
    </row>
    <row r="2">
      <c r="A2" s="1"/>
      <c r="B2" s="1"/>
      <c r="C2" s="1"/>
      <c r="D2" s="1"/>
      <c r="E2" s="1"/>
      <c r="F2" s="1"/>
      <c r="G2" s="1"/>
      <c r="H2" s="1"/>
      <c r="I2" s="1"/>
      <c r="J2" s="1"/>
      <c r="K2" s="1"/>
      <c r="L2" s="1"/>
      <c r="M2" s="1"/>
      <c r="N2" s="1"/>
      <c r="O2" s="1"/>
    </row>
    <row r="3" ht="36.0" customHeight="1">
      <c r="A3" s="1"/>
      <c r="B3" s="1"/>
      <c r="C3" s="1"/>
      <c r="D3" s="1"/>
      <c r="E3" s="1"/>
      <c r="F3" s="2" t="s">
        <v>0</v>
      </c>
      <c r="G3" s="3"/>
      <c r="H3" s="3"/>
      <c r="I3" s="4"/>
      <c r="J3" s="1"/>
      <c r="K3" s="1"/>
      <c r="L3" s="1"/>
      <c r="M3" s="1"/>
      <c r="N3" s="1"/>
      <c r="O3" s="1"/>
    </row>
    <row r="4">
      <c r="A4" s="1"/>
      <c r="B4" s="1"/>
      <c r="C4" s="1"/>
      <c r="D4" s="1"/>
      <c r="E4" s="1"/>
      <c r="F4" s="1"/>
      <c r="G4" s="1"/>
      <c r="H4" s="1"/>
      <c r="I4" s="1"/>
      <c r="J4" s="1"/>
      <c r="K4" s="1"/>
      <c r="L4" s="1"/>
      <c r="M4" s="1"/>
      <c r="N4" s="1"/>
      <c r="O4" s="1"/>
    </row>
    <row r="5">
      <c r="A5" s="1"/>
      <c r="B5" s="1"/>
      <c r="C5" s="1"/>
      <c r="D5" s="1"/>
      <c r="E5" s="1"/>
      <c r="F5" s="1"/>
      <c r="G5" s="1"/>
      <c r="H5" s="1"/>
      <c r="I5" s="1"/>
      <c r="J5" s="1"/>
      <c r="K5" s="1"/>
      <c r="L5" s="1"/>
      <c r="M5" s="1"/>
      <c r="N5" s="1"/>
      <c r="O5" s="1"/>
    </row>
    <row r="6" ht="15.0" customHeight="1">
      <c r="A6" s="1"/>
      <c r="B6" s="1"/>
      <c r="C6" s="1"/>
      <c r="D6" s="5"/>
      <c r="E6" s="5"/>
      <c r="F6" s="5"/>
      <c r="G6" s="5"/>
      <c r="H6" s="5"/>
      <c r="I6" s="1"/>
      <c r="J6" s="1"/>
      <c r="K6" s="1"/>
      <c r="L6" s="1"/>
      <c r="M6" s="1"/>
      <c r="N6" s="1"/>
      <c r="O6" s="1"/>
    </row>
    <row r="7" ht="41.25" customHeight="1">
      <c r="A7" s="1"/>
      <c r="B7" s="1"/>
      <c r="C7" s="1"/>
      <c r="D7" s="6" t="s">
        <v>1</v>
      </c>
      <c r="E7" s="5"/>
      <c r="F7" s="7" t="s">
        <v>2</v>
      </c>
      <c r="G7" s="5"/>
      <c r="H7" s="5"/>
      <c r="I7" s="1"/>
      <c r="J7" s="1"/>
      <c r="K7" s="1"/>
      <c r="L7" s="1"/>
      <c r="M7" s="1"/>
      <c r="N7" s="1"/>
      <c r="O7" s="1"/>
    </row>
    <row r="8" ht="27.75" customHeight="1">
      <c r="A8" s="1"/>
      <c r="B8" s="1"/>
      <c r="C8" s="1"/>
      <c r="D8" s="5"/>
      <c r="E8" s="5"/>
      <c r="F8" s="7" t="s">
        <v>3</v>
      </c>
      <c r="G8" s="5"/>
      <c r="H8" s="5"/>
      <c r="I8" s="1"/>
      <c r="J8" s="1"/>
      <c r="K8" s="1"/>
      <c r="L8" s="1"/>
      <c r="M8" s="1"/>
      <c r="N8" s="1"/>
      <c r="O8" s="1"/>
    </row>
    <row r="9" ht="32.25" customHeight="1">
      <c r="A9" s="1"/>
      <c r="B9" s="1"/>
      <c r="C9" s="1"/>
      <c r="D9" s="6"/>
      <c r="E9" s="6"/>
      <c r="F9" s="7" t="s">
        <v>4</v>
      </c>
      <c r="G9" s="5"/>
      <c r="H9" s="5"/>
      <c r="I9" s="1"/>
      <c r="J9" s="1"/>
      <c r="K9" s="1"/>
      <c r="L9" s="8"/>
      <c r="M9" s="1"/>
      <c r="N9" s="1"/>
      <c r="O9" s="1"/>
    </row>
    <row r="10">
      <c r="A10" s="1"/>
      <c r="B10" s="1"/>
      <c r="C10" s="1"/>
      <c r="D10" s="6"/>
      <c r="E10" s="1"/>
      <c r="F10" s="7" t="s">
        <v>5</v>
      </c>
      <c r="G10" s="9"/>
      <c r="H10" s="1"/>
      <c r="I10" s="1"/>
      <c r="J10" s="1"/>
      <c r="K10" s="1"/>
      <c r="L10" s="1"/>
      <c r="M10" s="1"/>
      <c r="N10" s="1"/>
      <c r="O10" s="1"/>
    </row>
    <row r="11" ht="34.5" customHeight="1">
      <c r="A11" s="1"/>
      <c r="B11" s="1"/>
      <c r="C11" s="1"/>
      <c r="D11" s="6"/>
      <c r="E11" s="1"/>
      <c r="F11" s="10" t="s">
        <v>6</v>
      </c>
      <c r="G11" s="6"/>
      <c r="H11" s="1"/>
      <c r="I11" s="1"/>
      <c r="J11" s="1"/>
      <c r="K11" s="1"/>
      <c r="L11" s="1"/>
      <c r="M11" s="1"/>
      <c r="N11" s="1"/>
      <c r="O11" s="1"/>
    </row>
    <row r="12">
      <c r="A12" s="1"/>
      <c r="B12" s="1"/>
      <c r="C12" s="1"/>
      <c r="D12" s="11" t="s">
        <v>7</v>
      </c>
      <c r="E12" s="1"/>
      <c r="F12" s="1"/>
      <c r="G12" s="1"/>
      <c r="H12" s="1"/>
      <c r="I12" s="1"/>
      <c r="J12" s="1"/>
      <c r="K12" s="1"/>
      <c r="L12" s="1"/>
      <c r="M12" s="1"/>
      <c r="N12" s="1"/>
      <c r="O12" s="1"/>
    </row>
    <row r="13">
      <c r="A13" s="1"/>
      <c r="B13" s="1"/>
      <c r="C13" s="1"/>
      <c r="D13" s="6"/>
      <c r="E13" s="1"/>
      <c r="F13" s="1"/>
      <c r="G13" s="1"/>
      <c r="H13" s="1"/>
      <c r="I13" s="1"/>
      <c r="J13" s="1"/>
      <c r="K13" s="1"/>
      <c r="L13" s="1"/>
      <c r="M13" s="1"/>
      <c r="N13" s="1"/>
      <c r="O13" s="1"/>
    </row>
    <row r="14">
      <c r="A14" s="1"/>
      <c r="B14" s="1"/>
      <c r="C14" s="1"/>
      <c r="D14" s="1"/>
      <c r="E14" s="1"/>
      <c r="F14" s="1"/>
      <c r="G14" s="1"/>
      <c r="H14" s="1"/>
      <c r="I14" s="1"/>
      <c r="J14" s="1"/>
      <c r="K14" s="1"/>
      <c r="L14" s="1"/>
      <c r="M14" s="1"/>
      <c r="N14" s="1"/>
      <c r="O14" s="1"/>
    </row>
    <row r="15" ht="27.75" customHeight="1">
      <c r="A15" s="1"/>
      <c r="B15" s="1"/>
      <c r="C15" s="1"/>
      <c r="D15" s="1"/>
      <c r="E15" s="1"/>
      <c r="F15" s="6"/>
      <c r="G15" s="12" t="s">
        <v>8</v>
      </c>
      <c r="H15" s="12"/>
      <c r="I15" s="1"/>
      <c r="J15" s="1"/>
      <c r="K15" s="1"/>
      <c r="L15" s="1"/>
      <c r="M15" s="1"/>
      <c r="N15" s="1"/>
      <c r="O15" s="1"/>
    </row>
    <row r="16" ht="15.0" customHeight="1">
      <c r="A16" s="1"/>
      <c r="B16" s="1"/>
      <c r="C16" s="1"/>
      <c r="D16" s="1"/>
      <c r="E16" s="1"/>
      <c r="F16" s="1"/>
      <c r="G16" s="12"/>
      <c r="H16" s="1"/>
      <c r="I16" s="1"/>
      <c r="J16" s="1"/>
      <c r="K16" s="1"/>
      <c r="L16" s="1"/>
      <c r="M16" s="1"/>
      <c r="N16" s="1"/>
      <c r="O16" s="1"/>
    </row>
    <row r="17">
      <c r="A17" s="1"/>
      <c r="B17" s="1"/>
      <c r="C17" s="1"/>
      <c r="D17" s="1"/>
      <c r="E17" s="1"/>
      <c r="F17" s="1"/>
      <c r="G17" s="12" t="s">
        <v>9</v>
      </c>
      <c r="H17" s="1"/>
      <c r="I17" s="1"/>
      <c r="J17" s="1"/>
      <c r="K17" s="1"/>
      <c r="L17" s="1"/>
      <c r="M17" s="1"/>
      <c r="N17" s="1"/>
      <c r="O17" s="1"/>
    </row>
    <row r="18" ht="15.0" customHeight="1">
      <c r="A18" s="1"/>
      <c r="B18" s="1"/>
      <c r="C18" s="1"/>
      <c r="D18" s="1"/>
      <c r="E18" s="1"/>
      <c r="F18" s="1"/>
      <c r="G18" s="13"/>
      <c r="H18" s="1"/>
      <c r="I18" s="1"/>
      <c r="J18" s="1"/>
      <c r="K18" s="1"/>
      <c r="L18" s="1"/>
      <c r="M18" s="1"/>
      <c r="N18" s="1"/>
      <c r="O18" s="1"/>
    </row>
    <row r="19" ht="15.0" customHeight="1">
      <c r="A19" s="1"/>
      <c r="B19" s="1"/>
      <c r="C19" s="1"/>
      <c r="D19" s="1"/>
      <c r="E19" s="1"/>
      <c r="F19" s="1"/>
      <c r="G19" s="13"/>
      <c r="H19" s="1"/>
      <c r="I19" s="1"/>
      <c r="J19" s="1"/>
      <c r="K19" s="1"/>
      <c r="L19" s="1"/>
      <c r="M19" s="1"/>
      <c r="N19" s="1"/>
      <c r="O19" s="1"/>
    </row>
    <row r="20">
      <c r="A20" s="1"/>
      <c r="B20" s="1"/>
      <c r="C20" s="1"/>
      <c r="D20" s="1"/>
      <c r="E20" s="1"/>
      <c r="F20" s="1"/>
      <c r="G20" s="1"/>
      <c r="H20" s="1"/>
      <c r="I20" s="1"/>
      <c r="J20" s="1"/>
      <c r="K20" s="1"/>
      <c r="L20" s="1"/>
      <c r="M20" s="1"/>
      <c r="N20" s="1"/>
      <c r="O20" s="1"/>
    </row>
    <row r="21">
      <c r="A21" s="1"/>
      <c r="B21" s="1"/>
      <c r="C21" s="1"/>
      <c r="D21" s="1"/>
      <c r="E21" s="1"/>
      <c r="F21" s="1"/>
      <c r="G21" s="1"/>
      <c r="H21" s="1"/>
      <c r="I21" s="1"/>
      <c r="J21" s="1"/>
      <c r="K21" s="1"/>
      <c r="L21" s="1"/>
      <c r="M21" s="1"/>
      <c r="N21" s="1"/>
      <c r="O21" s="1"/>
    </row>
    <row r="22">
      <c r="A22" s="1"/>
      <c r="B22" s="1"/>
      <c r="C22" s="1"/>
      <c r="D22" s="1"/>
      <c r="E22" s="1"/>
      <c r="F22" s="1"/>
      <c r="G22" s="1"/>
      <c r="H22" s="1"/>
      <c r="I22" s="1"/>
      <c r="J22" s="1"/>
      <c r="K22" s="1"/>
      <c r="L22" s="1"/>
      <c r="M22" s="1"/>
      <c r="N22" s="1"/>
      <c r="O22" s="1"/>
    </row>
    <row r="23">
      <c r="A23" s="1"/>
      <c r="B23" s="1"/>
      <c r="C23" s="1"/>
      <c r="D23" s="1"/>
      <c r="E23" s="1"/>
      <c r="F23" s="1"/>
      <c r="G23" s="1"/>
      <c r="H23" s="1"/>
      <c r="I23" s="1"/>
      <c r="J23" s="1"/>
      <c r="K23" s="1"/>
      <c r="L23" s="1"/>
      <c r="M23" s="1"/>
      <c r="N23" s="1"/>
      <c r="O23" s="1"/>
    </row>
    <row r="24">
      <c r="A24" s="1"/>
      <c r="B24" s="1"/>
      <c r="C24" s="1"/>
      <c r="D24" s="1"/>
      <c r="E24" s="1"/>
      <c r="F24" s="1"/>
      <c r="G24" s="1"/>
      <c r="H24" s="1"/>
      <c r="I24" s="1"/>
      <c r="J24" s="1"/>
      <c r="K24" s="1"/>
      <c r="L24" s="1"/>
      <c r="M24" s="1"/>
      <c r="N24" s="1"/>
      <c r="O24" s="1"/>
    </row>
    <row r="25">
      <c r="A25" s="1"/>
      <c r="B25" s="1"/>
      <c r="C25" s="1"/>
      <c r="D25" s="1"/>
      <c r="E25" s="1"/>
      <c r="F25" s="1"/>
      <c r="G25" s="1"/>
      <c r="H25" s="1"/>
      <c r="I25" s="1"/>
      <c r="J25" s="1"/>
      <c r="K25" s="1"/>
      <c r="L25" s="1"/>
      <c r="M25" s="1"/>
      <c r="N25" s="1"/>
      <c r="O25" s="1"/>
    </row>
    <row r="26">
      <c r="A26" s="1"/>
      <c r="B26" s="1"/>
      <c r="C26" s="1"/>
      <c r="D26" s="1"/>
      <c r="E26" s="1"/>
      <c r="F26" s="1"/>
      <c r="G26" s="1"/>
      <c r="H26" s="1"/>
      <c r="I26" s="1"/>
      <c r="J26" s="1"/>
      <c r="K26" s="1"/>
      <c r="L26" s="1"/>
      <c r="M26" s="1"/>
      <c r="N26" s="1"/>
      <c r="O26" s="1"/>
    </row>
    <row r="27">
      <c r="A27" s="1"/>
      <c r="B27" s="1"/>
      <c r="C27" s="1"/>
      <c r="D27" s="1"/>
      <c r="E27" s="1"/>
      <c r="F27" s="1"/>
      <c r="G27" s="1"/>
      <c r="H27" s="1"/>
      <c r="I27" s="1"/>
      <c r="J27" s="1"/>
      <c r="K27" s="1"/>
      <c r="L27" s="1"/>
      <c r="M27" s="1"/>
      <c r="N27" s="1"/>
      <c r="O27" s="1"/>
    </row>
    <row r="28">
      <c r="A28" s="1"/>
      <c r="B28" s="1"/>
      <c r="C28" s="1"/>
      <c r="D28" s="1"/>
      <c r="E28" s="1"/>
      <c r="F28" s="1"/>
      <c r="G28" s="1"/>
      <c r="H28" s="1"/>
      <c r="I28" s="1"/>
      <c r="J28" s="1"/>
      <c r="K28" s="1"/>
      <c r="L28" s="1"/>
      <c r="M28" s="1"/>
      <c r="N28" s="1"/>
      <c r="O28" s="1"/>
    </row>
    <row r="29">
      <c r="A29" s="1"/>
      <c r="B29" s="1"/>
      <c r="C29" s="1"/>
      <c r="D29" s="1"/>
      <c r="E29" s="1"/>
      <c r="F29" s="1"/>
      <c r="G29" s="1"/>
      <c r="H29" s="1"/>
      <c r="I29" s="1"/>
      <c r="J29" s="1"/>
      <c r="K29" s="1"/>
      <c r="L29" s="1"/>
      <c r="M29" s="1"/>
      <c r="N29" s="1"/>
      <c r="O29" s="1"/>
    </row>
    <row r="30">
      <c r="A30" s="1"/>
      <c r="B30" s="1"/>
      <c r="C30" s="1"/>
      <c r="D30" s="1"/>
      <c r="E30" s="1"/>
      <c r="F30" s="1"/>
      <c r="G30" s="1"/>
      <c r="H30" s="1"/>
      <c r="I30" s="1"/>
      <c r="J30" s="1"/>
      <c r="K30" s="1"/>
      <c r="L30" s="1"/>
      <c r="M30" s="1"/>
      <c r="N30" s="1"/>
      <c r="O30" s="1"/>
    </row>
    <row r="31">
      <c r="A31" s="1"/>
      <c r="B31" s="1"/>
      <c r="C31" s="1"/>
      <c r="D31" s="1"/>
      <c r="E31" s="1"/>
      <c r="F31" s="1"/>
      <c r="G31" s="1"/>
      <c r="H31" s="1"/>
      <c r="I31" s="1"/>
      <c r="J31" s="1"/>
      <c r="K31" s="1"/>
      <c r="L31" s="1"/>
      <c r="M31" s="1"/>
      <c r="N31" s="1"/>
      <c r="O31" s="1"/>
    </row>
    <row r="32">
      <c r="A32" s="1"/>
      <c r="B32" s="1"/>
      <c r="C32" s="1"/>
      <c r="D32" s="1"/>
      <c r="E32" s="1"/>
      <c r="F32" s="1"/>
      <c r="G32" s="1"/>
      <c r="H32" s="1"/>
      <c r="I32" s="1"/>
      <c r="J32" s="1"/>
      <c r="K32" s="1"/>
      <c r="L32" s="1"/>
      <c r="M32" s="1"/>
      <c r="N32" s="1"/>
      <c r="O32" s="1"/>
    </row>
    <row r="33">
      <c r="A33" s="1"/>
      <c r="B33" s="1"/>
      <c r="C33" s="1"/>
      <c r="D33" s="1"/>
      <c r="E33" s="1"/>
      <c r="F33" s="1"/>
      <c r="G33" s="1"/>
      <c r="H33" s="1"/>
      <c r="I33" s="1"/>
      <c r="J33" s="1"/>
      <c r="K33" s="1"/>
      <c r="L33" s="1"/>
      <c r="M33" s="1"/>
      <c r="N33" s="1"/>
      <c r="O33" s="1"/>
    </row>
    <row r="34">
      <c r="A34" s="1"/>
      <c r="B34" s="1"/>
      <c r="C34" s="1"/>
      <c r="D34" s="1"/>
      <c r="E34" s="1"/>
      <c r="F34" s="1"/>
      <c r="G34" s="1"/>
      <c r="H34" s="1"/>
      <c r="I34" s="1"/>
      <c r="J34" s="1"/>
      <c r="K34" s="1"/>
      <c r="L34" s="1"/>
      <c r="M34" s="1"/>
      <c r="N34" s="1"/>
      <c r="O34" s="1"/>
    </row>
    <row r="35">
      <c r="A35" s="1"/>
      <c r="B35" s="1"/>
      <c r="C35" s="1"/>
      <c r="D35" s="1"/>
      <c r="E35" s="1"/>
      <c r="F35" s="1"/>
      <c r="G35" s="1"/>
      <c r="H35" s="1"/>
      <c r="I35" s="1"/>
      <c r="J35" s="1"/>
      <c r="K35" s="1"/>
      <c r="L35" s="1"/>
      <c r="M35" s="1"/>
      <c r="N35" s="1"/>
      <c r="O35" s="1"/>
    </row>
    <row r="36">
      <c r="A36" s="1"/>
      <c r="B36" s="1"/>
      <c r="C36" s="1"/>
      <c r="D36" s="1"/>
      <c r="E36" s="1"/>
      <c r="F36" s="1"/>
      <c r="G36" s="1"/>
      <c r="H36" s="1"/>
      <c r="I36" s="1"/>
      <c r="J36" s="1"/>
      <c r="K36" s="1"/>
      <c r="L36" s="1"/>
      <c r="M36" s="1"/>
      <c r="N36" s="1"/>
      <c r="O36" s="1"/>
    </row>
    <row r="37">
      <c r="A37" s="1"/>
      <c r="B37" s="1"/>
      <c r="C37" s="1"/>
      <c r="D37" s="1"/>
      <c r="E37" s="1"/>
      <c r="F37" s="1"/>
      <c r="G37" s="1"/>
      <c r="H37" s="1"/>
      <c r="I37" s="1"/>
      <c r="J37" s="1"/>
      <c r="K37" s="1"/>
      <c r="L37" s="1"/>
      <c r="M37" s="1"/>
      <c r="N37" s="1"/>
      <c r="O37" s="1"/>
    </row>
    <row r="38">
      <c r="A38" s="1"/>
      <c r="B38" s="1"/>
      <c r="C38" s="1"/>
      <c r="D38" s="1"/>
      <c r="E38" s="1"/>
      <c r="F38" s="1"/>
      <c r="G38" s="1"/>
      <c r="H38" s="1"/>
      <c r="I38" s="1"/>
      <c r="J38" s="1"/>
      <c r="K38" s="1"/>
      <c r="L38" s="1"/>
      <c r="M38" s="1"/>
      <c r="N38" s="1"/>
      <c r="O38" s="1"/>
    </row>
    <row r="39">
      <c r="A39" s="1"/>
      <c r="B39" s="1"/>
      <c r="C39" s="1"/>
      <c r="D39" s="1"/>
      <c r="E39" s="1"/>
      <c r="F39" s="1"/>
      <c r="G39" s="1"/>
      <c r="H39" s="1"/>
      <c r="I39" s="1"/>
      <c r="J39" s="1"/>
      <c r="K39" s="1"/>
      <c r="L39" s="1"/>
      <c r="M39" s="1"/>
      <c r="N39" s="1"/>
      <c r="O39" s="1"/>
    </row>
    <row r="40">
      <c r="A40" s="1"/>
      <c r="B40" s="1"/>
      <c r="C40" s="1"/>
      <c r="D40" s="1"/>
      <c r="E40" s="1"/>
      <c r="F40" s="1"/>
      <c r="G40" s="1"/>
      <c r="H40" s="1"/>
      <c r="I40" s="1"/>
      <c r="J40" s="1"/>
      <c r="K40" s="1"/>
      <c r="L40" s="1"/>
      <c r="M40" s="1"/>
      <c r="N40" s="1"/>
      <c r="O40" s="1"/>
    </row>
    <row r="41">
      <c r="A41" s="1"/>
      <c r="B41" s="1"/>
      <c r="C41" s="1"/>
      <c r="D41" s="1"/>
      <c r="E41" s="1"/>
      <c r="F41" s="1"/>
      <c r="G41" s="1"/>
      <c r="H41" s="1"/>
      <c r="I41" s="1"/>
      <c r="J41" s="1"/>
      <c r="K41" s="1"/>
      <c r="L41" s="1"/>
      <c r="M41" s="1"/>
      <c r="N41" s="1"/>
      <c r="O41" s="1"/>
    </row>
    <row r="42">
      <c r="A42" s="1"/>
      <c r="B42" s="1"/>
      <c r="C42" s="1"/>
      <c r="D42" s="1"/>
      <c r="E42" s="1"/>
      <c r="F42" s="1"/>
      <c r="G42" s="1"/>
      <c r="H42" s="1"/>
      <c r="I42" s="1"/>
      <c r="J42" s="1"/>
      <c r="K42" s="1"/>
      <c r="L42" s="1"/>
      <c r="M42" s="1"/>
      <c r="N42" s="1"/>
      <c r="O42" s="1"/>
    </row>
  </sheetData>
  <mergeCells count="1">
    <mergeCell ref="F3:I3"/>
  </mergeCells>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A64D79"/>
    <pageSetUpPr/>
  </sheetPr>
  <sheetViews>
    <sheetView workbookViewId="0"/>
  </sheetViews>
  <sheetFormatPr customHeight="1" defaultColWidth="12.63" defaultRowHeight="15.0"/>
  <cols>
    <col customWidth="1" min="1" max="2" width="19.13"/>
    <col customWidth="1" min="3" max="3" width="25.63"/>
    <col customWidth="1" min="4" max="4" width="26.5"/>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20" t="s">
        <v>13</v>
      </c>
      <c r="C7" s="21" t="s">
        <v>14</v>
      </c>
      <c r="D7" s="20" t="s">
        <v>15</v>
      </c>
      <c r="E7" s="20" t="s">
        <v>16</v>
      </c>
      <c r="F7" s="22" t="s">
        <v>17</v>
      </c>
      <c r="G7" s="23" t="s">
        <v>18</v>
      </c>
      <c r="H7" s="20" t="s">
        <v>19</v>
      </c>
      <c r="I7" s="20" t="s">
        <v>20</v>
      </c>
      <c r="J7" s="20" t="s">
        <v>21</v>
      </c>
      <c r="K7" s="24"/>
      <c r="L7" s="24"/>
      <c r="M7" s="24"/>
      <c r="N7" s="24"/>
      <c r="O7" s="24"/>
      <c r="P7" s="24"/>
      <c r="Q7" s="24"/>
      <c r="R7" s="24"/>
      <c r="S7" s="24"/>
      <c r="T7" s="24"/>
      <c r="U7" s="24"/>
      <c r="V7" s="24"/>
      <c r="W7" s="24"/>
      <c r="X7" s="24"/>
      <c r="Y7" s="24"/>
      <c r="Z7" s="24"/>
    </row>
    <row r="8" ht="50.25" customHeight="1">
      <c r="A8" s="25" t="s">
        <v>22</v>
      </c>
      <c r="B8" s="26" t="s">
        <v>23</v>
      </c>
      <c r="C8" s="27" t="s">
        <v>24</v>
      </c>
      <c r="D8" s="28" t="s">
        <v>25</v>
      </c>
      <c r="E8" s="29" t="s">
        <v>26</v>
      </c>
      <c r="F8" s="29" t="s">
        <v>26</v>
      </c>
      <c r="G8" s="29" t="s">
        <v>27</v>
      </c>
      <c r="H8" s="30" t="s">
        <v>28</v>
      </c>
      <c r="I8" s="31" t="s">
        <v>29</v>
      </c>
      <c r="J8" s="32" t="s">
        <v>30</v>
      </c>
    </row>
    <row r="9" ht="50.25" customHeight="1">
      <c r="A9" s="25" t="s">
        <v>31</v>
      </c>
      <c r="B9" s="33" t="s">
        <v>32</v>
      </c>
      <c r="C9" s="27" t="s">
        <v>33</v>
      </c>
      <c r="D9" s="28" t="s">
        <v>34</v>
      </c>
      <c r="E9" s="29" t="s">
        <v>35</v>
      </c>
      <c r="F9" s="29" t="s">
        <v>35</v>
      </c>
      <c r="G9" s="29" t="s">
        <v>36</v>
      </c>
      <c r="H9" s="30" t="s">
        <v>37</v>
      </c>
      <c r="I9" s="31" t="s">
        <v>38</v>
      </c>
      <c r="J9" s="34" t="s">
        <v>39</v>
      </c>
    </row>
    <row r="10" ht="50.25" customHeight="1">
      <c r="A10" s="25" t="s">
        <v>40</v>
      </c>
      <c r="B10" s="26" t="s">
        <v>41</v>
      </c>
      <c r="C10" s="27" t="s">
        <v>42</v>
      </c>
      <c r="D10" s="28" t="s">
        <v>43</v>
      </c>
      <c r="E10" s="29">
        <v>2017000.0</v>
      </c>
      <c r="F10" s="29">
        <v>2017000.0</v>
      </c>
      <c r="G10" s="29" t="s">
        <v>44</v>
      </c>
      <c r="H10" s="30" t="s">
        <v>45</v>
      </c>
      <c r="I10" s="31" t="s">
        <v>38</v>
      </c>
      <c r="J10" s="35" t="s">
        <v>46</v>
      </c>
    </row>
    <row r="11" ht="15.0" hidden="1" customHeight="1">
      <c r="A11" s="36"/>
      <c r="B11" s="37"/>
      <c r="C11" s="37"/>
      <c r="D11" s="37"/>
      <c r="E11" s="37"/>
      <c r="F11" s="37"/>
      <c r="G11" s="37"/>
      <c r="H11" s="37"/>
      <c r="I11" s="37"/>
      <c r="J11" s="37"/>
    </row>
    <row r="12" ht="12.75" customHeight="1"/>
    <row r="13" ht="138.75" customHeight="1">
      <c r="A13" s="38" t="s">
        <v>47</v>
      </c>
      <c r="B13" s="17"/>
      <c r="C13" s="17"/>
      <c r="D13" s="17"/>
      <c r="E13" s="17"/>
      <c r="F13" s="17"/>
      <c r="G13" s="17"/>
      <c r="H13" s="17"/>
      <c r="I13" s="17"/>
      <c r="J13" s="18"/>
    </row>
    <row r="14" ht="12.75" customHeight="1"/>
    <row r="15" ht="75.0" customHeight="1">
      <c r="A15" s="39" t="s">
        <v>48</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1" t="s">
        <v>49</v>
      </c>
      <c r="C7" s="21" t="s">
        <v>50</v>
      </c>
      <c r="D7" s="41" t="s">
        <v>51</v>
      </c>
      <c r="E7" s="41" t="s">
        <v>52</v>
      </c>
      <c r="F7" s="42" t="s">
        <v>53</v>
      </c>
      <c r="G7" s="23" t="s">
        <v>54</v>
      </c>
      <c r="H7" s="41" t="s">
        <v>19</v>
      </c>
      <c r="I7" s="41" t="s">
        <v>55</v>
      </c>
      <c r="J7" s="41" t="s">
        <v>56</v>
      </c>
      <c r="K7" s="24"/>
      <c r="L7" s="24"/>
      <c r="M7" s="24"/>
      <c r="N7" s="24"/>
      <c r="O7" s="24"/>
      <c r="P7" s="24"/>
      <c r="Q7" s="24"/>
      <c r="R7" s="24"/>
      <c r="S7" s="24"/>
      <c r="T7" s="24"/>
      <c r="U7" s="24"/>
      <c r="V7" s="24"/>
      <c r="W7" s="24"/>
      <c r="X7" s="24"/>
      <c r="Y7" s="24"/>
      <c r="Z7" s="24"/>
    </row>
    <row r="8" ht="75.0" customHeight="1">
      <c r="A8" s="41" t="s">
        <v>22</v>
      </c>
      <c r="B8" s="26" t="s">
        <v>23</v>
      </c>
      <c r="C8" s="27" t="s">
        <v>24</v>
      </c>
      <c r="D8" s="43" t="s">
        <v>57</v>
      </c>
      <c r="E8" s="44">
        <v>330000.0</v>
      </c>
      <c r="F8" s="44">
        <v>330000.0</v>
      </c>
      <c r="G8" s="45">
        <v>89.43</v>
      </c>
      <c r="H8" s="30" t="s">
        <v>28</v>
      </c>
      <c r="I8" s="31" t="s">
        <v>29</v>
      </c>
      <c r="J8" s="32" t="s">
        <v>30</v>
      </c>
    </row>
    <row r="9" ht="50.25" customHeight="1">
      <c r="A9" s="41" t="s">
        <v>31</v>
      </c>
      <c r="B9" s="33" t="s">
        <v>32</v>
      </c>
      <c r="C9" s="27" t="s">
        <v>33</v>
      </c>
      <c r="D9" s="46" t="s">
        <v>58</v>
      </c>
      <c r="E9" s="44">
        <v>360000.0</v>
      </c>
      <c r="F9" s="44">
        <v>360000.0</v>
      </c>
      <c r="G9" s="45">
        <v>97.56</v>
      </c>
      <c r="H9" s="30" t="s">
        <v>37</v>
      </c>
      <c r="I9" s="31" t="s">
        <v>38</v>
      </c>
      <c r="J9" s="34" t="s">
        <v>39</v>
      </c>
    </row>
    <row r="10" ht="50.25" customHeight="1">
      <c r="A10" s="41" t="s">
        <v>40</v>
      </c>
      <c r="B10" s="26" t="s">
        <v>41</v>
      </c>
      <c r="C10" s="27" t="s">
        <v>42</v>
      </c>
      <c r="D10" s="47" t="s">
        <v>59</v>
      </c>
      <c r="E10" s="44">
        <v>399900.0</v>
      </c>
      <c r="F10" s="44">
        <v>399900.0</v>
      </c>
      <c r="G10" s="45">
        <v>109.37</v>
      </c>
      <c r="H10" s="30" t="s">
        <v>45</v>
      </c>
      <c r="I10" s="31" t="s">
        <v>38</v>
      </c>
      <c r="J10" s="35" t="s">
        <v>46</v>
      </c>
    </row>
    <row r="11" ht="15.0" hidden="1" customHeight="1">
      <c r="A11" s="36"/>
      <c r="B11" s="37"/>
      <c r="C11" s="37"/>
      <c r="D11" s="37"/>
      <c r="E11" s="37"/>
      <c r="F11" s="37"/>
      <c r="G11" s="37"/>
      <c r="H11" s="37"/>
      <c r="I11" s="37"/>
      <c r="J11" s="37"/>
    </row>
    <row r="12" ht="12.75" customHeight="1"/>
    <row r="13" ht="138.75" customHeight="1">
      <c r="A13" s="39" t="s">
        <v>60</v>
      </c>
      <c r="B13" s="17"/>
      <c r="C13" s="17"/>
      <c r="D13" s="17"/>
      <c r="E13" s="17"/>
      <c r="F13" s="17"/>
      <c r="G13" s="17"/>
      <c r="H13" s="17"/>
      <c r="I13" s="17"/>
      <c r="J13" s="18"/>
    </row>
    <row r="14" ht="12.75" customHeight="1"/>
    <row r="15" ht="75.0" customHeight="1">
      <c r="A15" s="39" t="s">
        <v>61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3C78D8"/>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48" t="s">
        <v>12</v>
      </c>
      <c r="B7" s="49" t="s">
        <v>62</v>
      </c>
      <c r="C7" s="21" t="s">
        <v>63</v>
      </c>
      <c r="D7" s="49" t="s">
        <v>64</v>
      </c>
      <c r="E7" s="49" t="s">
        <v>65</v>
      </c>
      <c r="F7" s="50" t="s">
        <v>66</v>
      </c>
      <c r="G7" s="51" t="s">
        <v>67</v>
      </c>
      <c r="H7" s="49" t="s">
        <v>19</v>
      </c>
      <c r="I7" s="49" t="s">
        <v>68</v>
      </c>
      <c r="J7" s="49" t="s">
        <v>69</v>
      </c>
      <c r="K7" s="24"/>
      <c r="L7" s="24"/>
      <c r="M7" s="24"/>
      <c r="N7" s="24"/>
      <c r="O7" s="24"/>
      <c r="P7" s="24"/>
      <c r="Q7" s="24"/>
      <c r="R7" s="24"/>
      <c r="S7" s="24"/>
      <c r="T7" s="24"/>
      <c r="U7" s="24"/>
      <c r="V7" s="24"/>
      <c r="W7" s="24"/>
      <c r="X7" s="24"/>
      <c r="Y7" s="24"/>
      <c r="Z7" s="24"/>
    </row>
    <row r="8" ht="50.25" customHeight="1">
      <c r="A8" s="25" t="s">
        <v>22</v>
      </c>
      <c r="B8" s="43" t="s">
        <v>70</v>
      </c>
      <c r="C8" s="52" t="s">
        <v>71</v>
      </c>
      <c r="D8" s="47" t="s">
        <v>72</v>
      </c>
      <c r="E8" s="53" t="s">
        <v>73</v>
      </c>
      <c r="F8" s="53" t="s">
        <v>73</v>
      </c>
      <c r="G8" s="54" t="s">
        <v>74</v>
      </c>
      <c r="H8" s="30" t="s">
        <v>28</v>
      </c>
      <c r="I8" s="31" t="s">
        <v>38</v>
      </c>
      <c r="J8" s="55"/>
    </row>
    <row r="9" ht="77.25" customHeight="1">
      <c r="A9" s="25" t="s">
        <v>31</v>
      </c>
      <c r="B9" s="56" t="s">
        <v>75</v>
      </c>
      <c r="C9" s="27" t="s">
        <v>76</v>
      </c>
      <c r="D9" s="57" t="s">
        <v>77</v>
      </c>
      <c r="E9" s="53" t="s">
        <v>78</v>
      </c>
      <c r="F9" s="53" t="s">
        <v>78</v>
      </c>
      <c r="G9" s="54" t="s">
        <v>79</v>
      </c>
      <c r="H9" s="30" t="s">
        <v>37</v>
      </c>
      <c r="I9" s="31" t="s">
        <v>38</v>
      </c>
      <c r="J9" s="58"/>
    </row>
    <row r="10" ht="50.25" customHeight="1">
      <c r="A10" s="25" t="s">
        <v>40</v>
      </c>
      <c r="B10" s="59" t="s">
        <v>80</v>
      </c>
      <c r="C10" s="27" t="s">
        <v>81</v>
      </c>
      <c r="D10" s="59" t="s">
        <v>82</v>
      </c>
      <c r="E10" s="60" t="s">
        <v>83</v>
      </c>
      <c r="F10" s="60" t="s">
        <v>83</v>
      </c>
      <c r="G10" s="54" t="s">
        <v>84</v>
      </c>
      <c r="H10" s="30" t="s">
        <v>45</v>
      </c>
      <c r="I10" s="31" t="s">
        <v>38</v>
      </c>
      <c r="J10" s="61"/>
    </row>
    <row r="11" ht="15.0" hidden="1" customHeight="1">
      <c r="A11" s="62"/>
      <c r="B11" s="63"/>
      <c r="C11" s="64"/>
      <c r="D11" s="63"/>
      <c r="E11" s="63"/>
      <c r="F11" s="63"/>
      <c r="G11" s="65"/>
      <c r="H11" s="66"/>
      <c r="I11" s="66"/>
      <c r="J11" s="66"/>
    </row>
    <row r="12" ht="12.75" customHeight="1"/>
    <row r="13" ht="138.75" customHeight="1">
      <c r="A13" s="39" t="s">
        <v>85</v>
      </c>
      <c r="B13" s="17"/>
      <c r="C13" s="17"/>
      <c r="D13" s="17"/>
      <c r="E13" s="17"/>
      <c r="F13" s="17"/>
      <c r="G13" s="17"/>
      <c r="H13" s="17"/>
      <c r="I13" s="17"/>
      <c r="J13" s="18"/>
    </row>
    <row r="14" ht="12.75" customHeight="1"/>
    <row r="15" ht="75.0" customHeight="1">
      <c r="A15" s="39" t="s">
        <v>86</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8">
    <mergeCell ref="D2:H2"/>
    <mergeCell ref="A5:J5"/>
    <mergeCell ref="B10:B11"/>
    <mergeCell ref="D10:D11"/>
    <mergeCell ref="E10:E11"/>
    <mergeCell ref="F10:F11"/>
    <mergeCell ref="A13:J13"/>
    <mergeCell ref="A15:J15"/>
  </mergeCells>
  <printOptions/>
  <pageMargins bottom="0.75" footer="0.0" header="0.0" left="0.7" right="0.7" top="0.75"/>
  <pageSetup orientation="landscape"/>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87</v>
      </c>
      <c r="C7" s="21" t="s">
        <v>88</v>
      </c>
      <c r="D7" s="49" t="s">
        <v>89</v>
      </c>
      <c r="E7" s="49" t="s">
        <v>90</v>
      </c>
      <c r="F7" s="50" t="s">
        <v>91</v>
      </c>
      <c r="G7" s="51" t="s">
        <v>92</v>
      </c>
      <c r="H7" s="49" t="s">
        <v>19</v>
      </c>
      <c r="I7" s="49" t="s">
        <v>93</v>
      </c>
      <c r="J7" s="49" t="s">
        <v>94</v>
      </c>
      <c r="K7" s="24"/>
      <c r="L7" s="24"/>
      <c r="M7" s="24"/>
      <c r="N7" s="24"/>
      <c r="O7" s="24"/>
      <c r="P7" s="24"/>
      <c r="Q7" s="24"/>
      <c r="R7" s="24"/>
      <c r="S7" s="24"/>
      <c r="T7" s="24"/>
      <c r="U7" s="24"/>
      <c r="V7" s="24"/>
      <c r="W7" s="24"/>
      <c r="X7" s="24"/>
      <c r="Y7" s="24"/>
      <c r="Z7" s="24"/>
    </row>
    <row r="8" ht="50.25" customHeight="1">
      <c r="A8" s="67" t="s">
        <v>22</v>
      </c>
      <c r="B8" s="43" t="s">
        <v>70</v>
      </c>
      <c r="C8" s="52" t="s">
        <v>71</v>
      </c>
      <c r="D8" s="47" t="s">
        <v>72</v>
      </c>
      <c r="E8" s="68" t="s">
        <v>95</v>
      </c>
      <c r="F8" s="68" t="s">
        <v>96</v>
      </c>
      <c r="G8" s="53" t="s">
        <v>97</v>
      </c>
      <c r="H8" s="30" t="s">
        <v>28</v>
      </c>
      <c r="I8" s="31" t="s">
        <v>38</v>
      </c>
      <c r="J8" s="55"/>
    </row>
    <row r="9" ht="50.25" customHeight="1">
      <c r="A9" s="67" t="s">
        <v>31</v>
      </c>
      <c r="B9" s="56" t="s">
        <v>75</v>
      </c>
      <c r="C9" s="27" t="s">
        <v>76</v>
      </c>
      <c r="D9" s="47" t="s">
        <v>98</v>
      </c>
      <c r="E9" s="68" t="s">
        <v>99</v>
      </c>
      <c r="F9" s="53" t="s">
        <v>99</v>
      </c>
      <c r="G9" s="53" t="s">
        <v>100</v>
      </c>
      <c r="H9" s="30" t="s">
        <v>37</v>
      </c>
      <c r="I9" s="31" t="s">
        <v>38</v>
      </c>
      <c r="J9" s="55"/>
    </row>
    <row r="10" ht="50.25" customHeight="1">
      <c r="A10" s="67" t="s">
        <v>40</v>
      </c>
      <c r="B10" s="59" t="s">
        <v>80</v>
      </c>
      <c r="C10" s="27" t="s">
        <v>81</v>
      </c>
      <c r="D10" s="43" t="s">
        <v>101</v>
      </c>
      <c r="E10" s="53" t="s">
        <v>102</v>
      </c>
      <c r="F10" s="53" t="s">
        <v>102</v>
      </c>
      <c r="G10" s="53" t="s">
        <v>103</v>
      </c>
      <c r="H10" s="30" t="s">
        <v>45</v>
      </c>
      <c r="I10" s="31" t="s">
        <v>38</v>
      </c>
      <c r="J10" s="64"/>
    </row>
    <row r="11" ht="15.0" hidden="1" customHeight="1">
      <c r="A11" s="62"/>
      <c r="B11" s="63"/>
      <c r="C11" s="64"/>
      <c r="D11" s="69"/>
      <c r="E11" s="69"/>
      <c r="F11" s="69"/>
      <c r="G11" s="69"/>
      <c r="H11" s="69"/>
      <c r="I11" s="69"/>
      <c r="J11" s="69"/>
    </row>
    <row r="12" ht="12.75" customHeight="1"/>
    <row r="13" ht="138.75" customHeight="1">
      <c r="A13" s="39" t="s">
        <v>104</v>
      </c>
      <c r="B13" s="17"/>
      <c r="C13" s="17"/>
      <c r="D13" s="17"/>
      <c r="E13" s="17"/>
      <c r="F13" s="17"/>
      <c r="G13" s="17"/>
      <c r="H13" s="17"/>
      <c r="I13" s="17"/>
      <c r="J13" s="18"/>
    </row>
    <row r="14" ht="12.75" customHeight="1"/>
    <row r="15" ht="75.0" customHeight="1">
      <c r="A15" s="39" t="s">
        <v>105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106</v>
      </c>
      <c r="C7" s="21" t="s">
        <v>107</v>
      </c>
      <c r="D7" s="49" t="s">
        <v>108</v>
      </c>
      <c r="E7" s="49" t="s">
        <v>109</v>
      </c>
      <c r="F7" s="50" t="s">
        <v>110</v>
      </c>
      <c r="G7" s="51" t="s">
        <v>111</v>
      </c>
      <c r="H7" s="49" t="s">
        <v>19</v>
      </c>
      <c r="I7" s="49" t="s">
        <v>112</v>
      </c>
      <c r="J7" s="49" t="s">
        <v>113</v>
      </c>
      <c r="K7" s="24"/>
      <c r="L7" s="24"/>
      <c r="M7" s="24"/>
      <c r="N7" s="24"/>
      <c r="O7" s="24"/>
      <c r="P7" s="24"/>
      <c r="Q7" s="24"/>
      <c r="R7" s="24"/>
      <c r="S7" s="24"/>
      <c r="T7" s="24"/>
      <c r="U7" s="24"/>
      <c r="V7" s="24"/>
      <c r="W7" s="24"/>
      <c r="X7" s="24"/>
      <c r="Y7" s="24"/>
      <c r="Z7" s="24"/>
    </row>
    <row r="8" ht="50.25" customHeight="1">
      <c r="A8" s="67" t="s">
        <v>22</v>
      </c>
      <c r="B8" s="53" t="s">
        <v>70</v>
      </c>
      <c r="C8" s="70" t="s">
        <v>71</v>
      </c>
      <c r="D8" s="71" t="s">
        <v>114</v>
      </c>
      <c r="E8" s="53" t="s">
        <v>115</v>
      </c>
      <c r="F8" s="53" t="s">
        <v>115</v>
      </c>
      <c r="G8" s="54" t="s">
        <v>116</v>
      </c>
      <c r="H8" s="72" t="s">
        <v>28</v>
      </c>
      <c r="I8" s="31" t="s">
        <v>38</v>
      </c>
      <c r="J8" s="73"/>
    </row>
    <row r="9" ht="50.25" customHeight="1">
      <c r="A9" s="67" t="s">
        <v>31</v>
      </c>
      <c r="B9" s="71" t="s">
        <v>75</v>
      </c>
      <c r="C9" s="74" t="s">
        <v>76</v>
      </c>
      <c r="D9" s="68" t="s">
        <v>117</v>
      </c>
      <c r="E9" s="68" t="s">
        <v>118</v>
      </c>
      <c r="F9" s="68" t="s">
        <v>118</v>
      </c>
      <c r="G9" s="54" t="s">
        <v>119</v>
      </c>
      <c r="H9" s="72" t="s">
        <v>37</v>
      </c>
      <c r="I9" s="31" t="s">
        <v>38</v>
      </c>
      <c r="J9" s="73"/>
    </row>
    <row r="10" ht="50.25" customHeight="1">
      <c r="A10" s="67" t="s">
        <v>40</v>
      </c>
      <c r="B10" s="60" t="s">
        <v>80</v>
      </c>
      <c r="C10" s="74" t="s">
        <v>81</v>
      </c>
      <c r="D10" s="68" t="s">
        <v>120</v>
      </c>
      <c r="E10" s="68" t="s">
        <v>121</v>
      </c>
      <c r="F10" s="68" t="s">
        <v>121</v>
      </c>
      <c r="G10" s="54" t="s">
        <v>122</v>
      </c>
      <c r="H10" s="72" t="s">
        <v>45</v>
      </c>
      <c r="I10" s="31" t="s">
        <v>38</v>
      </c>
      <c r="J10" s="73"/>
    </row>
    <row r="11" ht="15.0" hidden="1" customHeight="1">
      <c r="A11" s="36"/>
      <c r="B11" s="63"/>
      <c r="C11" s="75"/>
      <c r="D11" s="76"/>
      <c r="E11" s="76"/>
      <c r="F11" s="76"/>
      <c r="G11" s="76"/>
      <c r="H11" s="76"/>
      <c r="I11" s="76"/>
      <c r="J11" s="76"/>
    </row>
    <row r="12" ht="12.75" customHeight="1"/>
    <row r="13" ht="138.75" customHeight="1">
      <c r="A13" s="39" t="s">
        <v>123</v>
      </c>
      <c r="B13" s="17"/>
      <c r="C13" s="17"/>
      <c r="D13" s="17"/>
      <c r="E13" s="17"/>
      <c r="F13" s="17"/>
      <c r="G13" s="17"/>
      <c r="H13" s="17"/>
      <c r="I13" s="17"/>
      <c r="J13" s="18"/>
    </row>
    <row r="14" ht="12.75" customHeight="1"/>
    <row r="15" ht="75.0" customHeight="1">
      <c r="A15" s="39" t="s">
        <v>124</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5">
    <mergeCell ref="D2:H2"/>
    <mergeCell ref="A5:J5"/>
    <mergeCell ref="B10:B11"/>
    <mergeCell ref="A13:J13"/>
    <mergeCell ref="A15:J15"/>
  </mergeCells>
  <printOptions/>
  <pageMargins bottom="0.75" footer="0.0" header="0.0" left="0.7" right="0.7" top="0.75"/>
  <pageSetup orientation="landscape"/>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29.88"/>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125</v>
      </c>
      <c r="C7" s="21" t="s">
        <v>126</v>
      </c>
      <c r="D7" s="49" t="s">
        <v>127</v>
      </c>
      <c r="E7" s="49" t="s">
        <v>128</v>
      </c>
      <c r="F7" s="50" t="s">
        <v>129</v>
      </c>
      <c r="G7" s="77" t="s">
        <v>130</v>
      </c>
      <c r="H7" s="49" t="s">
        <v>19</v>
      </c>
      <c r="I7" s="49" t="s">
        <v>131</v>
      </c>
      <c r="J7" s="49" t="s">
        <v>132</v>
      </c>
      <c r="K7" s="24"/>
      <c r="L7" s="24"/>
      <c r="M7" s="24"/>
      <c r="N7" s="24"/>
      <c r="O7" s="24"/>
      <c r="P7" s="24"/>
      <c r="Q7" s="24"/>
      <c r="R7" s="24"/>
      <c r="S7" s="24"/>
      <c r="T7" s="24"/>
      <c r="U7" s="24"/>
      <c r="V7" s="24"/>
      <c r="W7" s="24"/>
      <c r="X7" s="24"/>
      <c r="Y7" s="24"/>
      <c r="Z7" s="24"/>
    </row>
    <row r="8" ht="50.25" customHeight="1">
      <c r="A8" s="67" t="s">
        <v>22</v>
      </c>
      <c r="B8" s="53" t="s">
        <v>133</v>
      </c>
      <c r="C8" s="53" t="s">
        <v>134</v>
      </c>
      <c r="D8" s="53" t="s">
        <v>135</v>
      </c>
      <c r="E8" s="53" t="s">
        <v>136</v>
      </c>
      <c r="F8" s="53" t="s">
        <v>136</v>
      </c>
      <c r="G8" s="53" t="s">
        <v>137</v>
      </c>
      <c r="H8" s="72" t="s">
        <v>28</v>
      </c>
      <c r="I8" s="53" t="s">
        <v>138</v>
      </c>
      <c r="J8" s="68" t="s">
        <v>139</v>
      </c>
    </row>
    <row r="9" ht="50.25" customHeight="1">
      <c r="A9" s="67" t="s">
        <v>31</v>
      </c>
      <c r="B9" s="53" t="s">
        <v>140</v>
      </c>
      <c r="C9" s="53" t="s">
        <v>141</v>
      </c>
      <c r="D9" s="53" t="s">
        <v>135</v>
      </c>
      <c r="E9" s="68" t="s">
        <v>142</v>
      </c>
      <c r="F9" s="68" t="s">
        <v>142</v>
      </c>
      <c r="G9" s="53" t="s">
        <v>143</v>
      </c>
      <c r="H9" s="72" t="s">
        <v>37</v>
      </c>
      <c r="I9" s="53" t="s">
        <v>138</v>
      </c>
      <c r="J9" s="68" t="s">
        <v>144</v>
      </c>
    </row>
    <row r="10" ht="50.25" customHeight="1">
      <c r="A10" s="67" t="s">
        <v>40</v>
      </c>
      <c r="B10" s="53" t="s">
        <v>145</v>
      </c>
      <c r="C10" s="53" t="s">
        <v>146</v>
      </c>
      <c r="D10" s="53" t="s">
        <v>135</v>
      </c>
      <c r="E10" s="68" t="s">
        <v>147</v>
      </c>
      <c r="F10" s="68" t="s">
        <v>147</v>
      </c>
      <c r="G10" s="53" t="s">
        <v>148</v>
      </c>
      <c r="H10" s="72" t="s">
        <v>45</v>
      </c>
      <c r="I10" s="53" t="s">
        <v>138</v>
      </c>
      <c r="J10" s="53" t="s">
        <v>149</v>
      </c>
    </row>
    <row r="11" ht="15.0" hidden="1" customHeight="1">
      <c r="A11" s="36"/>
      <c r="B11" s="78"/>
      <c r="C11" s="78"/>
      <c r="D11" s="78"/>
      <c r="E11" s="79">
        <v>11.9</v>
      </c>
      <c r="F11" s="78"/>
      <c r="G11" s="78"/>
      <c r="H11" s="78"/>
      <c r="I11" s="78"/>
      <c r="J11" s="78"/>
    </row>
    <row r="12" ht="12.75" customHeight="1"/>
    <row r="13" ht="138.75" customHeight="1">
      <c r="A13" s="39" t="s">
        <v>150</v>
      </c>
      <c r="B13" s="17"/>
      <c r="C13" s="17"/>
      <c r="D13" s="17"/>
      <c r="E13" s="17"/>
      <c r="F13" s="17"/>
      <c r="G13" s="17"/>
      <c r="H13" s="17"/>
      <c r="I13" s="17"/>
      <c r="J13" s="18"/>
    </row>
    <row r="14" ht="12.75" customHeight="1"/>
    <row r="15" ht="75.0" customHeight="1">
      <c r="A15" s="39" t="s">
        <v>151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80" t="s">
        <v>12</v>
      </c>
      <c r="B7" s="81" t="s">
        <v>152</v>
      </c>
      <c r="C7" s="82" t="s">
        <v>153</v>
      </c>
      <c r="D7" s="81" t="s">
        <v>154</v>
      </c>
      <c r="E7" s="81" t="s">
        <v>155</v>
      </c>
      <c r="F7" s="83" t="s">
        <v>156</v>
      </c>
      <c r="G7" s="84" t="s">
        <v>157</v>
      </c>
      <c r="H7" s="81" t="s">
        <v>19</v>
      </c>
      <c r="I7" s="81" t="s">
        <v>158</v>
      </c>
      <c r="J7" s="81" t="s">
        <v>159</v>
      </c>
      <c r="K7" s="24"/>
      <c r="L7" s="24"/>
      <c r="M7" s="24"/>
      <c r="N7" s="24"/>
      <c r="O7" s="24"/>
      <c r="P7" s="24"/>
      <c r="Q7" s="24"/>
      <c r="R7" s="24"/>
      <c r="S7" s="24"/>
      <c r="T7" s="24"/>
      <c r="U7" s="24"/>
      <c r="V7" s="24"/>
      <c r="W7" s="24"/>
      <c r="X7" s="24"/>
      <c r="Y7" s="24"/>
      <c r="Z7" s="24"/>
    </row>
    <row r="8" ht="50.25" customHeight="1">
      <c r="A8" s="85" t="s">
        <v>22</v>
      </c>
      <c r="B8" s="53" t="s">
        <v>160</v>
      </c>
      <c r="C8" s="53" t="s">
        <v>161</v>
      </c>
      <c r="D8" s="68" t="s">
        <v>162</v>
      </c>
      <c r="E8" s="68" t="s">
        <v>163</v>
      </c>
      <c r="F8" s="68" t="s">
        <v>163</v>
      </c>
      <c r="G8" s="53" t="s">
        <v>164</v>
      </c>
      <c r="H8" s="72" t="s">
        <v>28</v>
      </c>
      <c r="I8" s="53" t="s">
        <v>165</v>
      </c>
      <c r="J8" s="86"/>
    </row>
    <row r="9" ht="50.25" customHeight="1">
      <c r="A9" s="85" t="s">
        <v>31</v>
      </c>
      <c r="B9" s="53" t="s">
        <v>166</v>
      </c>
      <c r="C9" s="53" t="s">
        <v>167</v>
      </c>
      <c r="D9" s="68" t="s">
        <v>168</v>
      </c>
      <c r="E9" s="68" t="s">
        <v>163</v>
      </c>
      <c r="F9" s="68" t="s">
        <v>163</v>
      </c>
      <c r="G9" s="53" t="s">
        <v>164</v>
      </c>
      <c r="H9" s="72" t="s">
        <v>37</v>
      </c>
      <c r="I9" s="53" t="s">
        <v>165</v>
      </c>
      <c r="J9" s="87"/>
    </row>
    <row r="10" ht="50.25" customHeight="1">
      <c r="A10" s="85" t="s">
        <v>40</v>
      </c>
      <c r="B10" s="53" t="s">
        <v>169</v>
      </c>
      <c r="C10" s="53" t="s">
        <v>170</v>
      </c>
      <c r="D10" s="60" t="s">
        <v>171</v>
      </c>
      <c r="E10" s="88" t="s">
        <v>163</v>
      </c>
      <c r="F10" s="88" t="s">
        <v>163</v>
      </c>
      <c r="G10" s="53" t="s">
        <v>164</v>
      </c>
      <c r="H10" s="72" t="s">
        <v>45</v>
      </c>
      <c r="I10" s="53" t="s">
        <v>165</v>
      </c>
      <c r="J10" s="89"/>
    </row>
    <row r="11" ht="15.0" hidden="1" customHeight="1">
      <c r="A11" s="90"/>
      <c r="B11" s="91"/>
      <c r="C11" s="75"/>
      <c r="D11" s="63"/>
      <c r="E11" s="63"/>
      <c r="F11" s="63"/>
      <c r="G11" s="89"/>
      <c r="H11" s="89"/>
      <c r="I11" s="89"/>
      <c r="J11" s="89"/>
    </row>
    <row r="12" ht="12.75" customHeight="1"/>
    <row r="13" ht="138.75" customHeight="1">
      <c r="A13" s="39" t="s">
        <v>172</v>
      </c>
      <c r="B13" s="17"/>
      <c r="C13" s="17"/>
      <c r="D13" s="17"/>
      <c r="E13" s="17"/>
      <c r="F13" s="17"/>
      <c r="G13" s="17"/>
      <c r="H13" s="17"/>
      <c r="I13" s="17"/>
      <c r="J13" s="18"/>
    </row>
    <row r="14" ht="12.75" customHeight="1"/>
    <row r="15" ht="75.0" customHeight="1">
      <c r="A15" s="39" t="s">
        <v>173</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7">
    <mergeCell ref="D2:H2"/>
    <mergeCell ref="A5:J5"/>
    <mergeCell ref="D10:D11"/>
    <mergeCell ref="E10:E11"/>
    <mergeCell ref="F10:F11"/>
    <mergeCell ref="A13:J13"/>
    <mergeCell ref="A15:J15"/>
  </mergeCells>
  <printOptions/>
  <pageMargins bottom="0.75" footer="0.0" header="0.0" left="0.7" right="0.7" top="0.75"/>
  <pageSetup orientation="landscape"/>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92" t="s">
        <v>12</v>
      </c>
      <c r="B7" s="93" t="s">
        <v>174</v>
      </c>
      <c r="C7" s="94" t="s">
        <v>175</v>
      </c>
      <c r="D7" s="93" t="s">
        <v>176</v>
      </c>
      <c r="E7" s="93" t="s">
        <v>177</v>
      </c>
      <c r="F7" s="95" t="s">
        <v>178</v>
      </c>
      <c r="G7" s="96" t="s">
        <v>179</v>
      </c>
      <c r="H7" s="93" t="s">
        <v>19</v>
      </c>
      <c r="I7" s="93" t="s">
        <v>180</v>
      </c>
      <c r="J7" s="93" t="s">
        <v>181</v>
      </c>
      <c r="K7" s="24"/>
      <c r="L7" s="24"/>
      <c r="M7" s="24"/>
      <c r="N7" s="24"/>
      <c r="O7" s="24"/>
      <c r="P7" s="24"/>
      <c r="Q7" s="24"/>
      <c r="R7" s="24"/>
      <c r="S7" s="24"/>
      <c r="T7" s="24"/>
      <c r="U7" s="24"/>
      <c r="V7" s="24"/>
      <c r="W7" s="24"/>
      <c r="X7" s="24"/>
      <c r="Y7" s="24"/>
      <c r="Z7" s="24"/>
    </row>
    <row r="8" ht="50.25" customHeight="1">
      <c r="A8" s="97" t="s">
        <v>22</v>
      </c>
      <c r="B8" s="53" t="s">
        <v>160</v>
      </c>
      <c r="C8" s="53" t="s">
        <v>161</v>
      </c>
      <c r="D8" s="74" t="s">
        <v>182</v>
      </c>
      <c r="E8" s="68" t="s">
        <v>183</v>
      </c>
      <c r="F8" s="68" t="s">
        <v>183</v>
      </c>
      <c r="G8" s="53" t="s">
        <v>184</v>
      </c>
      <c r="H8" s="72" t="s">
        <v>28</v>
      </c>
      <c r="I8" s="53" t="s">
        <v>165</v>
      </c>
      <c r="J8" s="98"/>
    </row>
    <row r="9" ht="50.25" customHeight="1">
      <c r="A9" s="97" t="s">
        <v>31</v>
      </c>
      <c r="B9" s="53" t="s">
        <v>166</v>
      </c>
      <c r="C9" s="53" t="s">
        <v>167</v>
      </c>
      <c r="D9" s="53" t="s">
        <v>185</v>
      </c>
      <c r="E9" s="53" t="s">
        <v>186</v>
      </c>
      <c r="F9" s="53" t="s">
        <v>187</v>
      </c>
      <c r="G9" s="53" t="s">
        <v>184</v>
      </c>
      <c r="H9" s="72" t="s">
        <v>37</v>
      </c>
      <c r="I9" s="53" t="s">
        <v>165</v>
      </c>
      <c r="J9" s="98"/>
    </row>
    <row r="10" ht="50.25" customHeight="1">
      <c r="A10" s="97" t="s">
        <v>40</v>
      </c>
      <c r="B10" s="53" t="s">
        <v>169</v>
      </c>
      <c r="C10" s="53" t="s">
        <v>170</v>
      </c>
      <c r="D10" s="53" t="s">
        <v>188</v>
      </c>
      <c r="E10" s="68" t="s">
        <v>187</v>
      </c>
      <c r="F10" s="68" t="s">
        <v>187</v>
      </c>
      <c r="G10" s="53" t="s">
        <v>184</v>
      </c>
      <c r="H10" s="72" t="s">
        <v>45</v>
      </c>
      <c r="I10" s="53" t="s">
        <v>165</v>
      </c>
      <c r="J10" s="98"/>
    </row>
    <row r="11" ht="15.0" hidden="1" customHeight="1">
      <c r="A11" s="36"/>
      <c r="B11" s="78"/>
      <c r="C11" s="78"/>
      <c r="D11" s="78"/>
      <c r="E11" s="78"/>
      <c r="F11" s="78"/>
      <c r="G11" s="78"/>
      <c r="H11" s="78"/>
      <c r="I11" s="14" t="s">
        <v>189</v>
      </c>
      <c r="J11" s="78"/>
    </row>
    <row r="12" ht="12.75" customHeight="1"/>
    <row r="13" ht="138.75" customHeight="1">
      <c r="A13" s="39" t="s">
        <v>190</v>
      </c>
      <c r="B13" s="17"/>
      <c r="C13" s="17"/>
      <c r="D13" s="17"/>
      <c r="E13" s="17"/>
      <c r="F13" s="17"/>
      <c r="G13" s="17"/>
      <c r="H13" s="17"/>
      <c r="I13" s="17"/>
      <c r="J13" s="18"/>
    </row>
    <row r="14" ht="12.75" customHeight="1"/>
    <row r="15" ht="75.0" customHeight="1">
      <c r="A15" s="39" t="s">
        <v>191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9.38"/>
    <col customWidth="1" min="5" max="6" width="17.0"/>
    <col customWidth="1" min="7" max="7" width="18.0"/>
    <col customWidth="1" min="8" max="8" width="17.0"/>
    <col customWidth="1" min="9" max="9" width="23.38"/>
    <col customWidth="1" min="10" max="10" width="22.63"/>
    <col customWidth="1" min="11" max="26" width="10.0"/>
  </cols>
  <sheetData>
    <row r="1" ht="12.75" customHeight="1">
      <c r="J1" s="99"/>
    </row>
    <row r="2" ht="27.75" customHeight="1">
      <c r="D2" s="15" t="s">
        <v>10</v>
      </c>
      <c r="J2" s="99"/>
    </row>
    <row r="3" ht="12.75" customHeight="1">
      <c r="J3" s="99"/>
    </row>
    <row r="4" ht="12.75" customHeight="1">
      <c r="J4" s="99"/>
    </row>
    <row r="5" ht="43.5" customHeight="1">
      <c r="A5" s="16" t="s">
        <v>11</v>
      </c>
      <c r="B5" s="17"/>
      <c r="C5" s="17"/>
      <c r="D5" s="17"/>
      <c r="E5" s="17"/>
      <c r="F5" s="17"/>
      <c r="G5" s="17"/>
      <c r="H5" s="17"/>
      <c r="I5" s="17"/>
      <c r="J5" s="18"/>
      <c r="M5" s="100" t="s">
        <v>192</v>
      </c>
    </row>
    <row r="6" ht="15.75" customHeight="1">
      <c r="J6" s="99"/>
    </row>
    <row r="7" ht="75.75" customHeight="1">
      <c r="A7" s="19" t="s">
        <v>12</v>
      </c>
      <c r="B7" s="49" t="s">
        <v>193</v>
      </c>
      <c r="C7" s="21" t="s">
        <v>194</v>
      </c>
      <c r="D7" s="49" t="s">
        <v>195</v>
      </c>
      <c r="E7" s="49" t="s">
        <v>196</v>
      </c>
      <c r="F7" s="50" t="s">
        <v>197</v>
      </c>
      <c r="G7" s="101" t="s">
        <v>198</v>
      </c>
      <c r="H7" s="49" t="s">
        <v>19</v>
      </c>
      <c r="I7" s="49" t="s">
        <v>199</v>
      </c>
      <c r="J7" s="49" t="s">
        <v>200</v>
      </c>
      <c r="K7" s="24"/>
      <c r="M7" s="24"/>
      <c r="N7" s="24"/>
      <c r="O7" s="24"/>
      <c r="P7" s="24"/>
      <c r="Q7" s="24"/>
      <c r="R7" s="24"/>
      <c r="S7" s="24"/>
      <c r="T7" s="24"/>
      <c r="U7" s="24"/>
      <c r="V7" s="24"/>
      <c r="W7" s="24"/>
      <c r="X7" s="24"/>
      <c r="Y7" s="24"/>
      <c r="Z7" s="24"/>
    </row>
    <row r="8" ht="141.75" customHeight="1">
      <c r="A8" s="67" t="s">
        <v>22</v>
      </c>
      <c r="B8" s="43" t="s">
        <v>201</v>
      </c>
      <c r="C8" s="102" t="s">
        <v>202</v>
      </c>
      <c r="D8" s="103" t="s">
        <v>203</v>
      </c>
      <c r="E8" s="104">
        <v>2029000.0</v>
      </c>
      <c r="F8" s="104">
        <v>2029000.0</v>
      </c>
      <c r="G8" s="105">
        <v>557.45</v>
      </c>
      <c r="H8" s="106" t="s">
        <v>204</v>
      </c>
      <c r="I8" s="43" t="s">
        <v>205</v>
      </c>
      <c r="J8" s="107" t="s">
        <v>206</v>
      </c>
    </row>
    <row r="9" ht="124.5" customHeight="1">
      <c r="A9" s="67" t="s">
        <v>31</v>
      </c>
      <c r="B9" s="56" t="s">
        <v>207</v>
      </c>
      <c r="C9" s="108" t="s">
        <v>208</v>
      </c>
      <c r="D9" s="109" t="s">
        <v>209</v>
      </c>
      <c r="E9" s="110">
        <v>2399000.0</v>
      </c>
      <c r="F9" s="111">
        <v>2399000.0</v>
      </c>
      <c r="G9" s="45">
        <v>649.65</v>
      </c>
      <c r="H9" s="106" t="s">
        <v>210</v>
      </c>
      <c r="I9" s="43" t="s">
        <v>211</v>
      </c>
      <c r="J9" s="112" t="s">
        <v>206</v>
      </c>
    </row>
    <row r="10" ht="152.25" customHeight="1">
      <c r="A10" s="67" t="s">
        <v>40</v>
      </c>
      <c r="B10" s="43" t="s">
        <v>201</v>
      </c>
      <c r="C10" s="113" t="s">
        <v>202</v>
      </c>
      <c r="D10" s="114" t="s">
        <v>212</v>
      </c>
      <c r="E10" s="111">
        <v>1999000.0</v>
      </c>
      <c r="F10" s="111">
        <v>1999000.0</v>
      </c>
      <c r="G10" s="45">
        <v>549.21</v>
      </c>
      <c r="H10" s="106" t="s">
        <v>213</v>
      </c>
      <c r="I10" s="43" t="s">
        <v>205</v>
      </c>
      <c r="J10" s="112" t="s">
        <v>206</v>
      </c>
    </row>
    <row r="11" ht="15.0" customHeight="1">
      <c r="A11" s="36"/>
      <c r="B11" s="78"/>
      <c r="C11" s="79" t="s">
        <v>192</v>
      </c>
      <c r="D11" s="78"/>
      <c r="E11" s="78"/>
      <c r="F11" s="78"/>
      <c r="G11" s="78"/>
      <c r="H11" s="78"/>
      <c r="I11" s="78"/>
      <c r="J11" s="115"/>
    </row>
    <row r="12" ht="12.75" customHeight="1">
      <c r="J12" s="99"/>
    </row>
    <row r="13" ht="138.75" customHeight="1">
      <c r="A13" s="39" t="s">
        <v>214</v>
      </c>
      <c r="B13" s="17"/>
      <c r="C13" s="17"/>
      <c r="D13" s="17"/>
      <c r="E13" s="17"/>
      <c r="F13" s="17"/>
      <c r="G13" s="17"/>
      <c r="H13" s="17"/>
      <c r="I13" s="17"/>
      <c r="J13" s="18"/>
    </row>
    <row r="14" ht="12.75" customHeight="1">
      <c r="J14" s="99"/>
    </row>
    <row r="15" ht="75.0" customHeight="1">
      <c r="A15" s="39" t="s">
        <v>215</v>
      </c>
      <c r="B15" s="17"/>
      <c r="C15" s="17"/>
      <c r="D15" s="17"/>
      <c r="E15" s="17"/>
      <c r="F15" s="17"/>
      <c r="G15" s="17"/>
      <c r="H15" s="17"/>
      <c r="I15" s="17"/>
      <c r="J15" s="18"/>
    </row>
    <row r="16" ht="12.75" customHeight="1">
      <c r="J16" s="99"/>
    </row>
    <row r="17" ht="12.75" customHeight="1">
      <c r="J17" s="99"/>
    </row>
    <row r="18" ht="12.75" customHeight="1">
      <c r="J18" s="99"/>
    </row>
    <row r="19" ht="12.75" customHeight="1">
      <c r="J19" s="99"/>
    </row>
    <row r="20" ht="12.75" customHeight="1">
      <c r="J20" s="99"/>
    </row>
    <row r="21" ht="12.75" customHeight="1">
      <c r="J21" s="99"/>
    </row>
    <row r="22" ht="12.75" customHeight="1">
      <c r="J22" s="99"/>
    </row>
    <row r="23" ht="12.75" customHeight="1">
      <c r="J23" s="99"/>
    </row>
    <row r="24" ht="12.75" customHeight="1">
      <c r="J24" s="99"/>
    </row>
    <row r="25" ht="12.75" customHeight="1">
      <c r="J25" s="99"/>
    </row>
    <row r="26" ht="12.75" customHeight="1">
      <c r="D26" s="40"/>
      <c r="E26" s="40"/>
      <c r="F26" s="14"/>
      <c r="G26" s="14"/>
      <c r="J26" s="99"/>
    </row>
    <row r="27" ht="12.75" customHeight="1">
      <c r="J27" s="99"/>
    </row>
    <row r="28" ht="12.75" customHeight="1">
      <c r="J28" s="99"/>
    </row>
    <row r="29" ht="12.75" customHeight="1">
      <c r="J29" s="99"/>
    </row>
    <row r="30" ht="12.75" customHeight="1">
      <c r="J30" s="99"/>
    </row>
    <row r="31" ht="12.75" customHeight="1">
      <c r="J31" s="99"/>
    </row>
    <row r="32" ht="12.75" customHeight="1">
      <c r="J32" s="99"/>
    </row>
    <row r="33" ht="12.75" customHeight="1">
      <c r="J33" s="99"/>
    </row>
    <row r="34" ht="12.75" customHeight="1">
      <c r="J34" s="99"/>
    </row>
    <row r="35" ht="12.75" customHeight="1">
      <c r="J35" s="99"/>
    </row>
    <row r="36" ht="12.75" customHeight="1">
      <c r="J36" s="99"/>
    </row>
    <row r="37" ht="12.75" customHeight="1">
      <c r="J37" s="99"/>
    </row>
    <row r="38" ht="12.75" customHeight="1">
      <c r="J38" s="99"/>
    </row>
    <row r="39" ht="12.75" customHeight="1">
      <c r="J39" s="99"/>
    </row>
    <row r="40" ht="12.75" customHeight="1">
      <c r="J40" s="99"/>
    </row>
    <row r="41" ht="12.75" customHeight="1">
      <c r="J41" s="99"/>
    </row>
    <row r="42" ht="12.75" customHeight="1">
      <c r="J42" s="99"/>
    </row>
    <row r="43" ht="12.75" customHeight="1">
      <c r="J43" s="99"/>
    </row>
    <row r="44" ht="12.75" customHeight="1">
      <c r="J44" s="99"/>
    </row>
    <row r="45" ht="12.75" customHeight="1">
      <c r="J45" s="99"/>
    </row>
    <row r="46" ht="12.75" customHeight="1">
      <c r="J46" s="99"/>
    </row>
    <row r="47" ht="12.75" customHeight="1">
      <c r="J47" s="99"/>
    </row>
    <row r="48" ht="12.75" customHeight="1">
      <c r="J48" s="99"/>
    </row>
    <row r="49" ht="12.75" customHeight="1">
      <c r="J49" s="99"/>
    </row>
    <row r="50" ht="12.75" customHeight="1">
      <c r="J50" s="99"/>
    </row>
    <row r="51" ht="12.75" customHeight="1">
      <c r="J51" s="99"/>
    </row>
    <row r="52" ht="12.75" customHeight="1">
      <c r="J52" s="99"/>
    </row>
    <row r="53" ht="12.75" customHeight="1">
      <c r="J53" s="99"/>
    </row>
    <row r="54" ht="12.75" customHeight="1">
      <c r="J54" s="99"/>
    </row>
    <row r="55" ht="12.75" customHeight="1">
      <c r="J55" s="99"/>
    </row>
    <row r="56" ht="12.75" customHeight="1">
      <c r="J56" s="99"/>
    </row>
    <row r="57" ht="12.75" customHeight="1">
      <c r="J57" s="99"/>
    </row>
    <row r="58" ht="12.75" customHeight="1">
      <c r="J58" s="99"/>
    </row>
    <row r="59" ht="12.75" customHeight="1">
      <c r="J59" s="99"/>
    </row>
    <row r="60" ht="12.75" customHeight="1">
      <c r="J60" s="99"/>
    </row>
    <row r="61" ht="12.75" customHeight="1">
      <c r="J61" s="99"/>
    </row>
    <row r="62" ht="12.75" customHeight="1">
      <c r="J62" s="99"/>
    </row>
    <row r="63" ht="12.75" customHeight="1">
      <c r="J63" s="99"/>
    </row>
    <row r="64" ht="12.75" customHeight="1">
      <c r="J64" s="99"/>
    </row>
    <row r="65" ht="12.75" customHeight="1">
      <c r="J65" s="99"/>
    </row>
    <row r="66" ht="12.75" customHeight="1">
      <c r="J66" s="99"/>
    </row>
    <row r="67" ht="12.75" customHeight="1">
      <c r="J67" s="99"/>
    </row>
    <row r="68" ht="12.75" customHeight="1">
      <c r="J68" s="99"/>
    </row>
    <row r="69" ht="12.75" customHeight="1">
      <c r="J69" s="99"/>
    </row>
    <row r="70" ht="12.75" customHeight="1">
      <c r="J70" s="99"/>
    </row>
    <row r="71" ht="12.75" customHeight="1">
      <c r="J71" s="99"/>
    </row>
    <row r="72" ht="12.75" customHeight="1">
      <c r="J72" s="99"/>
    </row>
    <row r="73" ht="12.75" customHeight="1">
      <c r="J73" s="99"/>
    </row>
    <row r="74" ht="12.75" customHeight="1">
      <c r="J74" s="99"/>
    </row>
    <row r="75" ht="12.75" customHeight="1">
      <c r="J75" s="99"/>
    </row>
    <row r="76" ht="12.75" customHeight="1">
      <c r="J76" s="99"/>
    </row>
    <row r="77" ht="12.75" customHeight="1">
      <c r="J77" s="99"/>
    </row>
    <row r="78" ht="12.75" customHeight="1">
      <c r="J78" s="99"/>
    </row>
    <row r="79" ht="12.75" customHeight="1">
      <c r="J79" s="99"/>
    </row>
    <row r="80" ht="12.75" customHeight="1">
      <c r="J80" s="99"/>
    </row>
    <row r="81" ht="12.75" customHeight="1">
      <c r="J81" s="99"/>
    </row>
    <row r="82" ht="12.75" customHeight="1">
      <c r="J82" s="99"/>
    </row>
    <row r="83" ht="12.75" customHeight="1">
      <c r="J83" s="99"/>
    </row>
    <row r="84" ht="12.75" customHeight="1">
      <c r="J84" s="99"/>
    </row>
    <row r="85" ht="12.75" customHeight="1">
      <c r="J85" s="99"/>
    </row>
    <row r="86" ht="12.75" customHeight="1">
      <c r="J86" s="99"/>
    </row>
    <row r="87" ht="12.75" customHeight="1">
      <c r="J87" s="99"/>
    </row>
    <row r="88" ht="12.75" customHeight="1">
      <c r="J88" s="99"/>
    </row>
    <row r="89" ht="12.75" customHeight="1">
      <c r="J89" s="99"/>
    </row>
    <row r="90" ht="12.75" customHeight="1">
      <c r="J90" s="99"/>
    </row>
    <row r="91" ht="12.75" customHeight="1">
      <c r="J91" s="99"/>
    </row>
    <row r="92" ht="12.75" customHeight="1">
      <c r="J92" s="99"/>
    </row>
    <row r="93" ht="12.75" customHeight="1">
      <c r="J93" s="99"/>
    </row>
    <row r="94" ht="12.75" customHeight="1">
      <c r="J94" s="99"/>
    </row>
    <row r="95" ht="12.75" customHeight="1">
      <c r="J95" s="99"/>
    </row>
    <row r="96" ht="12.75" customHeight="1">
      <c r="J96" s="99"/>
    </row>
    <row r="97" ht="12.75" customHeight="1">
      <c r="J97" s="99"/>
    </row>
    <row r="98" ht="12.75" customHeight="1">
      <c r="J98" s="99"/>
    </row>
    <row r="99" ht="12.75" customHeight="1">
      <c r="J99" s="99"/>
    </row>
    <row r="100" ht="12.75" customHeight="1">
      <c r="J100" s="99"/>
    </row>
    <row r="101" ht="12.75" customHeight="1">
      <c r="J101" s="99"/>
    </row>
    <row r="102" ht="12.75" customHeight="1">
      <c r="J102" s="99"/>
    </row>
    <row r="103" ht="12.75" customHeight="1">
      <c r="J103" s="99"/>
    </row>
    <row r="104" ht="12.75" customHeight="1">
      <c r="J104" s="99"/>
    </row>
    <row r="105" ht="12.75" customHeight="1">
      <c r="J105" s="99"/>
    </row>
    <row r="106" ht="12.75" customHeight="1">
      <c r="J106" s="99"/>
    </row>
    <row r="107" ht="12.75" customHeight="1">
      <c r="J107" s="99"/>
    </row>
    <row r="108" ht="12.75" customHeight="1">
      <c r="J108" s="99"/>
    </row>
    <row r="109" ht="12.75" customHeight="1">
      <c r="J109" s="99"/>
    </row>
    <row r="110" ht="12.75" customHeight="1">
      <c r="J110" s="99"/>
    </row>
    <row r="111" ht="12.75" customHeight="1">
      <c r="J111" s="99"/>
    </row>
    <row r="112" ht="12.75" customHeight="1">
      <c r="J112" s="99"/>
    </row>
    <row r="113" ht="12.75" customHeight="1">
      <c r="J113" s="99"/>
    </row>
    <row r="114" ht="12.75" customHeight="1">
      <c r="J114" s="99"/>
    </row>
    <row r="115" ht="12.75" customHeight="1">
      <c r="J115" s="99"/>
    </row>
    <row r="116" ht="12.75" customHeight="1">
      <c r="J116" s="99"/>
    </row>
    <row r="117" ht="12.75" customHeight="1">
      <c r="J117" s="99"/>
    </row>
    <row r="118" ht="12.75" customHeight="1">
      <c r="J118" s="99"/>
    </row>
    <row r="119" ht="12.75" customHeight="1">
      <c r="J119" s="99"/>
    </row>
    <row r="120" ht="12.75" customHeight="1">
      <c r="J120" s="99"/>
    </row>
    <row r="121" ht="12.75" customHeight="1">
      <c r="J121" s="99"/>
    </row>
    <row r="122" ht="12.75" customHeight="1">
      <c r="J122" s="99"/>
    </row>
    <row r="123" ht="12.75" customHeight="1">
      <c r="J123" s="99"/>
    </row>
    <row r="124" ht="12.75" customHeight="1">
      <c r="J124" s="99"/>
    </row>
    <row r="125" ht="12.75" customHeight="1">
      <c r="J125" s="99"/>
    </row>
    <row r="126" ht="12.75" customHeight="1">
      <c r="J126" s="99"/>
    </row>
    <row r="127" ht="12.75" customHeight="1">
      <c r="J127" s="99"/>
    </row>
    <row r="128" ht="12.75" customHeight="1">
      <c r="J128" s="99"/>
    </row>
    <row r="129" ht="12.75" customHeight="1">
      <c r="J129" s="99"/>
    </row>
    <row r="130" ht="12.75" customHeight="1">
      <c r="J130" s="99"/>
    </row>
    <row r="131" ht="12.75" customHeight="1">
      <c r="J131" s="99"/>
    </row>
    <row r="132" ht="12.75" customHeight="1">
      <c r="J132" s="99"/>
    </row>
    <row r="133" ht="12.75" customHeight="1">
      <c r="J133" s="99"/>
    </row>
    <row r="134" ht="12.75" customHeight="1">
      <c r="J134" s="99"/>
    </row>
    <row r="135" ht="12.75" customHeight="1">
      <c r="J135" s="99"/>
    </row>
    <row r="136" ht="12.75" customHeight="1">
      <c r="J136" s="99"/>
    </row>
    <row r="137" ht="12.75" customHeight="1">
      <c r="J137" s="99"/>
    </row>
    <row r="138" ht="12.75" customHeight="1">
      <c r="J138" s="99"/>
    </row>
    <row r="139" ht="12.75" customHeight="1">
      <c r="J139" s="99"/>
    </row>
    <row r="140" ht="12.75" customHeight="1">
      <c r="J140" s="99"/>
    </row>
    <row r="141" ht="12.75" customHeight="1">
      <c r="J141" s="99"/>
    </row>
    <row r="142" ht="12.75" customHeight="1">
      <c r="J142" s="99"/>
    </row>
    <row r="143" ht="12.75" customHeight="1">
      <c r="J143" s="99"/>
    </row>
    <row r="144" ht="12.75" customHeight="1">
      <c r="J144" s="99"/>
    </row>
    <row r="145" ht="12.75" customHeight="1">
      <c r="J145" s="99"/>
    </row>
    <row r="146" ht="12.75" customHeight="1">
      <c r="J146" s="99"/>
    </row>
    <row r="147" ht="12.75" customHeight="1">
      <c r="J147" s="99"/>
    </row>
    <row r="148" ht="12.75" customHeight="1">
      <c r="J148" s="99"/>
    </row>
    <row r="149" ht="12.75" customHeight="1">
      <c r="J149" s="99"/>
    </row>
    <row r="150" ht="12.75" customHeight="1">
      <c r="J150" s="99"/>
    </row>
    <row r="151" ht="12.75" customHeight="1">
      <c r="J151" s="99"/>
    </row>
    <row r="152" ht="12.75" customHeight="1">
      <c r="J152" s="99"/>
    </row>
    <row r="153" ht="12.75" customHeight="1">
      <c r="J153" s="99"/>
    </row>
    <row r="154" ht="12.75" customHeight="1">
      <c r="J154" s="99"/>
    </row>
    <row r="155" ht="12.75" customHeight="1">
      <c r="J155" s="99"/>
    </row>
    <row r="156" ht="12.75" customHeight="1">
      <c r="J156" s="99"/>
    </row>
    <row r="157" ht="12.75" customHeight="1">
      <c r="J157" s="99"/>
    </row>
    <row r="158" ht="12.75" customHeight="1">
      <c r="J158" s="99"/>
    </row>
    <row r="159" ht="12.75" customHeight="1">
      <c r="J159" s="99"/>
    </row>
    <row r="160" ht="12.75" customHeight="1">
      <c r="J160" s="99"/>
    </row>
    <row r="161" ht="12.75" customHeight="1">
      <c r="J161" s="99"/>
    </row>
    <row r="162" ht="12.75" customHeight="1">
      <c r="J162" s="99"/>
    </row>
    <row r="163" ht="12.75" customHeight="1">
      <c r="J163" s="99"/>
    </row>
    <row r="164" ht="12.75" customHeight="1">
      <c r="J164" s="99"/>
    </row>
    <row r="165" ht="12.75" customHeight="1">
      <c r="J165" s="99"/>
    </row>
    <row r="166" ht="12.75" customHeight="1">
      <c r="J166" s="99"/>
    </row>
    <row r="167" ht="12.75" customHeight="1">
      <c r="J167" s="99"/>
    </row>
    <row r="168" ht="12.75" customHeight="1">
      <c r="J168" s="99"/>
    </row>
    <row r="169" ht="12.75" customHeight="1">
      <c r="J169" s="99"/>
    </row>
    <row r="170" ht="12.75" customHeight="1">
      <c r="J170" s="99"/>
    </row>
    <row r="171" ht="12.75" customHeight="1">
      <c r="J171" s="99"/>
    </row>
    <row r="172" ht="12.75" customHeight="1">
      <c r="J172" s="99"/>
    </row>
    <row r="173" ht="12.75" customHeight="1">
      <c r="J173" s="99"/>
    </row>
    <row r="174" ht="12.75" customHeight="1">
      <c r="J174" s="99"/>
    </row>
    <row r="175" ht="12.75" customHeight="1">
      <c r="J175" s="99"/>
    </row>
    <row r="176" ht="12.75" customHeight="1">
      <c r="J176" s="99"/>
    </row>
    <row r="177" ht="12.75" customHeight="1">
      <c r="J177" s="99"/>
    </row>
    <row r="178" ht="12.75" customHeight="1">
      <c r="J178" s="99"/>
    </row>
    <row r="179" ht="12.75" customHeight="1">
      <c r="J179" s="99"/>
    </row>
    <row r="180" ht="12.75" customHeight="1">
      <c r="J180" s="99"/>
    </row>
    <row r="181" ht="12.75" customHeight="1">
      <c r="J181" s="99"/>
    </row>
    <row r="182" ht="12.75" customHeight="1">
      <c r="J182" s="99"/>
    </row>
    <row r="183" ht="12.75" customHeight="1">
      <c r="J183" s="99"/>
    </row>
    <row r="184" ht="12.75" customHeight="1">
      <c r="J184" s="99"/>
    </row>
    <row r="185" ht="12.75" customHeight="1">
      <c r="J185" s="99"/>
    </row>
    <row r="186" ht="12.75" customHeight="1">
      <c r="J186" s="99"/>
    </row>
    <row r="187" ht="12.75" customHeight="1">
      <c r="J187" s="99"/>
    </row>
    <row r="188" ht="12.75" customHeight="1">
      <c r="J188" s="99"/>
    </row>
    <row r="189" ht="12.75" customHeight="1">
      <c r="J189" s="99"/>
    </row>
    <row r="190" ht="12.75" customHeight="1">
      <c r="J190" s="99"/>
    </row>
    <row r="191" ht="12.75" customHeight="1">
      <c r="J191" s="99"/>
    </row>
    <row r="192" ht="12.75" customHeight="1">
      <c r="J192" s="99"/>
    </row>
    <row r="193" ht="12.75" customHeight="1">
      <c r="J193" s="99"/>
    </row>
    <row r="194" ht="12.75" customHeight="1">
      <c r="J194" s="99"/>
    </row>
    <row r="195" ht="12.75" customHeight="1">
      <c r="J195" s="99"/>
    </row>
    <row r="196" ht="12.75" customHeight="1">
      <c r="J196" s="99"/>
    </row>
    <row r="197" ht="12.75" customHeight="1">
      <c r="J197" s="99"/>
    </row>
    <row r="198" ht="12.75" customHeight="1">
      <c r="J198" s="99"/>
    </row>
    <row r="199" ht="12.75" customHeight="1">
      <c r="J199" s="99"/>
    </row>
    <row r="200" ht="12.75" customHeight="1">
      <c r="J200" s="99"/>
    </row>
    <row r="201" ht="12.75" customHeight="1">
      <c r="J201" s="99"/>
    </row>
    <row r="202" ht="12.75" customHeight="1">
      <c r="J202" s="99"/>
    </row>
    <row r="203" ht="12.75" customHeight="1">
      <c r="J203" s="99"/>
    </row>
    <row r="204" ht="12.75" customHeight="1">
      <c r="J204" s="99"/>
    </row>
    <row r="205" ht="12.75" customHeight="1">
      <c r="J205" s="99"/>
    </row>
    <row r="206" ht="12.75" customHeight="1">
      <c r="J206" s="99"/>
    </row>
    <row r="207" ht="12.75" customHeight="1">
      <c r="J207" s="99"/>
    </row>
    <row r="208" ht="12.75" customHeight="1">
      <c r="J208" s="99"/>
    </row>
    <row r="209" ht="12.75" customHeight="1">
      <c r="J209" s="99"/>
    </row>
    <row r="210" ht="12.75" customHeight="1">
      <c r="J210" s="99"/>
    </row>
    <row r="211" ht="12.75" customHeight="1">
      <c r="J211" s="99"/>
    </row>
    <row r="212" ht="12.75" customHeight="1">
      <c r="J212" s="99"/>
    </row>
    <row r="213" ht="12.75" customHeight="1">
      <c r="J213" s="99"/>
    </row>
    <row r="214" ht="12.75" customHeight="1">
      <c r="J214" s="99"/>
    </row>
    <row r="215" ht="12.75" customHeight="1">
      <c r="J215" s="99"/>
    </row>
    <row r="216" ht="12.75" customHeight="1">
      <c r="J216" s="99"/>
    </row>
    <row r="217" ht="12.75" customHeight="1">
      <c r="J217" s="99"/>
    </row>
    <row r="218" ht="12.75" customHeight="1">
      <c r="J218" s="99"/>
    </row>
    <row r="219" ht="12.75" customHeight="1">
      <c r="J219" s="99"/>
    </row>
    <row r="220" ht="12.75" customHeight="1">
      <c r="J220" s="99"/>
    </row>
    <row r="221" ht="12.75" customHeight="1">
      <c r="J221" s="99"/>
    </row>
    <row r="222" ht="12.75" customHeight="1">
      <c r="J222" s="99"/>
    </row>
    <row r="223" ht="12.75" customHeight="1">
      <c r="J223" s="99"/>
    </row>
    <row r="224" ht="12.75" customHeight="1">
      <c r="J224" s="99"/>
    </row>
    <row r="225" ht="12.75" customHeight="1">
      <c r="J225" s="99"/>
    </row>
    <row r="226" ht="12.75" customHeight="1">
      <c r="J226" s="99"/>
    </row>
    <row r="227" ht="12.75" customHeight="1">
      <c r="J227" s="99"/>
    </row>
    <row r="228" ht="12.75" customHeight="1">
      <c r="J228" s="99"/>
    </row>
    <row r="229" ht="12.75" customHeight="1">
      <c r="J229" s="99"/>
    </row>
    <row r="230" ht="12.75" customHeight="1">
      <c r="J230" s="99"/>
    </row>
    <row r="231" ht="12.75" customHeight="1">
      <c r="J231" s="99"/>
    </row>
    <row r="232" ht="12.75" customHeight="1">
      <c r="J232" s="99"/>
    </row>
    <row r="233" ht="12.75" customHeight="1">
      <c r="J233" s="99"/>
    </row>
    <row r="234" ht="12.75" customHeight="1">
      <c r="J234" s="99"/>
    </row>
    <row r="235" ht="12.75" customHeight="1">
      <c r="J235" s="99"/>
    </row>
    <row r="236" ht="12.75" customHeight="1">
      <c r="J236" s="99"/>
    </row>
    <row r="237" ht="12.75" customHeight="1">
      <c r="J237" s="99"/>
    </row>
    <row r="238" ht="12.75" customHeight="1">
      <c r="J238" s="99"/>
    </row>
    <row r="239" ht="12.75" customHeight="1">
      <c r="J239" s="99"/>
    </row>
    <row r="240" ht="12.75" customHeight="1">
      <c r="J240" s="99"/>
    </row>
    <row r="241" ht="12.75" customHeight="1">
      <c r="J241" s="99"/>
    </row>
    <row r="242" ht="12.75" customHeight="1">
      <c r="J242" s="99"/>
    </row>
    <row r="243" ht="12.75" customHeight="1">
      <c r="J243" s="99"/>
    </row>
    <row r="244" ht="12.75" customHeight="1">
      <c r="J244" s="99"/>
    </row>
    <row r="245" ht="12.75" customHeight="1">
      <c r="J245" s="99"/>
    </row>
    <row r="246" ht="12.75" customHeight="1">
      <c r="J246" s="99"/>
    </row>
    <row r="247" ht="12.75" customHeight="1">
      <c r="J247" s="99"/>
    </row>
    <row r="248" ht="12.75" customHeight="1">
      <c r="J248" s="99"/>
    </row>
    <row r="249" ht="12.75" customHeight="1">
      <c r="J249" s="99"/>
    </row>
    <row r="250" ht="12.75" customHeight="1">
      <c r="J250" s="99"/>
    </row>
    <row r="251" ht="12.75" customHeight="1">
      <c r="J251" s="99"/>
    </row>
    <row r="252" ht="12.75" customHeight="1">
      <c r="J252" s="99"/>
    </row>
    <row r="253" ht="12.75" customHeight="1">
      <c r="J253" s="99"/>
    </row>
    <row r="254" ht="12.75" customHeight="1">
      <c r="J254" s="99"/>
    </row>
    <row r="255" ht="12.75" customHeight="1">
      <c r="J255" s="99"/>
    </row>
    <row r="256" ht="12.75" customHeight="1">
      <c r="J256" s="99"/>
    </row>
    <row r="257" ht="12.75" customHeight="1">
      <c r="J257" s="99"/>
    </row>
    <row r="258" ht="12.75" customHeight="1">
      <c r="J258" s="99"/>
    </row>
    <row r="259" ht="12.75" customHeight="1">
      <c r="J259" s="99"/>
    </row>
    <row r="260" ht="12.75" customHeight="1">
      <c r="J260" s="99"/>
    </row>
    <row r="261" ht="12.75" customHeight="1">
      <c r="J261" s="99"/>
    </row>
    <row r="262" ht="12.75" customHeight="1">
      <c r="J262" s="99"/>
    </row>
    <row r="263" ht="12.75" customHeight="1">
      <c r="J263" s="99"/>
    </row>
    <row r="264" ht="12.75" customHeight="1">
      <c r="J264" s="99"/>
    </row>
    <row r="265" ht="12.75" customHeight="1">
      <c r="J265" s="99"/>
    </row>
    <row r="266" ht="12.75" customHeight="1">
      <c r="J266" s="99"/>
    </row>
    <row r="267" ht="12.75" customHeight="1">
      <c r="J267" s="99"/>
    </row>
    <row r="268" ht="12.75" customHeight="1">
      <c r="J268" s="99"/>
    </row>
    <row r="269" ht="12.75" customHeight="1">
      <c r="J269" s="99"/>
    </row>
    <row r="270" ht="12.75" customHeight="1">
      <c r="J270" s="99"/>
    </row>
    <row r="271" ht="12.75" customHeight="1">
      <c r="J271" s="99"/>
    </row>
    <row r="272" ht="12.75" customHeight="1">
      <c r="J272" s="99"/>
    </row>
    <row r="273" ht="12.75" customHeight="1">
      <c r="J273" s="99"/>
    </row>
    <row r="274" ht="12.75" customHeight="1">
      <c r="J274" s="99"/>
    </row>
    <row r="275" ht="12.75" customHeight="1">
      <c r="J275" s="99"/>
    </row>
    <row r="276" ht="12.75" customHeight="1">
      <c r="J276" s="99"/>
    </row>
    <row r="277" ht="12.75" customHeight="1">
      <c r="J277" s="99"/>
    </row>
    <row r="278" ht="12.75" customHeight="1">
      <c r="J278" s="99"/>
    </row>
    <row r="279" ht="12.75" customHeight="1">
      <c r="J279" s="99"/>
    </row>
    <row r="280" ht="12.75" customHeight="1">
      <c r="J280" s="99"/>
    </row>
    <row r="281" ht="12.75" customHeight="1">
      <c r="J281" s="99"/>
    </row>
    <row r="282" ht="12.75" customHeight="1">
      <c r="J282" s="99"/>
    </row>
    <row r="283" ht="12.75" customHeight="1">
      <c r="J283" s="99"/>
    </row>
    <row r="284" ht="12.75" customHeight="1">
      <c r="J284" s="99"/>
    </row>
    <row r="285" ht="12.75" customHeight="1">
      <c r="J285" s="99"/>
    </row>
    <row r="286" ht="12.75" customHeight="1">
      <c r="J286" s="99"/>
    </row>
    <row r="287" ht="12.75" customHeight="1">
      <c r="J287" s="99"/>
    </row>
    <row r="288" ht="12.75" customHeight="1">
      <c r="J288" s="99"/>
    </row>
    <row r="289" ht="12.75" customHeight="1">
      <c r="J289" s="99"/>
    </row>
    <row r="290" ht="12.75" customHeight="1">
      <c r="J290" s="99"/>
    </row>
    <row r="291" ht="12.75" customHeight="1">
      <c r="J291" s="99"/>
    </row>
    <row r="292" ht="12.75" customHeight="1">
      <c r="J292" s="99"/>
    </row>
    <row r="293" ht="12.75" customHeight="1">
      <c r="J293" s="99"/>
    </row>
    <row r="294" ht="12.75" customHeight="1">
      <c r="J294" s="99"/>
    </row>
    <row r="295" ht="12.75" customHeight="1">
      <c r="J295" s="99"/>
    </row>
    <row r="296" ht="12.75" customHeight="1">
      <c r="J296" s="99"/>
    </row>
    <row r="297" ht="12.75" customHeight="1">
      <c r="J297" s="99"/>
    </row>
    <row r="298" ht="12.75" customHeight="1">
      <c r="J298" s="99"/>
    </row>
    <row r="299" ht="12.75" customHeight="1">
      <c r="J299" s="99"/>
    </row>
    <row r="300" ht="12.75" customHeight="1">
      <c r="J300" s="99"/>
    </row>
    <row r="301" ht="12.75" customHeight="1">
      <c r="J301" s="99"/>
    </row>
    <row r="302" ht="12.75" customHeight="1">
      <c r="J302" s="99"/>
    </row>
    <row r="303" ht="12.75" customHeight="1">
      <c r="J303" s="99"/>
    </row>
    <row r="304" ht="12.75" customHeight="1">
      <c r="J304" s="99"/>
    </row>
    <row r="305" ht="12.75" customHeight="1">
      <c r="J305" s="99"/>
    </row>
    <row r="306" ht="12.75" customHeight="1">
      <c r="J306" s="99"/>
    </row>
    <row r="307" ht="12.75" customHeight="1">
      <c r="J307" s="99"/>
    </row>
    <row r="308" ht="12.75" customHeight="1">
      <c r="J308" s="99"/>
    </row>
    <row r="309" ht="12.75" customHeight="1">
      <c r="J309" s="99"/>
    </row>
    <row r="310" ht="12.75" customHeight="1">
      <c r="J310" s="99"/>
    </row>
    <row r="311" ht="12.75" customHeight="1">
      <c r="J311" s="99"/>
    </row>
    <row r="312" ht="12.75" customHeight="1">
      <c r="J312" s="99"/>
    </row>
    <row r="313" ht="12.75" customHeight="1">
      <c r="J313" s="99"/>
    </row>
    <row r="314" ht="12.75" customHeight="1">
      <c r="J314" s="99"/>
    </row>
    <row r="315" ht="12.75" customHeight="1">
      <c r="J315" s="99"/>
    </row>
    <row r="316" ht="12.75" customHeight="1">
      <c r="J316" s="99"/>
    </row>
    <row r="317" ht="12.75" customHeight="1">
      <c r="J317" s="99"/>
    </row>
    <row r="318" ht="12.75" customHeight="1">
      <c r="J318" s="99"/>
    </row>
    <row r="319" ht="12.75" customHeight="1">
      <c r="J319" s="99"/>
    </row>
    <row r="320" ht="12.75" customHeight="1">
      <c r="J320" s="99"/>
    </row>
    <row r="321" ht="12.75" customHeight="1">
      <c r="J321" s="99"/>
    </row>
    <row r="322" ht="12.75" customHeight="1">
      <c r="J322" s="99"/>
    </row>
    <row r="323" ht="12.75" customHeight="1">
      <c r="J323" s="99"/>
    </row>
    <row r="324" ht="12.75" customHeight="1">
      <c r="J324" s="99"/>
    </row>
    <row r="325" ht="12.75" customHeight="1">
      <c r="J325" s="99"/>
    </row>
    <row r="326" ht="12.75" customHeight="1">
      <c r="J326" s="99"/>
    </row>
    <row r="327" ht="12.75" customHeight="1">
      <c r="J327" s="99"/>
    </row>
    <row r="328" ht="12.75" customHeight="1">
      <c r="J328" s="99"/>
    </row>
    <row r="329" ht="12.75" customHeight="1">
      <c r="J329" s="99"/>
    </row>
    <row r="330" ht="12.75" customHeight="1">
      <c r="J330" s="99"/>
    </row>
    <row r="331" ht="12.75" customHeight="1">
      <c r="J331" s="99"/>
    </row>
    <row r="332" ht="12.75" customHeight="1">
      <c r="J332" s="99"/>
    </row>
    <row r="333" ht="12.75" customHeight="1">
      <c r="J333" s="99"/>
    </row>
    <row r="334" ht="12.75" customHeight="1">
      <c r="J334" s="99"/>
    </row>
    <row r="335" ht="12.75" customHeight="1">
      <c r="J335" s="99"/>
    </row>
    <row r="336" ht="12.75" customHeight="1">
      <c r="J336" s="99"/>
    </row>
    <row r="337" ht="12.75" customHeight="1">
      <c r="J337" s="99"/>
    </row>
    <row r="338" ht="12.75" customHeight="1">
      <c r="J338" s="99"/>
    </row>
    <row r="339" ht="12.75" customHeight="1">
      <c r="J339" s="99"/>
    </row>
    <row r="340" ht="12.75" customHeight="1">
      <c r="J340" s="99"/>
    </row>
    <row r="341" ht="12.75" customHeight="1">
      <c r="J341" s="99"/>
    </row>
    <row r="342" ht="12.75" customHeight="1">
      <c r="J342" s="99"/>
    </row>
    <row r="343" ht="12.75" customHeight="1">
      <c r="J343" s="99"/>
    </row>
    <row r="344" ht="12.75" customHeight="1">
      <c r="J344" s="99"/>
    </row>
    <row r="345" ht="12.75" customHeight="1">
      <c r="J345" s="99"/>
    </row>
    <row r="346" ht="12.75" customHeight="1">
      <c r="J346" s="99"/>
    </row>
    <row r="347" ht="12.75" customHeight="1">
      <c r="J347" s="99"/>
    </row>
    <row r="348" ht="12.75" customHeight="1">
      <c r="J348" s="99"/>
    </row>
    <row r="349" ht="12.75" customHeight="1">
      <c r="J349" s="99"/>
    </row>
    <row r="350" ht="12.75" customHeight="1">
      <c r="J350" s="99"/>
    </row>
    <row r="351" ht="12.75" customHeight="1">
      <c r="J351" s="99"/>
    </row>
    <row r="352" ht="12.75" customHeight="1">
      <c r="J352" s="99"/>
    </row>
    <row r="353" ht="12.75" customHeight="1">
      <c r="J353" s="99"/>
    </row>
    <row r="354" ht="12.75" customHeight="1">
      <c r="J354" s="99"/>
    </row>
    <row r="355" ht="12.75" customHeight="1">
      <c r="J355" s="99"/>
    </row>
    <row r="356" ht="12.75" customHeight="1">
      <c r="J356" s="99"/>
    </row>
    <row r="357" ht="12.75" customHeight="1">
      <c r="J357" s="99"/>
    </row>
    <row r="358" ht="12.75" customHeight="1">
      <c r="J358" s="99"/>
    </row>
    <row r="359" ht="12.75" customHeight="1">
      <c r="J359" s="99"/>
    </row>
    <row r="360" ht="12.75" customHeight="1">
      <c r="J360" s="99"/>
    </row>
    <row r="361" ht="12.75" customHeight="1">
      <c r="J361" s="99"/>
    </row>
    <row r="362" ht="12.75" customHeight="1">
      <c r="J362" s="99"/>
    </row>
    <row r="363" ht="12.75" customHeight="1">
      <c r="J363" s="99"/>
    </row>
    <row r="364" ht="12.75" customHeight="1">
      <c r="J364" s="99"/>
    </row>
    <row r="365" ht="12.75" customHeight="1">
      <c r="J365" s="99"/>
    </row>
    <row r="366" ht="12.75" customHeight="1">
      <c r="J366" s="99"/>
    </row>
    <row r="367" ht="12.75" customHeight="1">
      <c r="J367" s="99"/>
    </row>
    <row r="368" ht="12.75" customHeight="1">
      <c r="J368" s="99"/>
    </row>
    <row r="369" ht="12.75" customHeight="1">
      <c r="J369" s="99"/>
    </row>
    <row r="370" ht="12.75" customHeight="1">
      <c r="J370" s="99"/>
    </row>
    <row r="371" ht="12.75" customHeight="1">
      <c r="J371" s="99"/>
    </row>
    <row r="372" ht="12.75" customHeight="1">
      <c r="J372" s="99"/>
    </row>
    <row r="373" ht="12.75" customHeight="1">
      <c r="J373" s="99"/>
    </row>
    <row r="374" ht="12.75" customHeight="1">
      <c r="J374" s="99"/>
    </row>
    <row r="375" ht="12.75" customHeight="1">
      <c r="J375" s="99"/>
    </row>
    <row r="376" ht="12.75" customHeight="1">
      <c r="J376" s="99"/>
    </row>
    <row r="377" ht="12.75" customHeight="1">
      <c r="J377" s="99"/>
    </row>
    <row r="378" ht="12.75" customHeight="1">
      <c r="J378" s="99"/>
    </row>
    <row r="379" ht="12.75" customHeight="1">
      <c r="J379" s="99"/>
    </row>
    <row r="380" ht="12.75" customHeight="1">
      <c r="J380" s="99"/>
    </row>
    <row r="381" ht="12.75" customHeight="1">
      <c r="J381" s="99"/>
    </row>
    <row r="382" ht="12.75" customHeight="1">
      <c r="J382" s="99"/>
    </row>
    <row r="383" ht="12.75" customHeight="1">
      <c r="J383" s="99"/>
    </row>
    <row r="384" ht="12.75" customHeight="1">
      <c r="J384" s="99"/>
    </row>
    <row r="385" ht="12.75" customHeight="1">
      <c r="J385" s="99"/>
    </row>
    <row r="386" ht="12.75" customHeight="1">
      <c r="J386" s="99"/>
    </row>
    <row r="387" ht="12.75" customHeight="1">
      <c r="J387" s="99"/>
    </row>
    <row r="388" ht="12.75" customHeight="1">
      <c r="J388" s="99"/>
    </row>
    <row r="389" ht="12.75" customHeight="1">
      <c r="J389" s="99"/>
    </row>
    <row r="390" ht="12.75" customHeight="1">
      <c r="J390" s="99"/>
    </row>
    <row r="391" ht="12.75" customHeight="1">
      <c r="J391" s="99"/>
    </row>
    <row r="392" ht="12.75" customHeight="1">
      <c r="J392" s="99"/>
    </row>
    <row r="393" ht="12.75" customHeight="1">
      <c r="J393" s="99"/>
    </row>
    <row r="394" ht="12.75" customHeight="1">
      <c r="J394" s="99"/>
    </row>
    <row r="395" ht="12.75" customHeight="1">
      <c r="J395" s="99"/>
    </row>
    <row r="396" ht="12.75" customHeight="1">
      <c r="J396" s="99"/>
    </row>
    <row r="397" ht="12.75" customHeight="1">
      <c r="J397" s="99"/>
    </row>
    <row r="398" ht="12.75" customHeight="1">
      <c r="J398" s="99"/>
    </row>
    <row r="399" ht="12.75" customHeight="1">
      <c r="J399" s="99"/>
    </row>
    <row r="400" ht="12.75" customHeight="1">
      <c r="J400" s="99"/>
    </row>
    <row r="401" ht="12.75" customHeight="1">
      <c r="J401" s="99"/>
    </row>
    <row r="402" ht="12.75" customHeight="1">
      <c r="J402" s="99"/>
    </row>
    <row r="403" ht="12.75" customHeight="1">
      <c r="J403" s="99"/>
    </row>
    <row r="404" ht="12.75" customHeight="1">
      <c r="J404" s="99"/>
    </row>
    <row r="405" ht="12.75" customHeight="1">
      <c r="J405" s="99"/>
    </row>
    <row r="406" ht="12.75" customHeight="1">
      <c r="J406" s="99"/>
    </row>
    <row r="407" ht="12.75" customHeight="1">
      <c r="J407" s="99"/>
    </row>
    <row r="408" ht="12.75" customHeight="1">
      <c r="J408" s="99"/>
    </row>
    <row r="409" ht="12.75" customHeight="1">
      <c r="J409" s="99"/>
    </row>
    <row r="410" ht="12.75" customHeight="1">
      <c r="J410" s="99"/>
    </row>
    <row r="411" ht="12.75" customHeight="1">
      <c r="J411" s="99"/>
    </row>
    <row r="412" ht="12.75" customHeight="1">
      <c r="J412" s="99"/>
    </row>
    <row r="413" ht="12.75" customHeight="1">
      <c r="J413" s="99"/>
    </row>
    <row r="414" ht="12.75" customHeight="1">
      <c r="J414" s="99"/>
    </row>
    <row r="415" ht="12.75" customHeight="1">
      <c r="J415" s="99"/>
    </row>
    <row r="416" ht="12.75" customHeight="1">
      <c r="J416" s="99"/>
    </row>
    <row r="417" ht="12.75" customHeight="1">
      <c r="J417" s="99"/>
    </row>
    <row r="418" ht="12.75" customHeight="1">
      <c r="J418" s="99"/>
    </row>
    <row r="419" ht="12.75" customHeight="1">
      <c r="J419" s="99"/>
    </row>
    <row r="420" ht="12.75" customHeight="1">
      <c r="J420" s="99"/>
    </row>
    <row r="421" ht="12.75" customHeight="1">
      <c r="J421" s="99"/>
    </row>
    <row r="422" ht="12.75" customHeight="1">
      <c r="J422" s="99"/>
    </row>
    <row r="423" ht="12.75" customHeight="1">
      <c r="J423" s="99"/>
    </row>
    <row r="424" ht="12.75" customHeight="1">
      <c r="J424" s="99"/>
    </row>
    <row r="425" ht="12.75" customHeight="1">
      <c r="J425" s="99"/>
    </row>
    <row r="426" ht="12.75" customHeight="1">
      <c r="J426" s="99"/>
    </row>
    <row r="427" ht="12.75" customHeight="1">
      <c r="J427" s="99"/>
    </row>
    <row r="428" ht="12.75" customHeight="1">
      <c r="J428" s="99"/>
    </row>
    <row r="429" ht="12.75" customHeight="1">
      <c r="J429" s="99"/>
    </row>
    <row r="430" ht="12.75" customHeight="1">
      <c r="J430" s="99"/>
    </row>
    <row r="431" ht="12.75" customHeight="1">
      <c r="J431" s="99"/>
    </row>
    <row r="432" ht="12.75" customHeight="1">
      <c r="J432" s="99"/>
    </row>
    <row r="433" ht="12.75" customHeight="1">
      <c r="J433" s="99"/>
    </row>
    <row r="434" ht="12.75" customHeight="1">
      <c r="J434" s="99"/>
    </row>
    <row r="435" ht="12.75" customHeight="1">
      <c r="J435" s="99"/>
    </row>
    <row r="436" ht="12.75" customHeight="1">
      <c r="J436" s="99"/>
    </row>
    <row r="437" ht="12.75" customHeight="1">
      <c r="J437" s="99"/>
    </row>
    <row r="438" ht="12.75" customHeight="1">
      <c r="J438" s="99"/>
    </row>
    <row r="439" ht="12.75" customHeight="1">
      <c r="J439" s="99"/>
    </row>
    <row r="440" ht="12.75" customHeight="1">
      <c r="J440" s="99"/>
    </row>
    <row r="441" ht="12.75" customHeight="1">
      <c r="J441" s="99"/>
    </row>
    <row r="442" ht="12.75" customHeight="1">
      <c r="J442" s="99"/>
    </row>
    <row r="443" ht="12.75" customHeight="1">
      <c r="J443" s="99"/>
    </row>
    <row r="444" ht="12.75" customHeight="1">
      <c r="J444" s="99"/>
    </row>
    <row r="445" ht="12.75" customHeight="1">
      <c r="J445" s="99"/>
    </row>
    <row r="446" ht="12.75" customHeight="1">
      <c r="J446" s="99"/>
    </row>
    <row r="447" ht="12.75" customHeight="1">
      <c r="J447" s="99"/>
    </row>
    <row r="448" ht="12.75" customHeight="1">
      <c r="J448" s="99"/>
    </row>
    <row r="449" ht="12.75" customHeight="1">
      <c r="J449" s="99"/>
    </row>
    <row r="450" ht="12.75" customHeight="1">
      <c r="J450" s="99"/>
    </row>
    <row r="451" ht="12.75" customHeight="1">
      <c r="J451" s="99"/>
    </row>
    <row r="452" ht="12.75" customHeight="1">
      <c r="J452" s="99"/>
    </row>
    <row r="453" ht="12.75" customHeight="1">
      <c r="J453" s="99"/>
    </row>
    <row r="454" ht="12.75" customHeight="1">
      <c r="J454" s="99"/>
    </row>
    <row r="455" ht="12.75" customHeight="1">
      <c r="J455" s="99"/>
    </row>
    <row r="456" ht="12.75" customHeight="1">
      <c r="J456" s="99"/>
    </row>
    <row r="457" ht="12.75" customHeight="1">
      <c r="J457" s="99"/>
    </row>
    <row r="458" ht="12.75" customHeight="1">
      <c r="J458" s="99"/>
    </row>
    <row r="459" ht="12.75" customHeight="1">
      <c r="J459" s="99"/>
    </row>
    <row r="460" ht="12.75" customHeight="1">
      <c r="J460" s="99"/>
    </row>
    <row r="461" ht="12.75" customHeight="1">
      <c r="J461" s="99"/>
    </row>
    <row r="462" ht="12.75" customHeight="1">
      <c r="J462" s="99"/>
    </row>
    <row r="463" ht="12.75" customHeight="1">
      <c r="J463" s="99"/>
    </row>
    <row r="464" ht="12.75" customHeight="1">
      <c r="J464" s="99"/>
    </row>
    <row r="465" ht="12.75" customHeight="1">
      <c r="J465" s="99"/>
    </row>
    <row r="466" ht="12.75" customHeight="1">
      <c r="J466" s="99"/>
    </row>
    <row r="467" ht="12.75" customHeight="1">
      <c r="J467" s="99"/>
    </row>
    <row r="468" ht="12.75" customHeight="1">
      <c r="J468" s="99"/>
    </row>
    <row r="469" ht="12.75" customHeight="1">
      <c r="J469" s="99"/>
    </row>
    <row r="470" ht="12.75" customHeight="1">
      <c r="J470" s="99"/>
    </row>
    <row r="471" ht="12.75" customHeight="1">
      <c r="J471" s="99"/>
    </row>
    <row r="472" ht="12.75" customHeight="1">
      <c r="J472" s="99"/>
    </row>
    <row r="473" ht="12.75" customHeight="1">
      <c r="J473" s="99"/>
    </row>
    <row r="474" ht="12.75" customHeight="1">
      <c r="J474" s="99"/>
    </row>
    <row r="475" ht="12.75" customHeight="1">
      <c r="J475" s="99"/>
    </row>
    <row r="476" ht="12.75" customHeight="1">
      <c r="J476" s="99"/>
    </row>
    <row r="477" ht="12.75" customHeight="1">
      <c r="J477" s="99"/>
    </row>
    <row r="478" ht="12.75" customHeight="1">
      <c r="J478" s="99"/>
    </row>
    <row r="479" ht="12.75" customHeight="1">
      <c r="J479" s="99"/>
    </row>
    <row r="480" ht="12.75" customHeight="1">
      <c r="J480" s="99"/>
    </row>
    <row r="481" ht="12.75" customHeight="1">
      <c r="J481" s="99"/>
    </row>
    <row r="482" ht="12.75" customHeight="1">
      <c r="J482" s="99"/>
    </row>
    <row r="483" ht="12.75" customHeight="1">
      <c r="J483" s="99"/>
    </row>
    <row r="484" ht="12.75" customHeight="1">
      <c r="J484" s="99"/>
    </row>
    <row r="485" ht="12.75" customHeight="1">
      <c r="J485" s="99"/>
    </row>
    <row r="486" ht="12.75" customHeight="1">
      <c r="J486" s="99"/>
    </row>
    <row r="487" ht="12.75" customHeight="1">
      <c r="J487" s="99"/>
    </row>
    <row r="488" ht="12.75" customHeight="1">
      <c r="J488" s="99"/>
    </row>
    <row r="489" ht="12.75" customHeight="1">
      <c r="J489" s="99"/>
    </row>
    <row r="490" ht="12.75" customHeight="1">
      <c r="J490" s="99"/>
    </row>
    <row r="491" ht="12.75" customHeight="1">
      <c r="J491" s="99"/>
    </row>
    <row r="492" ht="12.75" customHeight="1">
      <c r="J492" s="99"/>
    </row>
    <row r="493" ht="12.75" customHeight="1">
      <c r="J493" s="99"/>
    </row>
    <row r="494" ht="12.75" customHeight="1">
      <c r="J494" s="99"/>
    </row>
    <row r="495" ht="12.75" customHeight="1">
      <c r="J495" s="99"/>
    </row>
    <row r="496" ht="12.75" customHeight="1">
      <c r="J496" s="99"/>
    </row>
    <row r="497" ht="12.75" customHeight="1">
      <c r="J497" s="99"/>
    </row>
    <row r="498" ht="12.75" customHeight="1">
      <c r="J498" s="99"/>
    </row>
    <row r="499" ht="12.75" customHeight="1">
      <c r="J499" s="99"/>
    </row>
    <row r="500" ht="12.75" customHeight="1">
      <c r="J500" s="99"/>
    </row>
    <row r="501" ht="12.75" customHeight="1">
      <c r="J501" s="99"/>
    </row>
    <row r="502" ht="12.75" customHeight="1">
      <c r="J502" s="99"/>
    </row>
    <row r="503" ht="12.75" customHeight="1">
      <c r="J503" s="99"/>
    </row>
    <row r="504" ht="12.75" customHeight="1">
      <c r="J504" s="99"/>
    </row>
    <row r="505" ht="12.75" customHeight="1">
      <c r="J505" s="99"/>
    </row>
    <row r="506" ht="12.75" customHeight="1">
      <c r="J506" s="99"/>
    </row>
    <row r="507" ht="12.75" customHeight="1">
      <c r="J507" s="99"/>
    </row>
    <row r="508" ht="12.75" customHeight="1">
      <c r="J508" s="99"/>
    </row>
    <row r="509" ht="12.75" customHeight="1">
      <c r="J509" s="99"/>
    </row>
    <row r="510" ht="12.75" customHeight="1">
      <c r="J510" s="99"/>
    </row>
    <row r="511" ht="12.75" customHeight="1">
      <c r="J511" s="99"/>
    </row>
    <row r="512" ht="12.75" customHeight="1">
      <c r="J512" s="99"/>
    </row>
    <row r="513" ht="12.75" customHeight="1">
      <c r="J513" s="99"/>
    </row>
    <row r="514" ht="12.75" customHeight="1">
      <c r="J514" s="99"/>
    </row>
    <row r="515" ht="12.75" customHeight="1">
      <c r="J515" s="99"/>
    </row>
    <row r="516" ht="12.75" customHeight="1">
      <c r="J516" s="99"/>
    </row>
    <row r="517" ht="12.75" customHeight="1">
      <c r="J517" s="99"/>
    </row>
    <row r="518" ht="12.75" customHeight="1">
      <c r="J518" s="99"/>
    </row>
    <row r="519" ht="12.75" customHeight="1">
      <c r="J519" s="99"/>
    </row>
    <row r="520" ht="12.75" customHeight="1">
      <c r="J520" s="99"/>
    </row>
    <row r="521" ht="12.75" customHeight="1">
      <c r="J521" s="99"/>
    </row>
    <row r="522" ht="12.75" customHeight="1">
      <c r="J522" s="99"/>
    </row>
    <row r="523" ht="12.75" customHeight="1">
      <c r="J523" s="99"/>
    </row>
    <row r="524" ht="12.75" customHeight="1">
      <c r="J524" s="99"/>
    </row>
    <row r="525" ht="12.75" customHeight="1">
      <c r="J525" s="99"/>
    </row>
    <row r="526" ht="12.75" customHeight="1">
      <c r="J526" s="99"/>
    </row>
    <row r="527" ht="12.75" customHeight="1">
      <c r="J527" s="99"/>
    </row>
    <row r="528" ht="12.75" customHeight="1">
      <c r="J528" s="99"/>
    </row>
    <row r="529" ht="12.75" customHeight="1">
      <c r="J529" s="99"/>
    </row>
    <row r="530" ht="12.75" customHeight="1">
      <c r="J530" s="99"/>
    </row>
    <row r="531" ht="12.75" customHeight="1">
      <c r="J531" s="99"/>
    </row>
    <row r="532" ht="12.75" customHeight="1">
      <c r="J532" s="99"/>
    </row>
    <row r="533" ht="12.75" customHeight="1">
      <c r="J533" s="99"/>
    </row>
    <row r="534" ht="12.75" customHeight="1">
      <c r="J534" s="99"/>
    </row>
    <row r="535" ht="12.75" customHeight="1">
      <c r="J535" s="99"/>
    </row>
    <row r="536" ht="12.75" customHeight="1">
      <c r="J536" s="99"/>
    </row>
    <row r="537" ht="12.75" customHeight="1">
      <c r="J537" s="99"/>
    </row>
    <row r="538" ht="12.75" customHeight="1">
      <c r="J538" s="99"/>
    </row>
    <row r="539" ht="12.75" customHeight="1">
      <c r="J539" s="99"/>
    </row>
    <row r="540" ht="12.75" customHeight="1">
      <c r="J540" s="99"/>
    </row>
    <row r="541" ht="12.75" customHeight="1">
      <c r="J541" s="99"/>
    </row>
    <row r="542" ht="12.75" customHeight="1">
      <c r="J542" s="99"/>
    </row>
    <row r="543" ht="12.75" customHeight="1">
      <c r="J543" s="99"/>
    </row>
    <row r="544" ht="12.75" customHeight="1">
      <c r="J544" s="99"/>
    </row>
    <row r="545" ht="12.75" customHeight="1">
      <c r="J545" s="99"/>
    </row>
    <row r="546" ht="12.75" customHeight="1">
      <c r="J546" s="99"/>
    </row>
    <row r="547" ht="12.75" customHeight="1">
      <c r="J547" s="99"/>
    </row>
    <row r="548" ht="12.75" customHeight="1">
      <c r="J548" s="99"/>
    </row>
    <row r="549" ht="12.75" customHeight="1">
      <c r="J549" s="99"/>
    </row>
    <row r="550" ht="12.75" customHeight="1">
      <c r="J550" s="99"/>
    </row>
    <row r="551" ht="12.75" customHeight="1">
      <c r="J551" s="99"/>
    </row>
    <row r="552" ht="12.75" customHeight="1">
      <c r="J552" s="99"/>
    </row>
    <row r="553" ht="12.75" customHeight="1">
      <c r="J553" s="99"/>
    </row>
    <row r="554" ht="12.75" customHeight="1">
      <c r="J554" s="99"/>
    </row>
    <row r="555" ht="12.75" customHeight="1">
      <c r="J555" s="99"/>
    </row>
    <row r="556" ht="12.75" customHeight="1">
      <c r="J556" s="99"/>
    </row>
    <row r="557" ht="12.75" customHeight="1">
      <c r="J557" s="99"/>
    </row>
    <row r="558" ht="12.75" customHeight="1">
      <c r="J558" s="99"/>
    </row>
    <row r="559" ht="12.75" customHeight="1">
      <c r="J559" s="99"/>
    </row>
    <row r="560" ht="12.75" customHeight="1">
      <c r="J560" s="99"/>
    </row>
    <row r="561" ht="12.75" customHeight="1">
      <c r="J561" s="99"/>
    </row>
    <row r="562" ht="12.75" customHeight="1">
      <c r="J562" s="99"/>
    </row>
    <row r="563" ht="12.75" customHeight="1">
      <c r="J563" s="99"/>
    </row>
    <row r="564" ht="12.75" customHeight="1">
      <c r="J564" s="99"/>
    </row>
    <row r="565" ht="12.75" customHeight="1">
      <c r="J565" s="99"/>
    </row>
    <row r="566" ht="12.75" customHeight="1">
      <c r="J566" s="99"/>
    </row>
    <row r="567" ht="12.75" customHeight="1">
      <c r="J567" s="99"/>
    </row>
    <row r="568" ht="12.75" customHeight="1">
      <c r="J568" s="99"/>
    </row>
    <row r="569" ht="12.75" customHeight="1">
      <c r="J569" s="99"/>
    </row>
    <row r="570" ht="12.75" customHeight="1">
      <c r="J570" s="99"/>
    </row>
    <row r="571" ht="12.75" customHeight="1">
      <c r="J571" s="99"/>
    </row>
    <row r="572" ht="12.75" customHeight="1">
      <c r="J572" s="99"/>
    </row>
    <row r="573" ht="12.75" customHeight="1">
      <c r="J573" s="99"/>
    </row>
    <row r="574" ht="12.75" customHeight="1">
      <c r="J574" s="99"/>
    </row>
    <row r="575" ht="12.75" customHeight="1">
      <c r="J575" s="99"/>
    </row>
    <row r="576" ht="12.75" customHeight="1">
      <c r="J576" s="99"/>
    </row>
    <row r="577" ht="12.75" customHeight="1">
      <c r="J577" s="99"/>
    </row>
    <row r="578" ht="12.75" customHeight="1">
      <c r="J578" s="99"/>
    </row>
    <row r="579" ht="12.75" customHeight="1">
      <c r="J579" s="99"/>
    </row>
    <row r="580" ht="12.75" customHeight="1">
      <c r="J580" s="99"/>
    </row>
    <row r="581" ht="12.75" customHeight="1">
      <c r="J581" s="99"/>
    </row>
    <row r="582" ht="12.75" customHeight="1">
      <c r="J582" s="99"/>
    </row>
    <row r="583" ht="12.75" customHeight="1">
      <c r="J583" s="99"/>
    </row>
    <row r="584" ht="12.75" customHeight="1">
      <c r="J584" s="99"/>
    </row>
    <row r="585" ht="12.75" customHeight="1">
      <c r="J585" s="99"/>
    </row>
    <row r="586" ht="12.75" customHeight="1">
      <c r="J586" s="99"/>
    </row>
    <row r="587" ht="12.75" customHeight="1">
      <c r="J587" s="99"/>
    </row>
    <row r="588" ht="12.75" customHeight="1">
      <c r="J588" s="99"/>
    </row>
    <row r="589" ht="12.75" customHeight="1">
      <c r="J589" s="99"/>
    </row>
    <row r="590" ht="12.75" customHeight="1">
      <c r="J590" s="99"/>
    </row>
    <row r="591" ht="12.75" customHeight="1">
      <c r="J591" s="99"/>
    </row>
    <row r="592" ht="12.75" customHeight="1">
      <c r="J592" s="99"/>
    </row>
    <row r="593" ht="12.75" customHeight="1">
      <c r="J593" s="99"/>
    </row>
    <row r="594" ht="12.75" customHeight="1">
      <c r="J594" s="99"/>
    </row>
    <row r="595" ht="12.75" customHeight="1">
      <c r="J595" s="99"/>
    </row>
    <row r="596" ht="12.75" customHeight="1">
      <c r="J596" s="99"/>
    </row>
    <row r="597" ht="12.75" customHeight="1">
      <c r="J597" s="99"/>
    </row>
    <row r="598" ht="12.75" customHeight="1">
      <c r="J598" s="99"/>
    </row>
    <row r="599" ht="12.75" customHeight="1">
      <c r="J599" s="99"/>
    </row>
    <row r="600" ht="12.75" customHeight="1">
      <c r="J600" s="99"/>
    </row>
    <row r="601" ht="12.75" customHeight="1">
      <c r="J601" s="99"/>
    </row>
    <row r="602" ht="12.75" customHeight="1">
      <c r="J602" s="99"/>
    </row>
    <row r="603" ht="12.75" customHeight="1">
      <c r="J603" s="99"/>
    </row>
    <row r="604" ht="12.75" customHeight="1">
      <c r="J604" s="99"/>
    </row>
    <row r="605" ht="12.75" customHeight="1">
      <c r="J605" s="99"/>
    </row>
    <row r="606" ht="12.75" customHeight="1">
      <c r="J606" s="99"/>
    </row>
    <row r="607" ht="12.75" customHeight="1">
      <c r="J607" s="99"/>
    </row>
    <row r="608" ht="12.75" customHeight="1">
      <c r="J608" s="99"/>
    </row>
    <row r="609" ht="12.75" customHeight="1">
      <c r="J609" s="99"/>
    </row>
    <row r="610" ht="12.75" customHeight="1">
      <c r="J610" s="99"/>
    </row>
    <row r="611" ht="12.75" customHeight="1">
      <c r="J611" s="99"/>
    </row>
    <row r="612" ht="12.75" customHeight="1">
      <c r="J612" s="99"/>
    </row>
    <row r="613" ht="12.75" customHeight="1">
      <c r="J613" s="99"/>
    </row>
    <row r="614" ht="12.75" customHeight="1">
      <c r="J614" s="99"/>
    </row>
    <row r="615" ht="12.75" customHeight="1">
      <c r="J615" s="99"/>
    </row>
    <row r="616" ht="12.75" customHeight="1">
      <c r="J616" s="99"/>
    </row>
    <row r="617" ht="12.75" customHeight="1">
      <c r="J617" s="99"/>
    </row>
    <row r="618" ht="12.75" customHeight="1">
      <c r="J618" s="99"/>
    </row>
    <row r="619" ht="12.75" customHeight="1">
      <c r="J619" s="99"/>
    </row>
    <row r="620" ht="12.75" customHeight="1">
      <c r="J620" s="99"/>
    </row>
    <row r="621" ht="12.75" customHeight="1">
      <c r="J621" s="99"/>
    </row>
    <row r="622" ht="12.75" customHeight="1">
      <c r="J622" s="99"/>
    </row>
    <row r="623" ht="12.75" customHeight="1">
      <c r="J623" s="99"/>
    </row>
    <row r="624" ht="12.75" customHeight="1">
      <c r="J624" s="99"/>
    </row>
    <row r="625" ht="12.75" customHeight="1">
      <c r="J625" s="99"/>
    </row>
    <row r="626" ht="12.75" customHeight="1">
      <c r="J626" s="99"/>
    </row>
    <row r="627" ht="12.75" customHeight="1">
      <c r="J627" s="99"/>
    </row>
    <row r="628" ht="12.75" customHeight="1">
      <c r="J628" s="99"/>
    </row>
    <row r="629" ht="12.75" customHeight="1">
      <c r="J629" s="99"/>
    </row>
    <row r="630" ht="12.75" customHeight="1">
      <c r="J630" s="99"/>
    </row>
    <row r="631" ht="12.75" customHeight="1">
      <c r="J631" s="99"/>
    </row>
    <row r="632" ht="12.75" customHeight="1">
      <c r="J632" s="99"/>
    </row>
    <row r="633" ht="12.75" customHeight="1">
      <c r="J633" s="99"/>
    </row>
    <row r="634" ht="12.75" customHeight="1">
      <c r="J634" s="99"/>
    </row>
    <row r="635" ht="12.75" customHeight="1">
      <c r="J635" s="99"/>
    </row>
    <row r="636" ht="12.75" customHeight="1">
      <c r="J636" s="99"/>
    </row>
    <row r="637" ht="12.75" customHeight="1">
      <c r="J637" s="99"/>
    </row>
    <row r="638" ht="12.75" customHeight="1">
      <c r="J638" s="99"/>
    </row>
    <row r="639" ht="12.75" customHeight="1">
      <c r="J639" s="99"/>
    </row>
    <row r="640" ht="12.75" customHeight="1">
      <c r="J640" s="99"/>
    </row>
    <row r="641" ht="12.75" customHeight="1">
      <c r="J641" s="99"/>
    </row>
    <row r="642" ht="12.75" customHeight="1">
      <c r="J642" s="99"/>
    </row>
    <row r="643" ht="12.75" customHeight="1">
      <c r="J643" s="99"/>
    </row>
    <row r="644" ht="12.75" customHeight="1">
      <c r="J644" s="99"/>
    </row>
    <row r="645" ht="12.75" customHeight="1">
      <c r="J645" s="99"/>
    </row>
    <row r="646" ht="12.75" customHeight="1">
      <c r="J646" s="99"/>
    </row>
    <row r="647" ht="12.75" customHeight="1">
      <c r="J647" s="99"/>
    </row>
    <row r="648" ht="12.75" customHeight="1">
      <c r="J648" s="99"/>
    </row>
    <row r="649" ht="12.75" customHeight="1">
      <c r="J649" s="99"/>
    </row>
    <row r="650" ht="12.75" customHeight="1">
      <c r="J650" s="99"/>
    </row>
    <row r="651" ht="12.75" customHeight="1">
      <c r="J651" s="99"/>
    </row>
    <row r="652" ht="12.75" customHeight="1">
      <c r="J652" s="99"/>
    </row>
    <row r="653" ht="12.75" customHeight="1">
      <c r="J653" s="99"/>
    </row>
    <row r="654" ht="12.75" customHeight="1">
      <c r="J654" s="99"/>
    </row>
    <row r="655" ht="12.75" customHeight="1">
      <c r="J655" s="99"/>
    </row>
    <row r="656" ht="12.75" customHeight="1">
      <c r="J656" s="99"/>
    </row>
    <row r="657" ht="12.75" customHeight="1">
      <c r="J657" s="99"/>
    </row>
    <row r="658" ht="12.75" customHeight="1">
      <c r="J658" s="99"/>
    </row>
    <row r="659" ht="12.75" customHeight="1">
      <c r="J659" s="99"/>
    </row>
    <row r="660" ht="12.75" customHeight="1">
      <c r="J660" s="99"/>
    </row>
    <row r="661" ht="12.75" customHeight="1">
      <c r="J661" s="99"/>
    </row>
    <row r="662" ht="12.75" customHeight="1">
      <c r="J662" s="99"/>
    </row>
    <row r="663" ht="12.75" customHeight="1">
      <c r="J663" s="99"/>
    </row>
    <row r="664" ht="12.75" customHeight="1">
      <c r="J664" s="99"/>
    </row>
    <row r="665" ht="12.75" customHeight="1">
      <c r="J665" s="99"/>
    </row>
    <row r="666" ht="12.75" customHeight="1">
      <c r="J666" s="99"/>
    </row>
    <row r="667" ht="12.75" customHeight="1">
      <c r="J667" s="99"/>
    </row>
    <row r="668" ht="12.75" customHeight="1">
      <c r="J668" s="99"/>
    </row>
    <row r="669" ht="12.75" customHeight="1">
      <c r="J669" s="99"/>
    </row>
    <row r="670" ht="12.75" customHeight="1">
      <c r="J670" s="99"/>
    </row>
    <row r="671" ht="12.75" customHeight="1">
      <c r="J671" s="99"/>
    </row>
    <row r="672" ht="12.75" customHeight="1">
      <c r="J672" s="99"/>
    </row>
    <row r="673" ht="12.75" customHeight="1">
      <c r="J673" s="99"/>
    </row>
    <row r="674" ht="12.75" customHeight="1">
      <c r="J674" s="99"/>
    </row>
    <row r="675" ht="12.75" customHeight="1">
      <c r="J675" s="99"/>
    </row>
    <row r="676" ht="12.75" customHeight="1">
      <c r="J676" s="99"/>
    </row>
    <row r="677" ht="12.75" customHeight="1">
      <c r="J677" s="99"/>
    </row>
    <row r="678" ht="12.75" customHeight="1">
      <c r="J678" s="99"/>
    </row>
    <row r="679" ht="12.75" customHeight="1">
      <c r="J679" s="99"/>
    </row>
    <row r="680" ht="12.75" customHeight="1">
      <c r="J680" s="99"/>
    </row>
    <row r="681" ht="12.75" customHeight="1">
      <c r="J681" s="99"/>
    </row>
    <row r="682" ht="12.75" customHeight="1">
      <c r="J682" s="99"/>
    </row>
    <row r="683" ht="12.75" customHeight="1">
      <c r="J683" s="99"/>
    </row>
    <row r="684" ht="12.75" customHeight="1">
      <c r="J684" s="99"/>
    </row>
    <row r="685" ht="12.75" customHeight="1">
      <c r="J685" s="99"/>
    </row>
    <row r="686" ht="12.75" customHeight="1">
      <c r="J686" s="99"/>
    </row>
    <row r="687" ht="12.75" customHeight="1">
      <c r="J687" s="99"/>
    </row>
    <row r="688" ht="12.75" customHeight="1">
      <c r="J688" s="99"/>
    </row>
    <row r="689" ht="12.75" customHeight="1">
      <c r="J689" s="99"/>
    </row>
    <row r="690" ht="12.75" customHeight="1">
      <c r="J690" s="99"/>
    </row>
    <row r="691" ht="12.75" customHeight="1">
      <c r="J691" s="99"/>
    </row>
    <row r="692" ht="12.75" customHeight="1">
      <c r="J692" s="99"/>
    </row>
    <row r="693" ht="12.75" customHeight="1">
      <c r="J693" s="99"/>
    </row>
    <row r="694" ht="12.75" customHeight="1">
      <c r="J694" s="99"/>
    </row>
    <row r="695" ht="12.75" customHeight="1">
      <c r="J695" s="99"/>
    </row>
    <row r="696" ht="12.75" customHeight="1">
      <c r="J696" s="99"/>
    </row>
    <row r="697" ht="12.75" customHeight="1">
      <c r="J697" s="99"/>
    </row>
    <row r="698" ht="12.75" customHeight="1">
      <c r="J698" s="99"/>
    </row>
    <row r="699" ht="12.75" customHeight="1">
      <c r="J699" s="99"/>
    </row>
    <row r="700" ht="12.75" customHeight="1">
      <c r="J700" s="99"/>
    </row>
    <row r="701" ht="12.75" customHeight="1">
      <c r="J701" s="99"/>
    </row>
    <row r="702" ht="12.75" customHeight="1">
      <c r="J702" s="99"/>
    </row>
    <row r="703" ht="12.75" customHeight="1">
      <c r="J703" s="99"/>
    </row>
    <row r="704" ht="12.75" customHeight="1">
      <c r="J704" s="99"/>
    </row>
    <row r="705" ht="12.75" customHeight="1">
      <c r="J705" s="99"/>
    </row>
    <row r="706" ht="12.75" customHeight="1">
      <c r="J706" s="99"/>
    </row>
    <row r="707" ht="12.75" customHeight="1">
      <c r="J707" s="99"/>
    </row>
    <row r="708" ht="12.75" customHeight="1">
      <c r="J708" s="99"/>
    </row>
    <row r="709" ht="12.75" customHeight="1">
      <c r="J709" s="99"/>
    </row>
    <row r="710" ht="12.75" customHeight="1">
      <c r="J710" s="99"/>
    </row>
    <row r="711" ht="12.75" customHeight="1">
      <c r="J711" s="99"/>
    </row>
    <row r="712" ht="12.75" customHeight="1">
      <c r="J712" s="99"/>
    </row>
    <row r="713" ht="12.75" customHeight="1">
      <c r="J713" s="99"/>
    </row>
    <row r="714" ht="12.75" customHeight="1">
      <c r="J714" s="99"/>
    </row>
    <row r="715" ht="12.75" customHeight="1">
      <c r="J715" s="99"/>
    </row>
    <row r="716" ht="12.75" customHeight="1">
      <c r="J716" s="99"/>
    </row>
    <row r="717" ht="12.75" customHeight="1">
      <c r="J717" s="99"/>
    </row>
    <row r="718" ht="12.75" customHeight="1">
      <c r="J718" s="99"/>
    </row>
    <row r="719" ht="12.75" customHeight="1">
      <c r="J719" s="99"/>
    </row>
    <row r="720" ht="12.75" customHeight="1">
      <c r="J720" s="99"/>
    </row>
    <row r="721" ht="12.75" customHeight="1">
      <c r="J721" s="99"/>
    </row>
    <row r="722" ht="12.75" customHeight="1">
      <c r="J722" s="99"/>
    </row>
    <row r="723" ht="12.75" customHeight="1">
      <c r="J723" s="99"/>
    </row>
    <row r="724" ht="12.75" customHeight="1">
      <c r="J724" s="99"/>
    </row>
    <row r="725" ht="12.75" customHeight="1">
      <c r="J725" s="99"/>
    </row>
    <row r="726" ht="12.75" customHeight="1">
      <c r="J726" s="99"/>
    </row>
    <row r="727" ht="12.75" customHeight="1">
      <c r="J727" s="99"/>
    </row>
    <row r="728" ht="12.75" customHeight="1">
      <c r="J728" s="99"/>
    </row>
    <row r="729" ht="12.75" customHeight="1">
      <c r="J729" s="99"/>
    </row>
    <row r="730" ht="12.75" customHeight="1">
      <c r="J730" s="99"/>
    </row>
    <row r="731" ht="12.75" customHeight="1">
      <c r="J731" s="99"/>
    </row>
    <row r="732" ht="12.75" customHeight="1">
      <c r="J732" s="99"/>
    </row>
    <row r="733" ht="12.75" customHeight="1">
      <c r="J733" s="99"/>
    </row>
    <row r="734" ht="12.75" customHeight="1">
      <c r="J734" s="99"/>
    </row>
    <row r="735" ht="12.75" customHeight="1">
      <c r="J735" s="99"/>
    </row>
    <row r="736" ht="12.75" customHeight="1">
      <c r="J736" s="99"/>
    </row>
    <row r="737" ht="12.75" customHeight="1">
      <c r="J737" s="99"/>
    </row>
    <row r="738" ht="12.75" customHeight="1">
      <c r="J738" s="99"/>
    </row>
    <row r="739" ht="12.75" customHeight="1">
      <c r="J739" s="99"/>
    </row>
    <row r="740" ht="12.75" customHeight="1">
      <c r="J740" s="99"/>
    </row>
    <row r="741" ht="12.75" customHeight="1">
      <c r="J741" s="99"/>
    </row>
    <row r="742" ht="12.75" customHeight="1">
      <c r="J742" s="99"/>
    </row>
    <row r="743" ht="12.75" customHeight="1">
      <c r="J743" s="99"/>
    </row>
    <row r="744" ht="12.75" customHeight="1">
      <c r="J744" s="99"/>
    </row>
    <row r="745" ht="12.75" customHeight="1">
      <c r="J745" s="99"/>
    </row>
    <row r="746" ht="12.75" customHeight="1">
      <c r="J746" s="99"/>
    </row>
    <row r="747" ht="12.75" customHeight="1">
      <c r="J747" s="99"/>
    </row>
    <row r="748" ht="12.75" customHeight="1">
      <c r="J748" s="99"/>
    </row>
    <row r="749" ht="12.75" customHeight="1">
      <c r="J749" s="99"/>
    </row>
    <row r="750" ht="12.75" customHeight="1">
      <c r="J750" s="99"/>
    </row>
    <row r="751" ht="12.75" customHeight="1">
      <c r="J751" s="99"/>
    </row>
    <row r="752" ht="12.75" customHeight="1">
      <c r="J752" s="99"/>
    </row>
    <row r="753" ht="12.75" customHeight="1">
      <c r="J753" s="99"/>
    </row>
    <row r="754" ht="12.75" customHeight="1">
      <c r="J754" s="99"/>
    </row>
    <row r="755" ht="12.75" customHeight="1">
      <c r="J755" s="99"/>
    </row>
    <row r="756" ht="12.75" customHeight="1">
      <c r="J756" s="99"/>
    </row>
    <row r="757" ht="12.75" customHeight="1">
      <c r="J757" s="99"/>
    </row>
    <row r="758" ht="12.75" customHeight="1">
      <c r="J758" s="99"/>
    </row>
    <row r="759" ht="12.75" customHeight="1">
      <c r="J759" s="99"/>
    </row>
    <row r="760" ht="12.75" customHeight="1">
      <c r="J760" s="99"/>
    </row>
    <row r="761" ht="12.75" customHeight="1">
      <c r="J761" s="99"/>
    </row>
    <row r="762" ht="12.75" customHeight="1">
      <c r="J762" s="99"/>
    </row>
    <row r="763" ht="12.75" customHeight="1">
      <c r="J763" s="99"/>
    </row>
    <row r="764" ht="12.75" customHeight="1">
      <c r="J764" s="99"/>
    </row>
    <row r="765" ht="12.75" customHeight="1">
      <c r="J765" s="99"/>
    </row>
    <row r="766" ht="12.75" customHeight="1">
      <c r="J766" s="99"/>
    </row>
    <row r="767" ht="12.75" customHeight="1">
      <c r="J767" s="99"/>
    </row>
    <row r="768" ht="12.75" customHeight="1">
      <c r="J768" s="99"/>
    </row>
    <row r="769" ht="12.75" customHeight="1">
      <c r="J769" s="99"/>
    </row>
    <row r="770" ht="12.75" customHeight="1">
      <c r="J770" s="99"/>
    </row>
    <row r="771" ht="12.75" customHeight="1">
      <c r="J771" s="99"/>
    </row>
    <row r="772" ht="12.75" customHeight="1">
      <c r="J772" s="99"/>
    </row>
    <row r="773" ht="12.75" customHeight="1">
      <c r="J773" s="99"/>
    </row>
    <row r="774" ht="12.75" customHeight="1">
      <c r="J774" s="99"/>
    </row>
    <row r="775" ht="12.75" customHeight="1">
      <c r="J775" s="99"/>
    </row>
    <row r="776" ht="12.75" customHeight="1">
      <c r="J776" s="99"/>
    </row>
    <row r="777" ht="12.75" customHeight="1">
      <c r="J777" s="99"/>
    </row>
    <row r="778" ht="12.75" customHeight="1">
      <c r="J778" s="99"/>
    </row>
    <row r="779" ht="12.75" customHeight="1">
      <c r="J779" s="99"/>
    </row>
    <row r="780" ht="12.75" customHeight="1">
      <c r="J780" s="99"/>
    </row>
    <row r="781" ht="12.75" customHeight="1">
      <c r="J781" s="99"/>
    </row>
    <row r="782" ht="12.75" customHeight="1">
      <c r="J782" s="99"/>
    </row>
    <row r="783" ht="12.75" customHeight="1">
      <c r="J783" s="99"/>
    </row>
    <row r="784" ht="12.75" customHeight="1">
      <c r="J784" s="99"/>
    </row>
    <row r="785" ht="12.75" customHeight="1">
      <c r="J785" s="99"/>
    </row>
    <row r="786" ht="12.75" customHeight="1">
      <c r="J786" s="99"/>
    </row>
    <row r="787" ht="12.75" customHeight="1">
      <c r="J787" s="99"/>
    </row>
    <row r="788" ht="12.75" customHeight="1">
      <c r="J788" s="99"/>
    </row>
    <row r="789" ht="12.75" customHeight="1">
      <c r="J789" s="99"/>
    </row>
    <row r="790" ht="12.75" customHeight="1">
      <c r="J790" s="99"/>
    </row>
    <row r="791" ht="12.75" customHeight="1">
      <c r="J791" s="99"/>
    </row>
    <row r="792" ht="12.75" customHeight="1">
      <c r="J792" s="99"/>
    </row>
    <row r="793" ht="12.75" customHeight="1">
      <c r="J793" s="99"/>
    </row>
    <row r="794" ht="12.75" customHeight="1">
      <c r="J794" s="99"/>
    </row>
    <row r="795" ht="12.75" customHeight="1">
      <c r="J795" s="99"/>
    </row>
    <row r="796" ht="12.75" customHeight="1">
      <c r="J796" s="99"/>
    </row>
    <row r="797" ht="12.75" customHeight="1">
      <c r="J797" s="99"/>
    </row>
    <row r="798" ht="12.75" customHeight="1">
      <c r="J798" s="99"/>
    </row>
    <row r="799" ht="12.75" customHeight="1">
      <c r="J799" s="99"/>
    </row>
    <row r="800" ht="12.75" customHeight="1">
      <c r="J800" s="99"/>
    </row>
    <row r="801" ht="12.75" customHeight="1">
      <c r="J801" s="99"/>
    </row>
    <row r="802" ht="12.75" customHeight="1">
      <c r="J802" s="99"/>
    </row>
    <row r="803" ht="12.75" customHeight="1">
      <c r="J803" s="99"/>
    </row>
    <row r="804" ht="12.75" customHeight="1">
      <c r="J804" s="99"/>
    </row>
    <row r="805" ht="12.75" customHeight="1">
      <c r="J805" s="99"/>
    </row>
    <row r="806" ht="12.75" customHeight="1">
      <c r="J806" s="99"/>
    </row>
    <row r="807" ht="12.75" customHeight="1">
      <c r="J807" s="99"/>
    </row>
    <row r="808" ht="12.75" customHeight="1">
      <c r="J808" s="99"/>
    </row>
    <row r="809" ht="12.75" customHeight="1">
      <c r="J809" s="99"/>
    </row>
    <row r="810" ht="12.75" customHeight="1">
      <c r="J810" s="99"/>
    </row>
    <row r="811" ht="12.75" customHeight="1">
      <c r="J811" s="99"/>
    </row>
    <row r="812" ht="12.75" customHeight="1">
      <c r="J812" s="99"/>
    </row>
    <row r="813" ht="12.75" customHeight="1">
      <c r="J813" s="99"/>
    </row>
    <row r="814" ht="12.75" customHeight="1">
      <c r="J814" s="99"/>
    </row>
    <row r="815" ht="12.75" customHeight="1">
      <c r="J815" s="99"/>
    </row>
    <row r="816" ht="12.75" customHeight="1">
      <c r="J816" s="99"/>
    </row>
    <row r="817" ht="12.75" customHeight="1">
      <c r="J817" s="99"/>
    </row>
    <row r="818" ht="12.75" customHeight="1">
      <c r="J818" s="99"/>
    </row>
    <row r="819" ht="12.75" customHeight="1">
      <c r="J819" s="99"/>
    </row>
    <row r="820" ht="12.75" customHeight="1">
      <c r="J820" s="99"/>
    </row>
    <row r="821" ht="12.75" customHeight="1">
      <c r="J821" s="99"/>
    </row>
    <row r="822" ht="12.75" customHeight="1">
      <c r="J822" s="99"/>
    </row>
    <row r="823" ht="12.75" customHeight="1">
      <c r="J823" s="99"/>
    </row>
    <row r="824" ht="12.75" customHeight="1">
      <c r="J824" s="99"/>
    </row>
    <row r="825" ht="12.75" customHeight="1">
      <c r="J825" s="99"/>
    </row>
    <row r="826" ht="12.75" customHeight="1">
      <c r="J826" s="99"/>
    </row>
    <row r="827" ht="12.75" customHeight="1">
      <c r="J827" s="99"/>
    </row>
    <row r="828" ht="12.75" customHeight="1">
      <c r="J828" s="99"/>
    </row>
    <row r="829" ht="12.75" customHeight="1">
      <c r="J829" s="99"/>
    </row>
    <row r="830" ht="12.75" customHeight="1">
      <c r="J830" s="99"/>
    </row>
    <row r="831" ht="12.75" customHeight="1">
      <c r="J831" s="99"/>
    </row>
    <row r="832" ht="12.75" customHeight="1">
      <c r="J832" s="99"/>
    </row>
    <row r="833" ht="12.75" customHeight="1">
      <c r="J833" s="99"/>
    </row>
    <row r="834" ht="12.75" customHeight="1">
      <c r="J834" s="99"/>
    </row>
    <row r="835" ht="12.75" customHeight="1">
      <c r="J835" s="99"/>
    </row>
    <row r="836" ht="12.75" customHeight="1">
      <c r="J836" s="99"/>
    </row>
    <row r="837" ht="12.75" customHeight="1">
      <c r="J837" s="99"/>
    </row>
    <row r="838" ht="12.75" customHeight="1">
      <c r="J838" s="99"/>
    </row>
    <row r="839" ht="12.75" customHeight="1">
      <c r="J839" s="99"/>
    </row>
    <row r="840" ht="12.75" customHeight="1">
      <c r="J840" s="99"/>
    </row>
    <row r="841" ht="12.75" customHeight="1">
      <c r="J841" s="99"/>
    </row>
    <row r="842" ht="12.75" customHeight="1">
      <c r="J842" s="99"/>
    </row>
    <row r="843" ht="12.75" customHeight="1">
      <c r="J843" s="99"/>
    </row>
    <row r="844" ht="12.75" customHeight="1">
      <c r="J844" s="99"/>
    </row>
    <row r="845" ht="12.75" customHeight="1">
      <c r="J845" s="99"/>
    </row>
    <row r="846" ht="12.75" customHeight="1">
      <c r="J846" s="99"/>
    </row>
    <row r="847" ht="12.75" customHeight="1">
      <c r="J847" s="99"/>
    </row>
    <row r="848" ht="12.75" customHeight="1">
      <c r="J848" s="99"/>
    </row>
    <row r="849" ht="12.75" customHeight="1">
      <c r="J849" s="99"/>
    </row>
    <row r="850" ht="12.75" customHeight="1">
      <c r="J850" s="99"/>
    </row>
    <row r="851" ht="12.75" customHeight="1">
      <c r="J851" s="99"/>
    </row>
    <row r="852" ht="12.75" customHeight="1">
      <c r="J852" s="99"/>
    </row>
    <row r="853" ht="12.75" customHeight="1">
      <c r="J853" s="99"/>
    </row>
    <row r="854" ht="12.75" customHeight="1">
      <c r="J854" s="99"/>
    </row>
    <row r="855" ht="12.75" customHeight="1">
      <c r="J855" s="99"/>
    </row>
    <row r="856" ht="12.75" customHeight="1">
      <c r="J856" s="99"/>
    </row>
    <row r="857" ht="12.75" customHeight="1">
      <c r="J857" s="99"/>
    </row>
    <row r="858" ht="12.75" customHeight="1">
      <c r="J858" s="99"/>
    </row>
    <row r="859" ht="12.75" customHeight="1">
      <c r="J859" s="99"/>
    </row>
    <row r="860" ht="12.75" customHeight="1">
      <c r="J860" s="99"/>
    </row>
    <row r="861" ht="12.75" customHeight="1">
      <c r="J861" s="99"/>
    </row>
    <row r="862" ht="12.75" customHeight="1">
      <c r="J862" s="99"/>
    </row>
    <row r="863" ht="12.75" customHeight="1">
      <c r="J863" s="99"/>
    </row>
    <row r="864" ht="12.75" customHeight="1">
      <c r="J864" s="99"/>
    </row>
    <row r="865" ht="12.75" customHeight="1">
      <c r="J865" s="99"/>
    </row>
    <row r="866" ht="12.75" customHeight="1">
      <c r="J866" s="99"/>
    </row>
    <row r="867" ht="12.75" customHeight="1">
      <c r="J867" s="99"/>
    </row>
    <row r="868" ht="12.75" customHeight="1">
      <c r="J868" s="99"/>
    </row>
    <row r="869" ht="12.75" customHeight="1">
      <c r="J869" s="99"/>
    </row>
    <row r="870" ht="12.75" customHeight="1">
      <c r="J870" s="99"/>
    </row>
    <row r="871" ht="12.75" customHeight="1">
      <c r="J871" s="99"/>
    </row>
    <row r="872" ht="12.75" customHeight="1">
      <c r="J872" s="99"/>
    </row>
    <row r="873" ht="12.75" customHeight="1">
      <c r="J873" s="99"/>
    </row>
    <row r="874" ht="12.75" customHeight="1">
      <c r="J874" s="99"/>
    </row>
    <row r="875" ht="12.75" customHeight="1">
      <c r="J875" s="99"/>
    </row>
    <row r="876" ht="12.75" customHeight="1">
      <c r="J876" s="99"/>
    </row>
    <row r="877" ht="12.75" customHeight="1">
      <c r="J877" s="99"/>
    </row>
    <row r="878" ht="12.75" customHeight="1">
      <c r="J878" s="99"/>
    </row>
    <row r="879" ht="12.75" customHeight="1">
      <c r="J879" s="99"/>
    </row>
    <row r="880" ht="12.75" customHeight="1">
      <c r="J880" s="99"/>
    </row>
    <row r="881" ht="12.75" customHeight="1">
      <c r="J881" s="99"/>
    </row>
    <row r="882" ht="12.75" customHeight="1">
      <c r="J882" s="99"/>
    </row>
    <row r="883" ht="12.75" customHeight="1">
      <c r="J883" s="99"/>
    </row>
    <row r="884" ht="12.75" customHeight="1">
      <c r="J884" s="99"/>
    </row>
    <row r="885" ht="12.75" customHeight="1">
      <c r="J885" s="99"/>
    </row>
    <row r="886" ht="12.75" customHeight="1">
      <c r="J886" s="99"/>
    </row>
    <row r="887" ht="12.75" customHeight="1">
      <c r="J887" s="99"/>
    </row>
    <row r="888" ht="12.75" customHeight="1">
      <c r="J888" s="99"/>
    </row>
    <row r="889" ht="12.75" customHeight="1">
      <c r="J889" s="99"/>
    </row>
    <row r="890" ht="12.75" customHeight="1">
      <c r="J890" s="99"/>
    </row>
    <row r="891" ht="12.75" customHeight="1">
      <c r="J891" s="99"/>
    </row>
    <row r="892" ht="12.75" customHeight="1">
      <c r="J892" s="99"/>
    </row>
    <row r="893" ht="12.75" customHeight="1">
      <c r="J893" s="99"/>
    </row>
    <row r="894" ht="12.75" customHeight="1">
      <c r="J894" s="99"/>
    </row>
    <row r="895" ht="12.75" customHeight="1">
      <c r="J895" s="99"/>
    </row>
    <row r="896" ht="12.75" customHeight="1">
      <c r="J896" s="99"/>
    </row>
    <row r="897" ht="12.75" customHeight="1">
      <c r="J897" s="99"/>
    </row>
    <row r="898" ht="12.75" customHeight="1">
      <c r="J898" s="99"/>
    </row>
    <row r="899" ht="12.75" customHeight="1">
      <c r="J899" s="99"/>
    </row>
    <row r="900" ht="12.75" customHeight="1">
      <c r="J900" s="99"/>
    </row>
    <row r="901" ht="12.75" customHeight="1">
      <c r="J901" s="99"/>
    </row>
    <row r="902" ht="12.75" customHeight="1">
      <c r="J902" s="99"/>
    </row>
    <row r="903" ht="12.75" customHeight="1">
      <c r="J903" s="99"/>
    </row>
    <row r="904" ht="12.75" customHeight="1">
      <c r="J904" s="99"/>
    </row>
    <row r="905" ht="12.75" customHeight="1">
      <c r="J905" s="99"/>
    </row>
    <row r="906" ht="12.75" customHeight="1">
      <c r="J906" s="99"/>
    </row>
    <row r="907" ht="12.75" customHeight="1">
      <c r="J907" s="99"/>
    </row>
    <row r="908" ht="12.75" customHeight="1">
      <c r="J908" s="99"/>
    </row>
    <row r="909" ht="12.75" customHeight="1">
      <c r="J909" s="99"/>
    </row>
    <row r="910" ht="12.75" customHeight="1">
      <c r="J910" s="99"/>
    </row>
    <row r="911" ht="12.75" customHeight="1">
      <c r="J911" s="99"/>
    </row>
    <row r="912" ht="12.75" customHeight="1">
      <c r="J912" s="99"/>
    </row>
    <row r="913" ht="12.75" customHeight="1">
      <c r="J913" s="99"/>
    </row>
    <row r="914" ht="12.75" customHeight="1">
      <c r="J914" s="99"/>
    </row>
    <row r="915" ht="12.75" customHeight="1">
      <c r="J915" s="99"/>
    </row>
    <row r="916" ht="12.75" customHeight="1">
      <c r="J916" s="99"/>
    </row>
    <row r="917" ht="12.75" customHeight="1">
      <c r="J917" s="99"/>
    </row>
    <row r="918" ht="12.75" customHeight="1">
      <c r="J918" s="99"/>
    </row>
    <row r="919" ht="12.75" customHeight="1">
      <c r="J919" s="99"/>
    </row>
    <row r="920" ht="12.75" customHeight="1">
      <c r="J920" s="99"/>
    </row>
    <row r="921" ht="12.75" customHeight="1">
      <c r="J921" s="99"/>
    </row>
    <row r="922" ht="12.75" customHeight="1">
      <c r="J922" s="99"/>
    </row>
    <row r="923" ht="12.75" customHeight="1">
      <c r="J923" s="99"/>
    </row>
    <row r="924" ht="12.75" customHeight="1">
      <c r="J924" s="99"/>
    </row>
    <row r="925" ht="12.75" customHeight="1">
      <c r="J925" s="99"/>
    </row>
    <row r="926" ht="12.75" customHeight="1">
      <c r="J926" s="99"/>
    </row>
    <row r="927" ht="12.75" customHeight="1">
      <c r="J927" s="99"/>
    </row>
    <row r="928" ht="12.75" customHeight="1">
      <c r="J928" s="99"/>
    </row>
    <row r="929" ht="12.75" customHeight="1">
      <c r="J929" s="99"/>
    </row>
    <row r="930" ht="12.75" customHeight="1">
      <c r="J930" s="99"/>
    </row>
    <row r="931" ht="12.75" customHeight="1">
      <c r="J931" s="99"/>
    </row>
    <row r="932" ht="12.75" customHeight="1">
      <c r="J932" s="99"/>
    </row>
    <row r="933" ht="12.75" customHeight="1">
      <c r="J933" s="99"/>
    </row>
    <row r="934" ht="12.75" customHeight="1">
      <c r="J934" s="99"/>
    </row>
    <row r="935" ht="12.75" customHeight="1">
      <c r="J935" s="99"/>
    </row>
    <row r="936" ht="12.75" customHeight="1">
      <c r="J936" s="99"/>
    </row>
    <row r="937" ht="12.75" customHeight="1">
      <c r="J937" s="99"/>
    </row>
    <row r="938" ht="12.75" customHeight="1">
      <c r="J938" s="99"/>
    </row>
    <row r="939" ht="12.75" customHeight="1">
      <c r="J939" s="99"/>
    </row>
    <row r="940" ht="12.75" customHeight="1">
      <c r="J940" s="99"/>
    </row>
    <row r="941" ht="12.75" customHeight="1">
      <c r="J941" s="99"/>
    </row>
    <row r="942" ht="12.75" customHeight="1">
      <c r="J942" s="99"/>
    </row>
    <row r="943" ht="12.75" customHeight="1">
      <c r="J943" s="99"/>
    </row>
    <row r="944" ht="12.75" customHeight="1">
      <c r="J944" s="99"/>
    </row>
    <row r="945" ht="12.75" customHeight="1">
      <c r="J945" s="99"/>
    </row>
    <row r="946" ht="12.75" customHeight="1">
      <c r="J946" s="99"/>
    </row>
    <row r="947" ht="12.75" customHeight="1">
      <c r="J947" s="99"/>
    </row>
    <row r="948" ht="12.75" customHeight="1">
      <c r="J948" s="99"/>
    </row>
    <row r="949" ht="12.75" customHeight="1">
      <c r="J949" s="99"/>
    </row>
    <row r="950" ht="12.75" customHeight="1">
      <c r="J950" s="99"/>
    </row>
    <row r="951" ht="12.75" customHeight="1">
      <c r="J951" s="99"/>
    </row>
    <row r="952" ht="12.75" customHeight="1">
      <c r="J952" s="99"/>
    </row>
    <row r="953" ht="12.75" customHeight="1">
      <c r="J953" s="99"/>
    </row>
    <row r="954" ht="12.75" customHeight="1">
      <c r="J954" s="99"/>
    </row>
    <row r="955" ht="12.75" customHeight="1">
      <c r="J955" s="99"/>
    </row>
    <row r="956" ht="12.75" customHeight="1">
      <c r="J956" s="99"/>
    </row>
    <row r="957" ht="12.75" customHeight="1">
      <c r="J957" s="99"/>
    </row>
    <row r="958" ht="12.75" customHeight="1">
      <c r="J958" s="99"/>
    </row>
    <row r="959" ht="12.75" customHeight="1">
      <c r="J959" s="99"/>
    </row>
    <row r="960" ht="12.75" customHeight="1">
      <c r="J960" s="99"/>
    </row>
    <row r="961" ht="12.75" customHeight="1">
      <c r="J961" s="99"/>
    </row>
    <row r="962" ht="12.75" customHeight="1">
      <c r="J962" s="99"/>
    </row>
    <row r="963" ht="12.75" customHeight="1">
      <c r="J963" s="99"/>
    </row>
    <row r="964" ht="12.75" customHeight="1">
      <c r="J964" s="99"/>
    </row>
    <row r="965" ht="12.75" customHeight="1">
      <c r="J965" s="99"/>
    </row>
    <row r="966" ht="12.75" customHeight="1">
      <c r="J966" s="99"/>
    </row>
    <row r="967" ht="12.75" customHeight="1">
      <c r="J967" s="99"/>
    </row>
    <row r="968" ht="12.75" customHeight="1">
      <c r="J968" s="99"/>
    </row>
    <row r="969" ht="12.75" customHeight="1">
      <c r="J969" s="99"/>
    </row>
    <row r="970" ht="12.75" customHeight="1">
      <c r="J970" s="99"/>
    </row>
    <row r="971" ht="12.75" customHeight="1">
      <c r="J971" s="99"/>
    </row>
    <row r="972" ht="12.75" customHeight="1">
      <c r="J972" s="99"/>
    </row>
    <row r="973" ht="12.75" customHeight="1">
      <c r="J973" s="99"/>
    </row>
    <row r="974" ht="12.75" customHeight="1">
      <c r="J974" s="99"/>
    </row>
    <row r="975" ht="12.75" customHeight="1">
      <c r="J975" s="99"/>
    </row>
    <row r="976" ht="12.75" customHeight="1">
      <c r="J976" s="99"/>
    </row>
    <row r="977" ht="12.75" customHeight="1">
      <c r="J977" s="99"/>
    </row>
    <row r="978" ht="12.75" customHeight="1">
      <c r="J978" s="99"/>
    </row>
    <row r="979" ht="12.75" customHeight="1">
      <c r="J979" s="99"/>
    </row>
    <row r="980" ht="12.75" customHeight="1">
      <c r="J980" s="99"/>
    </row>
    <row r="981" ht="12.75" customHeight="1">
      <c r="J981" s="99"/>
    </row>
    <row r="982" ht="12.75" customHeight="1">
      <c r="J982" s="99"/>
    </row>
    <row r="983" ht="12.75" customHeight="1">
      <c r="J983" s="99"/>
    </row>
    <row r="984" ht="12.75" customHeight="1">
      <c r="J984" s="99"/>
    </row>
    <row r="985" ht="12.75" customHeight="1">
      <c r="J985" s="99"/>
    </row>
    <row r="986" ht="12.75" customHeight="1">
      <c r="J986" s="99"/>
    </row>
    <row r="987" ht="12.75" customHeight="1">
      <c r="J987" s="99"/>
    </row>
    <row r="988" ht="12.75" customHeight="1">
      <c r="J988" s="99"/>
    </row>
    <row r="989" ht="12.75" customHeight="1">
      <c r="J989" s="99"/>
    </row>
    <row r="990" ht="12.75" customHeight="1">
      <c r="J990" s="99"/>
    </row>
    <row r="991" ht="12.75" customHeight="1">
      <c r="J991" s="99"/>
    </row>
    <row r="992" ht="12.75" customHeight="1">
      <c r="J992" s="99"/>
    </row>
    <row r="993" ht="12.75" customHeight="1">
      <c r="J993" s="99"/>
    </row>
    <row r="994" ht="12.75" customHeight="1">
      <c r="J994" s="99"/>
    </row>
    <row r="995" ht="12.75" customHeight="1">
      <c r="J995" s="99"/>
    </row>
    <row r="996" ht="12.75" customHeight="1">
      <c r="J996" s="99"/>
    </row>
    <row r="997" ht="12.75" customHeight="1">
      <c r="J997" s="99"/>
    </row>
    <row r="998" ht="12.75" customHeight="1">
      <c r="J998" s="99"/>
    </row>
    <row r="999" ht="12.75" customHeight="1">
      <c r="J999" s="99"/>
    </row>
    <row r="1000" ht="12.75" customHeight="1">
      <c r="J1000" s="99"/>
    </row>
  </sheetData>
  <mergeCells count="4">
    <mergeCell ref="D2:H2"/>
    <mergeCell ref="A5:J5"/>
    <mergeCell ref="A13:J13"/>
    <mergeCell ref="A15:J15"/>
  </mergeCells>
  <hyperlinks>
    <hyperlink r:id="rId1" location="polycard_client=search-desktop&amp;search_layout=grid&amp;position=45&amp;type=product&amp;tracking_id=0c1bb0a9-ac8d-43b7-8fd1-87587f3ec486&amp;wid=MCO3120823028&amp;sid=search" ref="D8"/>
    <hyperlink r:id="rId2" ref="D9"/>
    <hyperlink r:id="rId3" ref="D10"/>
  </hyperlinks>
  <printOptions/>
  <pageMargins bottom="0.75" footer="0.0" header="0.0" left="0.7" right="0.7" top="0.75"/>
  <pageSetup orientation="landscape"/>
  <drawing r:id="rId4"/>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27.0"/>
    <col customWidth="1" min="10" max="10" width="30.88"/>
    <col customWidth="1" min="11" max="26" width="10.0"/>
  </cols>
  <sheetData>
    <row r="1" ht="12.75" customHeight="1">
      <c r="E1" s="116"/>
      <c r="F1" s="116"/>
      <c r="G1" s="117"/>
      <c r="H1" s="116"/>
      <c r="J1" s="99"/>
    </row>
    <row r="2" ht="27.75" customHeight="1">
      <c r="D2" s="15" t="s">
        <v>10</v>
      </c>
      <c r="J2" s="99"/>
    </row>
    <row r="3" ht="12.75" customHeight="1">
      <c r="E3" s="116"/>
      <c r="F3" s="116"/>
      <c r="G3" s="117"/>
      <c r="H3" s="116"/>
      <c r="J3" s="99"/>
    </row>
    <row r="4" ht="12.75" customHeight="1">
      <c r="E4" s="116"/>
      <c r="F4" s="116"/>
      <c r="G4" s="117"/>
      <c r="H4" s="116"/>
      <c r="J4" s="99"/>
    </row>
    <row r="5" ht="43.5" customHeight="1">
      <c r="A5" s="16" t="s">
        <v>11</v>
      </c>
      <c r="B5" s="17"/>
      <c r="C5" s="17"/>
      <c r="D5" s="17"/>
      <c r="E5" s="17"/>
      <c r="F5" s="17"/>
      <c r="G5" s="17"/>
      <c r="H5" s="17"/>
      <c r="I5" s="17"/>
      <c r="J5" s="18"/>
    </row>
    <row r="6" ht="15.75" customHeight="1">
      <c r="E6" s="116"/>
      <c r="F6" s="116"/>
      <c r="G6" s="117"/>
      <c r="H6" s="116"/>
      <c r="J6" s="99"/>
    </row>
    <row r="7" ht="75.75" customHeight="1">
      <c r="A7" s="19" t="s">
        <v>12</v>
      </c>
      <c r="B7" s="49" t="s">
        <v>216</v>
      </c>
      <c r="C7" s="21" t="s">
        <v>217</v>
      </c>
      <c r="D7" s="20" t="s">
        <v>218</v>
      </c>
      <c r="E7" s="118" t="s">
        <v>219</v>
      </c>
      <c r="F7" s="119" t="s">
        <v>220</v>
      </c>
      <c r="G7" s="120" t="s">
        <v>221</v>
      </c>
      <c r="H7" s="118" t="s">
        <v>19</v>
      </c>
      <c r="I7" s="49" t="s">
        <v>222</v>
      </c>
      <c r="J7" s="49" t="s">
        <v>223</v>
      </c>
      <c r="K7" s="24"/>
      <c r="L7" s="24"/>
      <c r="M7" s="24"/>
      <c r="N7" s="24"/>
      <c r="O7" s="24"/>
      <c r="P7" s="24"/>
      <c r="Q7" s="24"/>
      <c r="R7" s="24"/>
      <c r="S7" s="24"/>
      <c r="T7" s="24"/>
      <c r="U7" s="24"/>
      <c r="V7" s="24"/>
      <c r="W7" s="24"/>
      <c r="X7" s="24"/>
      <c r="Y7" s="24"/>
      <c r="Z7" s="24"/>
    </row>
    <row r="8" ht="123.75" customHeight="1">
      <c r="A8" s="67" t="s">
        <v>22</v>
      </c>
      <c r="B8" s="43" t="s">
        <v>224</v>
      </c>
      <c r="C8" s="52" t="s">
        <v>225</v>
      </c>
      <c r="D8" s="121" t="s">
        <v>226</v>
      </c>
      <c r="E8" s="122">
        <v>365207.0</v>
      </c>
      <c r="F8" s="123">
        <v>365207.0</v>
      </c>
      <c r="G8" s="45">
        <v>100.34</v>
      </c>
      <c r="H8" s="124" t="s">
        <v>204</v>
      </c>
      <c r="I8" s="43" t="s">
        <v>227</v>
      </c>
      <c r="J8" s="125" t="s">
        <v>228</v>
      </c>
    </row>
    <row r="9" ht="112.5" customHeight="1">
      <c r="A9" s="67" t="s">
        <v>31</v>
      </c>
      <c r="B9" s="43" t="s">
        <v>229</v>
      </c>
      <c r="C9" s="126" t="s">
        <v>202</v>
      </c>
      <c r="D9" s="127" t="s">
        <v>230</v>
      </c>
      <c r="E9" s="44">
        <v>250000.0</v>
      </c>
      <c r="F9" s="123">
        <v>250000.0</v>
      </c>
      <c r="G9" s="45">
        <v>68.69</v>
      </c>
      <c r="H9" s="124" t="s">
        <v>204</v>
      </c>
      <c r="I9" s="43" t="s">
        <v>205</v>
      </c>
      <c r="J9" s="128" t="s">
        <v>206</v>
      </c>
    </row>
    <row r="10" ht="106.5" customHeight="1">
      <c r="A10" s="67" t="s">
        <v>40</v>
      </c>
      <c r="B10" s="43" t="s">
        <v>231</v>
      </c>
      <c r="C10" s="129" t="s">
        <v>232</v>
      </c>
      <c r="D10" s="130" t="s">
        <v>233</v>
      </c>
      <c r="E10" s="123">
        <v>379000.0</v>
      </c>
      <c r="F10" s="123">
        <v>379000.0</v>
      </c>
      <c r="G10" s="45">
        <v>104.13</v>
      </c>
      <c r="H10" s="124" t="s">
        <v>204</v>
      </c>
      <c r="I10" s="43" t="s">
        <v>234</v>
      </c>
      <c r="J10" s="131" t="s">
        <v>235</v>
      </c>
    </row>
    <row r="11" ht="15.0" customHeight="1">
      <c r="A11" s="36"/>
      <c r="B11" s="78"/>
      <c r="C11" s="78"/>
      <c r="D11" s="78"/>
      <c r="E11" s="132"/>
      <c r="F11" s="132"/>
      <c r="G11" s="133"/>
      <c r="H11" s="132"/>
      <c r="I11" s="78"/>
      <c r="J11" s="115"/>
    </row>
    <row r="12" ht="12.75" customHeight="1">
      <c r="E12" s="116"/>
      <c r="F12" s="116"/>
      <c r="G12" s="117"/>
      <c r="H12" s="116"/>
      <c r="J12" s="99"/>
    </row>
    <row r="13" ht="138.75" customHeight="1">
      <c r="A13" s="39" t="s">
        <v>236</v>
      </c>
      <c r="B13" s="17"/>
      <c r="C13" s="17"/>
      <c r="D13" s="17"/>
      <c r="E13" s="17"/>
      <c r="F13" s="17"/>
      <c r="G13" s="17"/>
      <c r="H13" s="17"/>
      <c r="I13" s="17"/>
      <c r="J13" s="18"/>
    </row>
    <row r="14" ht="12.75" customHeight="1">
      <c r="E14" s="116"/>
      <c r="F14" s="116"/>
      <c r="G14" s="117"/>
      <c r="H14" s="116"/>
      <c r="J14" s="99"/>
    </row>
    <row r="15" ht="75.0" customHeight="1">
      <c r="A15" s="39" t="s">
        <v>237</v>
      </c>
      <c r="B15" s="17"/>
      <c r="C15" s="17"/>
      <c r="D15" s="17"/>
      <c r="E15" s="17"/>
      <c r="F15" s="17"/>
      <c r="G15" s="17"/>
      <c r="H15" s="17"/>
      <c r="I15" s="17"/>
      <c r="J15" s="18"/>
    </row>
    <row r="16" ht="12.75" customHeight="1">
      <c r="E16" s="116"/>
      <c r="F16" s="116"/>
      <c r="G16" s="117"/>
      <c r="H16" s="116"/>
      <c r="J16" s="99"/>
    </row>
    <row r="17" ht="12.75" customHeight="1">
      <c r="E17" s="116"/>
      <c r="F17" s="116"/>
      <c r="G17" s="117"/>
      <c r="H17" s="116"/>
      <c r="J17" s="99"/>
    </row>
    <row r="18" ht="12.75" customHeight="1">
      <c r="E18" s="116"/>
      <c r="F18" s="116"/>
      <c r="G18" s="117"/>
      <c r="H18" s="116"/>
      <c r="J18" s="99"/>
    </row>
    <row r="19" ht="12.75" customHeight="1">
      <c r="E19" s="116"/>
      <c r="F19" s="116"/>
      <c r="G19" s="117"/>
      <c r="H19" s="116"/>
      <c r="J19" s="99"/>
    </row>
    <row r="20" ht="12.75" customHeight="1">
      <c r="E20" s="116"/>
      <c r="F20" s="116"/>
      <c r="G20" s="117"/>
      <c r="H20" s="116"/>
      <c r="J20" s="99"/>
    </row>
    <row r="21" ht="12.75" customHeight="1">
      <c r="E21" s="116"/>
      <c r="F21" s="116"/>
      <c r="G21" s="117"/>
      <c r="H21" s="116"/>
      <c r="J21" s="99"/>
    </row>
    <row r="22" ht="12.75" customHeight="1">
      <c r="E22" s="116"/>
      <c r="F22" s="116"/>
      <c r="G22" s="117"/>
      <c r="H22" s="116"/>
      <c r="J22" s="99"/>
    </row>
    <row r="23" ht="12.75" customHeight="1">
      <c r="E23" s="116"/>
      <c r="F23" s="116"/>
      <c r="G23" s="117"/>
      <c r="H23" s="116"/>
      <c r="J23" s="99"/>
    </row>
    <row r="24" ht="12.75" customHeight="1">
      <c r="E24" s="116"/>
      <c r="F24" s="116"/>
      <c r="G24" s="117"/>
      <c r="H24" s="116"/>
      <c r="J24" s="99"/>
    </row>
    <row r="25" ht="12.75" customHeight="1">
      <c r="E25" s="116"/>
      <c r="F25" s="116"/>
      <c r="G25" s="117"/>
      <c r="H25" s="116"/>
      <c r="J25" s="99"/>
    </row>
    <row r="26" ht="12.75" customHeight="1">
      <c r="D26" s="40"/>
      <c r="E26" s="134"/>
      <c r="F26" s="135"/>
      <c r="G26" s="136"/>
      <c r="H26" s="116"/>
      <c r="J26" s="99"/>
    </row>
    <row r="27" ht="12.75" customHeight="1">
      <c r="E27" s="116"/>
      <c r="F27" s="116"/>
      <c r="G27" s="117"/>
      <c r="H27" s="116"/>
      <c r="J27" s="99"/>
    </row>
    <row r="28" ht="12.75" customHeight="1">
      <c r="E28" s="116"/>
      <c r="F28" s="116"/>
      <c r="G28" s="117"/>
      <c r="H28" s="116"/>
      <c r="J28" s="99"/>
    </row>
    <row r="29" ht="12.75" customHeight="1">
      <c r="E29" s="116"/>
      <c r="F29" s="116"/>
      <c r="G29" s="117"/>
      <c r="H29" s="116"/>
      <c r="J29" s="99"/>
    </row>
    <row r="30" ht="12.75" customHeight="1">
      <c r="E30" s="116"/>
      <c r="F30" s="116"/>
      <c r="G30" s="117"/>
      <c r="H30" s="116"/>
      <c r="J30" s="99"/>
    </row>
    <row r="31" ht="12.75" customHeight="1">
      <c r="E31" s="116"/>
      <c r="F31" s="116"/>
      <c r="G31" s="117"/>
      <c r="H31" s="116"/>
      <c r="J31" s="99"/>
    </row>
    <row r="32" ht="12.75" customHeight="1">
      <c r="E32" s="116"/>
      <c r="F32" s="116"/>
      <c r="G32" s="117"/>
      <c r="H32" s="116"/>
      <c r="J32" s="99"/>
    </row>
    <row r="33" ht="12.75" customHeight="1">
      <c r="E33" s="116"/>
      <c r="F33" s="116"/>
      <c r="G33" s="117"/>
      <c r="H33" s="116"/>
      <c r="J33" s="99"/>
    </row>
    <row r="34" ht="12.75" customHeight="1">
      <c r="E34" s="116"/>
      <c r="F34" s="116"/>
      <c r="G34" s="117"/>
      <c r="H34" s="116"/>
      <c r="J34" s="99"/>
    </row>
    <row r="35" ht="12.75" customHeight="1">
      <c r="E35" s="116"/>
      <c r="F35" s="116"/>
      <c r="G35" s="117"/>
      <c r="H35" s="116"/>
      <c r="J35" s="99"/>
    </row>
    <row r="36" ht="12.75" customHeight="1">
      <c r="E36" s="116"/>
      <c r="F36" s="116"/>
      <c r="G36" s="117"/>
      <c r="H36" s="116"/>
      <c r="J36" s="99"/>
    </row>
    <row r="37" ht="12.75" customHeight="1">
      <c r="E37" s="116"/>
      <c r="F37" s="116"/>
      <c r="G37" s="117"/>
      <c r="H37" s="116"/>
      <c r="J37" s="99"/>
    </row>
    <row r="38" ht="12.75" customHeight="1">
      <c r="E38" s="116"/>
      <c r="F38" s="116"/>
      <c r="G38" s="117"/>
      <c r="H38" s="116"/>
      <c r="J38" s="99"/>
    </row>
    <row r="39" ht="12.75" customHeight="1">
      <c r="E39" s="116"/>
      <c r="F39" s="116"/>
      <c r="G39" s="117"/>
      <c r="H39" s="116"/>
      <c r="J39" s="99"/>
    </row>
    <row r="40" ht="12.75" customHeight="1">
      <c r="E40" s="116"/>
      <c r="F40" s="116"/>
      <c r="G40" s="117"/>
      <c r="H40" s="116"/>
      <c r="J40" s="99"/>
    </row>
    <row r="41" ht="12.75" customHeight="1">
      <c r="E41" s="116"/>
      <c r="F41" s="116"/>
      <c r="G41" s="117"/>
      <c r="H41" s="116"/>
      <c r="J41" s="99"/>
    </row>
    <row r="42" ht="12.75" customHeight="1">
      <c r="E42" s="116"/>
      <c r="F42" s="116"/>
      <c r="G42" s="117"/>
      <c r="H42" s="116"/>
      <c r="J42" s="99"/>
    </row>
    <row r="43" ht="12.75" customHeight="1">
      <c r="E43" s="116"/>
      <c r="F43" s="116"/>
      <c r="G43" s="117"/>
      <c r="H43" s="116"/>
      <c r="J43" s="99"/>
    </row>
    <row r="44" ht="12.75" customHeight="1">
      <c r="E44" s="116"/>
      <c r="F44" s="116"/>
      <c r="G44" s="117"/>
      <c r="H44" s="116"/>
      <c r="J44" s="99"/>
    </row>
    <row r="45" ht="12.75" customHeight="1">
      <c r="E45" s="116"/>
      <c r="F45" s="116"/>
      <c r="G45" s="117"/>
      <c r="H45" s="116"/>
      <c r="J45" s="99"/>
    </row>
    <row r="46" ht="12.75" customHeight="1">
      <c r="E46" s="116"/>
      <c r="F46" s="116"/>
      <c r="G46" s="117"/>
      <c r="H46" s="116"/>
      <c r="J46" s="99"/>
    </row>
    <row r="47" ht="12.75" customHeight="1">
      <c r="E47" s="116"/>
      <c r="F47" s="116"/>
      <c r="G47" s="117"/>
      <c r="H47" s="116"/>
      <c r="J47" s="99"/>
    </row>
    <row r="48" ht="12.75" customHeight="1">
      <c r="E48" s="116"/>
      <c r="F48" s="116"/>
      <c r="G48" s="117"/>
      <c r="H48" s="116"/>
      <c r="J48" s="99"/>
    </row>
    <row r="49" ht="12.75" customHeight="1">
      <c r="E49" s="116"/>
      <c r="F49" s="116"/>
      <c r="G49" s="117"/>
      <c r="H49" s="116"/>
      <c r="J49" s="99"/>
    </row>
    <row r="50" ht="12.75" customHeight="1">
      <c r="E50" s="116"/>
      <c r="F50" s="116"/>
      <c r="G50" s="117"/>
      <c r="H50" s="116"/>
      <c r="J50" s="99"/>
    </row>
    <row r="51" ht="12.75" customHeight="1">
      <c r="E51" s="116"/>
      <c r="F51" s="116"/>
      <c r="G51" s="117"/>
      <c r="H51" s="116"/>
      <c r="J51" s="99"/>
    </row>
    <row r="52" ht="12.75" customHeight="1">
      <c r="E52" s="116"/>
      <c r="F52" s="116"/>
      <c r="G52" s="117"/>
      <c r="H52" s="116"/>
      <c r="J52" s="99"/>
    </row>
    <row r="53" ht="12.75" customHeight="1">
      <c r="E53" s="116"/>
      <c r="F53" s="116"/>
      <c r="G53" s="117"/>
      <c r="H53" s="116"/>
      <c r="J53" s="99"/>
    </row>
    <row r="54" ht="12.75" customHeight="1">
      <c r="E54" s="116"/>
      <c r="F54" s="116"/>
      <c r="G54" s="117"/>
      <c r="H54" s="116"/>
      <c r="J54" s="99"/>
    </row>
    <row r="55" ht="12.75" customHeight="1">
      <c r="E55" s="116"/>
      <c r="F55" s="116"/>
      <c r="G55" s="117"/>
      <c r="H55" s="116"/>
      <c r="J55" s="99"/>
    </row>
    <row r="56" ht="12.75" customHeight="1">
      <c r="E56" s="116"/>
      <c r="F56" s="116"/>
      <c r="G56" s="117"/>
      <c r="H56" s="116"/>
      <c r="J56" s="99"/>
    </row>
    <row r="57" ht="12.75" customHeight="1">
      <c r="E57" s="116"/>
      <c r="F57" s="116"/>
      <c r="G57" s="117"/>
      <c r="H57" s="116"/>
      <c r="J57" s="99"/>
    </row>
    <row r="58" ht="12.75" customHeight="1">
      <c r="E58" s="116"/>
      <c r="F58" s="116"/>
      <c r="G58" s="117"/>
      <c r="H58" s="116"/>
      <c r="J58" s="99"/>
    </row>
    <row r="59" ht="12.75" customHeight="1">
      <c r="E59" s="116"/>
      <c r="F59" s="116"/>
      <c r="G59" s="117"/>
      <c r="H59" s="116"/>
      <c r="J59" s="99"/>
    </row>
    <row r="60" ht="12.75" customHeight="1">
      <c r="E60" s="116"/>
      <c r="F60" s="116"/>
      <c r="G60" s="117"/>
      <c r="H60" s="116"/>
      <c r="J60" s="99"/>
    </row>
    <row r="61" ht="12.75" customHeight="1">
      <c r="E61" s="116"/>
      <c r="F61" s="116"/>
      <c r="G61" s="117"/>
      <c r="H61" s="116"/>
      <c r="J61" s="99"/>
    </row>
    <row r="62" ht="12.75" customHeight="1">
      <c r="E62" s="116"/>
      <c r="F62" s="116"/>
      <c r="G62" s="117"/>
      <c r="H62" s="116"/>
      <c r="J62" s="99"/>
    </row>
    <row r="63" ht="12.75" customHeight="1">
      <c r="E63" s="116"/>
      <c r="F63" s="116"/>
      <c r="G63" s="117"/>
      <c r="H63" s="116"/>
      <c r="J63" s="99"/>
    </row>
    <row r="64" ht="12.75" customHeight="1">
      <c r="E64" s="116"/>
      <c r="F64" s="116"/>
      <c r="G64" s="117"/>
      <c r="H64" s="116"/>
      <c r="J64" s="99"/>
    </row>
    <row r="65" ht="12.75" customHeight="1">
      <c r="E65" s="116"/>
      <c r="F65" s="116"/>
      <c r="G65" s="117"/>
      <c r="H65" s="116"/>
      <c r="J65" s="99"/>
    </row>
    <row r="66" ht="12.75" customHeight="1">
      <c r="E66" s="116"/>
      <c r="F66" s="116"/>
      <c r="G66" s="117"/>
      <c r="H66" s="116"/>
      <c r="J66" s="99"/>
    </row>
    <row r="67" ht="12.75" customHeight="1">
      <c r="E67" s="116"/>
      <c r="F67" s="116"/>
      <c r="G67" s="117"/>
      <c r="H67" s="116"/>
      <c r="J67" s="99"/>
    </row>
    <row r="68" ht="12.75" customHeight="1">
      <c r="E68" s="116"/>
      <c r="F68" s="116"/>
      <c r="G68" s="117"/>
      <c r="H68" s="116"/>
      <c r="J68" s="99"/>
    </row>
    <row r="69" ht="12.75" customHeight="1">
      <c r="E69" s="116"/>
      <c r="F69" s="116"/>
      <c r="G69" s="117"/>
      <c r="H69" s="116"/>
      <c r="J69" s="99"/>
    </row>
    <row r="70" ht="12.75" customHeight="1">
      <c r="E70" s="116"/>
      <c r="F70" s="116"/>
      <c r="G70" s="117"/>
      <c r="H70" s="116"/>
      <c r="J70" s="99"/>
    </row>
    <row r="71" ht="12.75" customHeight="1">
      <c r="E71" s="116"/>
      <c r="F71" s="116"/>
      <c r="G71" s="117"/>
      <c r="H71" s="116"/>
      <c r="J71" s="99"/>
    </row>
    <row r="72" ht="12.75" customHeight="1">
      <c r="E72" s="116"/>
      <c r="F72" s="116"/>
      <c r="G72" s="117"/>
      <c r="H72" s="116"/>
      <c r="J72" s="99"/>
    </row>
    <row r="73" ht="12.75" customHeight="1">
      <c r="E73" s="116"/>
      <c r="F73" s="116"/>
      <c r="G73" s="117"/>
      <c r="H73" s="116"/>
      <c r="J73" s="99"/>
    </row>
    <row r="74" ht="12.75" customHeight="1">
      <c r="E74" s="116"/>
      <c r="F74" s="116"/>
      <c r="G74" s="117"/>
      <c r="H74" s="116"/>
      <c r="J74" s="99"/>
    </row>
    <row r="75" ht="12.75" customHeight="1">
      <c r="E75" s="116"/>
      <c r="F75" s="116"/>
      <c r="G75" s="117"/>
      <c r="H75" s="116"/>
      <c r="J75" s="99"/>
    </row>
    <row r="76" ht="12.75" customHeight="1">
      <c r="E76" s="116"/>
      <c r="F76" s="116"/>
      <c r="G76" s="117"/>
      <c r="H76" s="116"/>
      <c r="J76" s="99"/>
    </row>
    <row r="77" ht="12.75" customHeight="1">
      <c r="E77" s="116"/>
      <c r="F77" s="116"/>
      <c r="G77" s="117"/>
      <c r="H77" s="116"/>
      <c r="J77" s="99"/>
    </row>
    <row r="78" ht="12.75" customHeight="1">
      <c r="E78" s="116"/>
      <c r="F78" s="116"/>
      <c r="G78" s="117"/>
      <c r="H78" s="116"/>
      <c r="J78" s="99"/>
    </row>
    <row r="79" ht="12.75" customHeight="1">
      <c r="E79" s="116"/>
      <c r="F79" s="116"/>
      <c r="G79" s="117"/>
      <c r="H79" s="116"/>
      <c r="J79" s="99"/>
    </row>
    <row r="80" ht="12.75" customHeight="1">
      <c r="E80" s="116"/>
      <c r="F80" s="116"/>
      <c r="G80" s="117"/>
      <c r="H80" s="116"/>
      <c r="J80" s="99"/>
    </row>
    <row r="81" ht="12.75" customHeight="1">
      <c r="E81" s="116"/>
      <c r="F81" s="116"/>
      <c r="G81" s="117"/>
      <c r="H81" s="116"/>
      <c r="J81" s="99"/>
    </row>
    <row r="82" ht="12.75" customHeight="1">
      <c r="E82" s="116"/>
      <c r="F82" s="116"/>
      <c r="G82" s="117"/>
      <c r="H82" s="116"/>
      <c r="J82" s="99"/>
    </row>
    <row r="83" ht="12.75" customHeight="1">
      <c r="E83" s="116"/>
      <c r="F83" s="116"/>
      <c r="G83" s="117"/>
      <c r="H83" s="116"/>
      <c r="J83" s="99"/>
    </row>
    <row r="84" ht="12.75" customHeight="1">
      <c r="E84" s="116"/>
      <c r="F84" s="116"/>
      <c r="G84" s="117"/>
      <c r="H84" s="116"/>
      <c r="J84" s="99"/>
    </row>
    <row r="85" ht="12.75" customHeight="1">
      <c r="E85" s="116"/>
      <c r="F85" s="116"/>
      <c r="G85" s="117"/>
      <c r="H85" s="116"/>
      <c r="J85" s="99"/>
    </row>
    <row r="86" ht="12.75" customHeight="1">
      <c r="E86" s="116"/>
      <c r="F86" s="116"/>
      <c r="G86" s="117"/>
      <c r="H86" s="116"/>
      <c r="J86" s="99"/>
    </row>
    <row r="87" ht="12.75" customHeight="1">
      <c r="E87" s="116"/>
      <c r="F87" s="116"/>
      <c r="G87" s="117"/>
      <c r="H87" s="116"/>
      <c r="J87" s="99"/>
    </row>
    <row r="88" ht="12.75" customHeight="1">
      <c r="E88" s="116"/>
      <c r="F88" s="116"/>
      <c r="G88" s="117"/>
      <c r="H88" s="116"/>
      <c r="J88" s="99"/>
    </row>
    <row r="89" ht="12.75" customHeight="1">
      <c r="E89" s="116"/>
      <c r="F89" s="116"/>
      <c r="G89" s="117"/>
      <c r="H89" s="116"/>
      <c r="J89" s="99"/>
    </row>
    <row r="90" ht="12.75" customHeight="1">
      <c r="E90" s="116"/>
      <c r="F90" s="116"/>
      <c r="G90" s="117"/>
      <c r="H90" s="116"/>
      <c r="J90" s="99"/>
    </row>
    <row r="91" ht="12.75" customHeight="1">
      <c r="E91" s="116"/>
      <c r="F91" s="116"/>
      <c r="G91" s="117"/>
      <c r="H91" s="116"/>
      <c r="J91" s="99"/>
    </row>
    <row r="92" ht="12.75" customHeight="1">
      <c r="E92" s="116"/>
      <c r="F92" s="116"/>
      <c r="G92" s="117"/>
      <c r="H92" s="116"/>
      <c r="J92" s="99"/>
    </row>
    <row r="93" ht="12.75" customHeight="1">
      <c r="E93" s="116"/>
      <c r="F93" s="116"/>
      <c r="G93" s="117"/>
      <c r="H93" s="116"/>
      <c r="J93" s="99"/>
    </row>
    <row r="94" ht="12.75" customHeight="1">
      <c r="E94" s="116"/>
      <c r="F94" s="116"/>
      <c r="G94" s="117"/>
      <c r="H94" s="116"/>
      <c r="J94" s="99"/>
    </row>
    <row r="95" ht="12.75" customHeight="1">
      <c r="E95" s="116"/>
      <c r="F95" s="116"/>
      <c r="G95" s="117"/>
      <c r="H95" s="116"/>
      <c r="J95" s="99"/>
    </row>
    <row r="96" ht="12.75" customHeight="1">
      <c r="E96" s="116"/>
      <c r="F96" s="116"/>
      <c r="G96" s="117"/>
      <c r="H96" s="116"/>
      <c r="J96" s="99"/>
    </row>
    <row r="97" ht="12.75" customHeight="1">
      <c r="E97" s="116"/>
      <c r="F97" s="116"/>
      <c r="G97" s="117"/>
      <c r="H97" s="116"/>
      <c r="J97" s="99"/>
    </row>
    <row r="98" ht="12.75" customHeight="1">
      <c r="E98" s="116"/>
      <c r="F98" s="116"/>
      <c r="G98" s="117"/>
      <c r="H98" s="116"/>
      <c r="J98" s="99"/>
    </row>
    <row r="99" ht="12.75" customHeight="1">
      <c r="E99" s="116"/>
      <c r="F99" s="116"/>
      <c r="G99" s="117"/>
      <c r="H99" s="116"/>
      <c r="J99" s="99"/>
    </row>
    <row r="100" ht="12.75" customHeight="1">
      <c r="E100" s="116"/>
      <c r="F100" s="116"/>
      <c r="G100" s="117"/>
      <c r="H100" s="116"/>
      <c r="J100" s="99"/>
    </row>
    <row r="101" ht="12.75" customHeight="1">
      <c r="E101" s="116"/>
      <c r="F101" s="116"/>
      <c r="G101" s="117"/>
      <c r="H101" s="116"/>
      <c r="J101" s="99"/>
    </row>
    <row r="102" ht="12.75" customHeight="1">
      <c r="E102" s="116"/>
      <c r="F102" s="116"/>
      <c r="G102" s="117"/>
      <c r="H102" s="116"/>
      <c r="J102" s="99"/>
    </row>
    <row r="103" ht="12.75" customHeight="1">
      <c r="E103" s="116"/>
      <c r="F103" s="116"/>
      <c r="G103" s="117"/>
      <c r="H103" s="116"/>
      <c r="J103" s="99"/>
    </row>
    <row r="104" ht="12.75" customHeight="1">
      <c r="E104" s="116"/>
      <c r="F104" s="116"/>
      <c r="G104" s="117"/>
      <c r="H104" s="116"/>
      <c r="J104" s="99"/>
    </row>
    <row r="105" ht="12.75" customHeight="1">
      <c r="E105" s="116"/>
      <c r="F105" s="116"/>
      <c r="G105" s="117"/>
      <c r="H105" s="116"/>
      <c r="J105" s="99"/>
    </row>
    <row r="106" ht="12.75" customHeight="1">
      <c r="E106" s="116"/>
      <c r="F106" s="116"/>
      <c r="G106" s="117"/>
      <c r="H106" s="116"/>
      <c r="J106" s="99"/>
    </row>
    <row r="107" ht="12.75" customHeight="1">
      <c r="E107" s="116"/>
      <c r="F107" s="116"/>
      <c r="G107" s="117"/>
      <c r="H107" s="116"/>
      <c r="J107" s="99"/>
    </row>
    <row r="108" ht="12.75" customHeight="1">
      <c r="E108" s="116"/>
      <c r="F108" s="116"/>
      <c r="G108" s="117"/>
      <c r="H108" s="116"/>
      <c r="J108" s="99"/>
    </row>
    <row r="109" ht="12.75" customHeight="1">
      <c r="E109" s="116"/>
      <c r="F109" s="116"/>
      <c r="G109" s="117"/>
      <c r="H109" s="116"/>
      <c r="J109" s="99"/>
    </row>
    <row r="110" ht="12.75" customHeight="1">
      <c r="E110" s="116"/>
      <c r="F110" s="116"/>
      <c r="G110" s="117"/>
      <c r="H110" s="116"/>
      <c r="J110" s="99"/>
    </row>
    <row r="111" ht="12.75" customHeight="1">
      <c r="E111" s="116"/>
      <c r="F111" s="116"/>
      <c r="G111" s="117"/>
      <c r="H111" s="116"/>
      <c r="J111" s="99"/>
    </row>
    <row r="112" ht="12.75" customHeight="1">
      <c r="E112" s="116"/>
      <c r="F112" s="116"/>
      <c r="G112" s="117"/>
      <c r="H112" s="116"/>
      <c r="J112" s="99"/>
    </row>
    <row r="113" ht="12.75" customHeight="1">
      <c r="E113" s="116"/>
      <c r="F113" s="116"/>
      <c r="G113" s="117"/>
      <c r="H113" s="116"/>
      <c r="J113" s="99"/>
    </row>
    <row r="114" ht="12.75" customHeight="1">
      <c r="E114" s="116"/>
      <c r="F114" s="116"/>
      <c r="G114" s="117"/>
      <c r="H114" s="116"/>
      <c r="J114" s="99"/>
    </row>
    <row r="115" ht="12.75" customHeight="1">
      <c r="E115" s="116"/>
      <c r="F115" s="116"/>
      <c r="G115" s="117"/>
      <c r="H115" s="116"/>
      <c r="J115" s="99"/>
    </row>
    <row r="116" ht="12.75" customHeight="1">
      <c r="E116" s="116"/>
      <c r="F116" s="116"/>
      <c r="G116" s="117"/>
      <c r="H116" s="116"/>
      <c r="J116" s="99"/>
    </row>
    <row r="117" ht="12.75" customHeight="1">
      <c r="E117" s="116"/>
      <c r="F117" s="116"/>
      <c r="G117" s="117"/>
      <c r="H117" s="116"/>
      <c r="J117" s="99"/>
    </row>
    <row r="118" ht="12.75" customHeight="1">
      <c r="E118" s="116"/>
      <c r="F118" s="116"/>
      <c r="G118" s="117"/>
      <c r="H118" s="116"/>
      <c r="J118" s="99"/>
    </row>
    <row r="119" ht="12.75" customHeight="1">
      <c r="E119" s="116"/>
      <c r="F119" s="116"/>
      <c r="G119" s="117"/>
      <c r="H119" s="116"/>
      <c r="J119" s="99"/>
    </row>
    <row r="120" ht="12.75" customHeight="1">
      <c r="E120" s="116"/>
      <c r="F120" s="116"/>
      <c r="G120" s="117"/>
      <c r="H120" s="116"/>
      <c r="J120" s="99"/>
    </row>
    <row r="121" ht="12.75" customHeight="1">
      <c r="E121" s="116"/>
      <c r="F121" s="116"/>
      <c r="G121" s="117"/>
      <c r="H121" s="116"/>
      <c r="J121" s="99"/>
    </row>
    <row r="122" ht="12.75" customHeight="1">
      <c r="E122" s="116"/>
      <c r="F122" s="116"/>
      <c r="G122" s="117"/>
      <c r="H122" s="116"/>
      <c r="J122" s="99"/>
    </row>
    <row r="123" ht="12.75" customHeight="1">
      <c r="E123" s="116"/>
      <c r="F123" s="116"/>
      <c r="G123" s="117"/>
      <c r="H123" s="116"/>
      <c r="J123" s="99"/>
    </row>
    <row r="124" ht="12.75" customHeight="1">
      <c r="E124" s="116"/>
      <c r="F124" s="116"/>
      <c r="G124" s="117"/>
      <c r="H124" s="116"/>
      <c r="J124" s="99"/>
    </row>
    <row r="125" ht="12.75" customHeight="1">
      <c r="E125" s="116"/>
      <c r="F125" s="116"/>
      <c r="G125" s="117"/>
      <c r="H125" s="116"/>
      <c r="J125" s="99"/>
    </row>
    <row r="126" ht="12.75" customHeight="1">
      <c r="E126" s="116"/>
      <c r="F126" s="116"/>
      <c r="G126" s="117"/>
      <c r="H126" s="116"/>
      <c r="J126" s="99"/>
    </row>
    <row r="127" ht="12.75" customHeight="1">
      <c r="E127" s="116"/>
      <c r="F127" s="116"/>
      <c r="G127" s="117"/>
      <c r="H127" s="116"/>
      <c r="J127" s="99"/>
    </row>
    <row r="128" ht="12.75" customHeight="1">
      <c r="E128" s="116"/>
      <c r="F128" s="116"/>
      <c r="G128" s="117"/>
      <c r="H128" s="116"/>
      <c r="J128" s="99"/>
    </row>
    <row r="129" ht="12.75" customHeight="1">
      <c r="E129" s="116"/>
      <c r="F129" s="116"/>
      <c r="G129" s="117"/>
      <c r="H129" s="116"/>
      <c r="J129" s="99"/>
    </row>
    <row r="130" ht="12.75" customHeight="1">
      <c r="E130" s="116"/>
      <c r="F130" s="116"/>
      <c r="G130" s="117"/>
      <c r="H130" s="116"/>
      <c r="J130" s="99"/>
    </row>
    <row r="131" ht="12.75" customHeight="1">
      <c r="E131" s="116"/>
      <c r="F131" s="116"/>
      <c r="G131" s="117"/>
      <c r="H131" s="116"/>
      <c r="J131" s="99"/>
    </row>
    <row r="132" ht="12.75" customHeight="1">
      <c r="E132" s="116"/>
      <c r="F132" s="116"/>
      <c r="G132" s="117"/>
      <c r="H132" s="116"/>
      <c r="J132" s="99"/>
    </row>
    <row r="133" ht="12.75" customHeight="1">
      <c r="E133" s="116"/>
      <c r="F133" s="116"/>
      <c r="G133" s="117"/>
      <c r="H133" s="116"/>
      <c r="J133" s="99"/>
    </row>
    <row r="134" ht="12.75" customHeight="1">
      <c r="E134" s="116"/>
      <c r="F134" s="116"/>
      <c r="G134" s="117"/>
      <c r="H134" s="116"/>
      <c r="J134" s="99"/>
    </row>
    <row r="135" ht="12.75" customHeight="1">
      <c r="E135" s="116"/>
      <c r="F135" s="116"/>
      <c r="G135" s="117"/>
      <c r="H135" s="116"/>
      <c r="J135" s="99"/>
    </row>
    <row r="136" ht="12.75" customHeight="1">
      <c r="E136" s="116"/>
      <c r="F136" s="116"/>
      <c r="G136" s="117"/>
      <c r="H136" s="116"/>
      <c r="J136" s="99"/>
    </row>
    <row r="137" ht="12.75" customHeight="1">
      <c r="E137" s="116"/>
      <c r="F137" s="116"/>
      <c r="G137" s="117"/>
      <c r="H137" s="116"/>
      <c r="J137" s="99"/>
    </row>
    <row r="138" ht="12.75" customHeight="1">
      <c r="E138" s="116"/>
      <c r="F138" s="116"/>
      <c r="G138" s="117"/>
      <c r="H138" s="116"/>
      <c r="J138" s="99"/>
    </row>
    <row r="139" ht="12.75" customHeight="1">
      <c r="E139" s="116"/>
      <c r="F139" s="116"/>
      <c r="G139" s="117"/>
      <c r="H139" s="116"/>
      <c r="J139" s="99"/>
    </row>
    <row r="140" ht="12.75" customHeight="1">
      <c r="E140" s="116"/>
      <c r="F140" s="116"/>
      <c r="G140" s="117"/>
      <c r="H140" s="116"/>
      <c r="J140" s="99"/>
    </row>
    <row r="141" ht="12.75" customHeight="1">
      <c r="E141" s="116"/>
      <c r="F141" s="116"/>
      <c r="G141" s="117"/>
      <c r="H141" s="116"/>
      <c r="J141" s="99"/>
    </row>
    <row r="142" ht="12.75" customHeight="1">
      <c r="E142" s="116"/>
      <c r="F142" s="116"/>
      <c r="G142" s="117"/>
      <c r="H142" s="116"/>
      <c r="J142" s="99"/>
    </row>
    <row r="143" ht="12.75" customHeight="1">
      <c r="E143" s="116"/>
      <c r="F143" s="116"/>
      <c r="G143" s="117"/>
      <c r="H143" s="116"/>
      <c r="J143" s="99"/>
    </row>
    <row r="144" ht="12.75" customHeight="1">
      <c r="E144" s="116"/>
      <c r="F144" s="116"/>
      <c r="G144" s="117"/>
      <c r="H144" s="116"/>
      <c r="J144" s="99"/>
    </row>
    <row r="145" ht="12.75" customHeight="1">
      <c r="E145" s="116"/>
      <c r="F145" s="116"/>
      <c r="G145" s="117"/>
      <c r="H145" s="116"/>
      <c r="J145" s="99"/>
    </row>
    <row r="146" ht="12.75" customHeight="1">
      <c r="E146" s="116"/>
      <c r="F146" s="116"/>
      <c r="G146" s="117"/>
      <c r="H146" s="116"/>
      <c r="J146" s="99"/>
    </row>
    <row r="147" ht="12.75" customHeight="1">
      <c r="E147" s="116"/>
      <c r="F147" s="116"/>
      <c r="G147" s="117"/>
      <c r="H147" s="116"/>
      <c r="J147" s="99"/>
    </row>
    <row r="148" ht="12.75" customHeight="1">
      <c r="E148" s="116"/>
      <c r="F148" s="116"/>
      <c r="G148" s="117"/>
      <c r="H148" s="116"/>
      <c r="J148" s="99"/>
    </row>
    <row r="149" ht="12.75" customHeight="1">
      <c r="E149" s="116"/>
      <c r="F149" s="116"/>
      <c r="G149" s="117"/>
      <c r="H149" s="116"/>
      <c r="J149" s="99"/>
    </row>
    <row r="150" ht="12.75" customHeight="1">
      <c r="E150" s="116"/>
      <c r="F150" s="116"/>
      <c r="G150" s="117"/>
      <c r="H150" s="116"/>
      <c r="J150" s="99"/>
    </row>
    <row r="151" ht="12.75" customHeight="1">
      <c r="E151" s="116"/>
      <c r="F151" s="116"/>
      <c r="G151" s="117"/>
      <c r="H151" s="116"/>
      <c r="J151" s="99"/>
    </row>
    <row r="152" ht="12.75" customHeight="1">
      <c r="E152" s="116"/>
      <c r="F152" s="116"/>
      <c r="G152" s="117"/>
      <c r="H152" s="116"/>
      <c r="J152" s="99"/>
    </row>
    <row r="153" ht="12.75" customHeight="1">
      <c r="E153" s="116"/>
      <c r="F153" s="116"/>
      <c r="G153" s="117"/>
      <c r="H153" s="116"/>
      <c r="J153" s="99"/>
    </row>
    <row r="154" ht="12.75" customHeight="1">
      <c r="E154" s="116"/>
      <c r="F154" s="116"/>
      <c r="G154" s="117"/>
      <c r="H154" s="116"/>
      <c r="J154" s="99"/>
    </row>
    <row r="155" ht="12.75" customHeight="1">
      <c r="E155" s="116"/>
      <c r="F155" s="116"/>
      <c r="G155" s="117"/>
      <c r="H155" s="116"/>
      <c r="J155" s="99"/>
    </row>
    <row r="156" ht="12.75" customHeight="1">
      <c r="E156" s="116"/>
      <c r="F156" s="116"/>
      <c r="G156" s="117"/>
      <c r="H156" s="116"/>
      <c r="J156" s="99"/>
    </row>
    <row r="157" ht="12.75" customHeight="1">
      <c r="E157" s="116"/>
      <c r="F157" s="116"/>
      <c r="G157" s="117"/>
      <c r="H157" s="116"/>
      <c r="J157" s="99"/>
    </row>
    <row r="158" ht="12.75" customHeight="1">
      <c r="E158" s="116"/>
      <c r="F158" s="116"/>
      <c r="G158" s="117"/>
      <c r="H158" s="116"/>
      <c r="J158" s="99"/>
    </row>
    <row r="159" ht="12.75" customHeight="1">
      <c r="E159" s="116"/>
      <c r="F159" s="116"/>
      <c r="G159" s="117"/>
      <c r="H159" s="116"/>
      <c r="J159" s="99"/>
    </row>
    <row r="160" ht="12.75" customHeight="1">
      <c r="E160" s="116"/>
      <c r="F160" s="116"/>
      <c r="G160" s="117"/>
      <c r="H160" s="116"/>
      <c r="J160" s="99"/>
    </row>
    <row r="161" ht="12.75" customHeight="1">
      <c r="E161" s="116"/>
      <c r="F161" s="116"/>
      <c r="G161" s="117"/>
      <c r="H161" s="116"/>
      <c r="J161" s="99"/>
    </row>
    <row r="162" ht="12.75" customHeight="1">
      <c r="E162" s="116"/>
      <c r="F162" s="116"/>
      <c r="G162" s="117"/>
      <c r="H162" s="116"/>
      <c r="J162" s="99"/>
    </row>
    <row r="163" ht="12.75" customHeight="1">
      <c r="E163" s="116"/>
      <c r="F163" s="116"/>
      <c r="G163" s="117"/>
      <c r="H163" s="116"/>
      <c r="J163" s="99"/>
    </row>
    <row r="164" ht="12.75" customHeight="1">
      <c r="E164" s="116"/>
      <c r="F164" s="116"/>
      <c r="G164" s="117"/>
      <c r="H164" s="116"/>
      <c r="J164" s="99"/>
    </row>
    <row r="165" ht="12.75" customHeight="1">
      <c r="E165" s="116"/>
      <c r="F165" s="116"/>
      <c r="G165" s="117"/>
      <c r="H165" s="116"/>
      <c r="J165" s="99"/>
    </row>
    <row r="166" ht="12.75" customHeight="1">
      <c r="E166" s="116"/>
      <c r="F166" s="116"/>
      <c r="G166" s="117"/>
      <c r="H166" s="116"/>
      <c r="J166" s="99"/>
    </row>
    <row r="167" ht="12.75" customHeight="1">
      <c r="E167" s="116"/>
      <c r="F167" s="116"/>
      <c r="G167" s="117"/>
      <c r="H167" s="116"/>
      <c r="J167" s="99"/>
    </row>
    <row r="168" ht="12.75" customHeight="1">
      <c r="E168" s="116"/>
      <c r="F168" s="116"/>
      <c r="G168" s="117"/>
      <c r="H168" s="116"/>
      <c r="J168" s="99"/>
    </row>
    <row r="169" ht="12.75" customHeight="1">
      <c r="E169" s="116"/>
      <c r="F169" s="116"/>
      <c r="G169" s="117"/>
      <c r="H169" s="116"/>
      <c r="J169" s="99"/>
    </row>
    <row r="170" ht="12.75" customHeight="1">
      <c r="E170" s="116"/>
      <c r="F170" s="116"/>
      <c r="G170" s="117"/>
      <c r="H170" s="116"/>
      <c r="J170" s="99"/>
    </row>
    <row r="171" ht="12.75" customHeight="1">
      <c r="E171" s="116"/>
      <c r="F171" s="116"/>
      <c r="G171" s="117"/>
      <c r="H171" s="116"/>
      <c r="J171" s="99"/>
    </row>
    <row r="172" ht="12.75" customHeight="1">
      <c r="E172" s="116"/>
      <c r="F172" s="116"/>
      <c r="G172" s="117"/>
      <c r="H172" s="116"/>
      <c r="J172" s="99"/>
    </row>
    <row r="173" ht="12.75" customHeight="1">
      <c r="E173" s="116"/>
      <c r="F173" s="116"/>
      <c r="G173" s="117"/>
      <c r="H173" s="116"/>
      <c r="J173" s="99"/>
    </row>
    <row r="174" ht="12.75" customHeight="1">
      <c r="E174" s="116"/>
      <c r="F174" s="116"/>
      <c r="G174" s="117"/>
      <c r="H174" s="116"/>
      <c r="J174" s="99"/>
    </row>
    <row r="175" ht="12.75" customHeight="1">
      <c r="E175" s="116"/>
      <c r="F175" s="116"/>
      <c r="G175" s="117"/>
      <c r="H175" s="116"/>
      <c r="J175" s="99"/>
    </row>
    <row r="176" ht="12.75" customHeight="1">
      <c r="E176" s="116"/>
      <c r="F176" s="116"/>
      <c r="G176" s="117"/>
      <c r="H176" s="116"/>
      <c r="J176" s="99"/>
    </row>
    <row r="177" ht="12.75" customHeight="1">
      <c r="E177" s="116"/>
      <c r="F177" s="116"/>
      <c r="G177" s="117"/>
      <c r="H177" s="116"/>
      <c r="J177" s="99"/>
    </row>
    <row r="178" ht="12.75" customHeight="1">
      <c r="E178" s="116"/>
      <c r="F178" s="116"/>
      <c r="G178" s="117"/>
      <c r="H178" s="116"/>
      <c r="J178" s="99"/>
    </row>
    <row r="179" ht="12.75" customHeight="1">
      <c r="E179" s="116"/>
      <c r="F179" s="116"/>
      <c r="G179" s="117"/>
      <c r="H179" s="116"/>
      <c r="J179" s="99"/>
    </row>
    <row r="180" ht="12.75" customHeight="1">
      <c r="E180" s="116"/>
      <c r="F180" s="116"/>
      <c r="G180" s="117"/>
      <c r="H180" s="116"/>
      <c r="J180" s="99"/>
    </row>
    <row r="181" ht="12.75" customHeight="1">
      <c r="E181" s="116"/>
      <c r="F181" s="116"/>
      <c r="G181" s="117"/>
      <c r="H181" s="116"/>
      <c r="J181" s="99"/>
    </row>
    <row r="182" ht="12.75" customHeight="1">
      <c r="E182" s="116"/>
      <c r="F182" s="116"/>
      <c r="G182" s="117"/>
      <c r="H182" s="116"/>
      <c r="J182" s="99"/>
    </row>
    <row r="183" ht="12.75" customHeight="1">
      <c r="E183" s="116"/>
      <c r="F183" s="116"/>
      <c r="G183" s="117"/>
      <c r="H183" s="116"/>
      <c r="J183" s="99"/>
    </row>
    <row r="184" ht="12.75" customHeight="1">
      <c r="E184" s="116"/>
      <c r="F184" s="116"/>
      <c r="G184" s="117"/>
      <c r="H184" s="116"/>
      <c r="J184" s="99"/>
    </row>
    <row r="185" ht="12.75" customHeight="1">
      <c r="E185" s="116"/>
      <c r="F185" s="116"/>
      <c r="G185" s="117"/>
      <c r="H185" s="116"/>
      <c r="J185" s="99"/>
    </row>
    <row r="186" ht="12.75" customHeight="1">
      <c r="E186" s="116"/>
      <c r="F186" s="116"/>
      <c r="G186" s="117"/>
      <c r="H186" s="116"/>
      <c r="J186" s="99"/>
    </row>
    <row r="187" ht="12.75" customHeight="1">
      <c r="E187" s="116"/>
      <c r="F187" s="116"/>
      <c r="G187" s="117"/>
      <c r="H187" s="116"/>
      <c r="J187" s="99"/>
    </row>
    <row r="188" ht="12.75" customHeight="1">
      <c r="E188" s="116"/>
      <c r="F188" s="116"/>
      <c r="G188" s="117"/>
      <c r="H188" s="116"/>
      <c r="J188" s="99"/>
    </row>
    <row r="189" ht="12.75" customHeight="1">
      <c r="E189" s="116"/>
      <c r="F189" s="116"/>
      <c r="G189" s="117"/>
      <c r="H189" s="116"/>
      <c r="J189" s="99"/>
    </row>
    <row r="190" ht="12.75" customHeight="1">
      <c r="E190" s="116"/>
      <c r="F190" s="116"/>
      <c r="G190" s="117"/>
      <c r="H190" s="116"/>
      <c r="J190" s="99"/>
    </row>
    <row r="191" ht="12.75" customHeight="1">
      <c r="E191" s="116"/>
      <c r="F191" s="116"/>
      <c r="G191" s="117"/>
      <c r="H191" s="116"/>
      <c r="J191" s="99"/>
    </row>
    <row r="192" ht="12.75" customHeight="1">
      <c r="E192" s="116"/>
      <c r="F192" s="116"/>
      <c r="G192" s="117"/>
      <c r="H192" s="116"/>
      <c r="J192" s="99"/>
    </row>
    <row r="193" ht="12.75" customHeight="1">
      <c r="E193" s="116"/>
      <c r="F193" s="116"/>
      <c r="G193" s="117"/>
      <c r="H193" s="116"/>
      <c r="J193" s="99"/>
    </row>
    <row r="194" ht="12.75" customHeight="1">
      <c r="E194" s="116"/>
      <c r="F194" s="116"/>
      <c r="G194" s="117"/>
      <c r="H194" s="116"/>
      <c r="J194" s="99"/>
    </row>
    <row r="195" ht="12.75" customHeight="1">
      <c r="E195" s="116"/>
      <c r="F195" s="116"/>
      <c r="G195" s="117"/>
      <c r="H195" s="116"/>
      <c r="J195" s="99"/>
    </row>
    <row r="196" ht="12.75" customHeight="1">
      <c r="E196" s="116"/>
      <c r="F196" s="116"/>
      <c r="G196" s="117"/>
      <c r="H196" s="116"/>
      <c r="J196" s="99"/>
    </row>
    <row r="197" ht="12.75" customHeight="1">
      <c r="E197" s="116"/>
      <c r="F197" s="116"/>
      <c r="G197" s="117"/>
      <c r="H197" s="116"/>
      <c r="J197" s="99"/>
    </row>
    <row r="198" ht="12.75" customHeight="1">
      <c r="E198" s="116"/>
      <c r="F198" s="116"/>
      <c r="G198" s="117"/>
      <c r="H198" s="116"/>
      <c r="J198" s="99"/>
    </row>
    <row r="199" ht="12.75" customHeight="1">
      <c r="E199" s="116"/>
      <c r="F199" s="116"/>
      <c r="G199" s="117"/>
      <c r="H199" s="116"/>
      <c r="J199" s="99"/>
    </row>
    <row r="200" ht="12.75" customHeight="1">
      <c r="E200" s="116"/>
      <c r="F200" s="116"/>
      <c r="G200" s="117"/>
      <c r="H200" s="116"/>
      <c r="J200" s="99"/>
    </row>
    <row r="201" ht="12.75" customHeight="1">
      <c r="E201" s="116"/>
      <c r="F201" s="116"/>
      <c r="G201" s="117"/>
      <c r="H201" s="116"/>
      <c r="J201" s="99"/>
    </row>
    <row r="202" ht="12.75" customHeight="1">
      <c r="E202" s="116"/>
      <c r="F202" s="116"/>
      <c r="G202" s="117"/>
      <c r="H202" s="116"/>
      <c r="J202" s="99"/>
    </row>
    <row r="203" ht="12.75" customHeight="1">
      <c r="E203" s="116"/>
      <c r="F203" s="116"/>
      <c r="G203" s="117"/>
      <c r="H203" s="116"/>
      <c r="J203" s="99"/>
    </row>
    <row r="204" ht="12.75" customHeight="1">
      <c r="E204" s="116"/>
      <c r="F204" s="116"/>
      <c r="G204" s="117"/>
      <c r="H204" s="116"/>
      <c r="J204" s="99"/>
    </row>
    <row r="205" ht="12.75" customHeight="1">
      <c r="E205" s="116"/>
      <c r="F205" s="116"/>
      <c r="G205" s="117"/>
      <c r="H205" s="116"/>
      <c r="J205" s="99"/>
    </row>
    <row r="206" ht="12.75" customHeight="1">
      <c r="E206" s="116"/>
      <c r="F206" s="116"/>
      <c r="G206" s="117"/>
      <c r="H206" s="116"/>
      <c r="J206" s="99"/>
    </row>
    <row r="207" ht="12.75" customHeight="1">
      <c r="E207" s="116"/>
      <c r="F207" s="116"/>
      <c r="G207" s="117"/>
      <c r="H207" s="116"/>
      <c r="J207" s="99"/>
    </row>
    <row r="208" ht="12.75" customHeight="1">
      <c r="E208" s="116"/>
      <c r="F208" s="116"/>
      <c r="G208" s="117"/>
      <c r="H208" s="116"/>
      <c r="J208" s="99"/>
    </row>
    <row r="209" ht="12.75" customHeight="1">
      <c r="E209" s="116"/>
      <c r="F209" s="116"/>
      <c r="G209" s="117"/>
      <c r="H209" s="116"/>
      <c r="J209" s="99"/>
    </row>
    <row r="210" ht="12.75" customHeight="1">
      <c r="E210" s="116"/>
      <c r="F210" s="116"/>
      <c r="G210" s="117"/>
      <c r="H210" s="116"/>
      <c r="J210" s="99"/>
    </row>
    <row r="211" ht="12.75" customHeight="1">
      <c r="E211" s="116"/>
      <c r="F211" s="116"/>
      <c r="G211" s="117"/>
      <c r="H211" s="116"/>
      <c r="J211" s="99"/>
    </row>
    <row r="212" ht="12.75" customHeight="1">
      <c r="E212" s="116"/>
      <c r="F212" s="116"/>
      <c r="G212" s="117"/>
      <c r="H212" s="116"/>
      <c r="J212" s="99"/>
    </row>
    <row r="213" ht="12.75" customHeight="1">
      <c r="E213" s="116"/>
      <c r="F213" s="116"/>
      <c r="G213" s="117"/>
      <c r="H213" s="116"/>
      <c r="J213" s="99"/>
    </row>
    <row r="214" ht="12.75" customHeight="1">
      <c r="E214" s="116"/>
      <c r="F214" s="116"/>
      <c r="G214" s="117"/>
      <c r="H214" s="116"/>
      <c r="J214" s="99"/>
    </row>
    <row r="215" ht="12.75" customHeight="1">
      <c r="E215" s="116"/>
      <c r="F215" s="116"/>
      <c r="G215" s="117"/>
      <c r="H215" s="116"/>
      <c r="J215" s="99"/>
    </row>
    <row r="216" ht="12.75" customHeight="1">
      <c r="E216" s="116"/>
      <c r="F216" s="116"/>
      <c r="G216" s="117"/>
      <c r="H216" s="116"/>
      <c r="J216" s="99"/>
    </row>
    <row r="217" ht="12.75" customHeight="1">
      <c r="E217" s="116"/>
      <c r="F217" s="116"/>
      <c r="G217" s="117"/>
      <c r="H217" s="116"/>
      <c r="J217" s="99"/>
    </row>
    <row r="218" ht="12.75" customHeight="1">
      <c r="E218" s="116"/>
      <c r="F218" s="116"/>
      <c r="G218" s="117"/>
      <c r="H218" s="116"/>
      <c r="J218" s="99"/>
    </row>
    <row r="219" ht="12.75" customHeight="1">
      <c r="E219" s="116"/>
      <c r="F219" s="116"/>
      <c r="G219" s="117"/>
      <c r="H219" s="116"/>
      <c r="J219" s="99"/>
    </row>
    <row r="220" ht="12.75" customHeight="1">
      <c r="E220" s="116"/>
      <c r="F220" s="116"/>
      <c r="G220" s="117"/>
      <c r="H220" s="116"/>
      <c r="J220" s="99"/>
    </row>
    <row r="221" ht="12.75" customHeight="1">
      <c r="E221" s="116"/>
      <c r="F221" s="116"/>
      <c r="G221" s="117"/>
      <c r="H221" s="116"/>
      <c r="J221" s="99"/>
    </row>
    <row r="222" ht="12.75" customHeight="1">
      <c r="E222" s="116"/>
      <c r="F222" s="116"/>
      <c r="G222" s="117"/>
      <c r="H222" s="116"/>
      <c r="J222" s="99"/>
    </row>
    <row r="223" ht="12.75" customHeight="1">
      <c r="E223" s="116"/>
      <c r="F223" s="116"/>
      <c r="G223" s="117"/>
      <c r="H223" s="116"/>
      <c r="J223" s="99"/>
    </row>
    <row r="224" ht="12.75" customHeight="1">
      <c r="E224" s="116"/>
      <c r="F224" s="116"/>
      <c r="G224" s="117"/>
      <c r="H224" s="116"/>
      <c r="J224" s="99"/>
    </row>
    <row r="225" ht="12.75" customHeight="1">
      <c r="E225" s="116"/>
      <c r="F225" s="116"/>
      <c r="G225" s="117"/>
      <c r="H225" s="116"/>
      <c r="J225" s="99"/>
    </row>
    <row r="226" ht="12.75" customHeight="1">
      <c r="E226" s="116"/>
      <c r="F226" s="116"/>
      <c r="G226" s="117"/>
      <c r="H226" s="116"/>
      <c r="J226" s="99"/>
    </row>
    <row r="227" ht="12.75" customHeight="1">
      <c r="E227" s="116"/>
      <c r="F227" s="116"/>
      <c r="G227" s="117"/>
      <c r="H227" s="116"/>
      <c r="J227" s="99"/>
    </row>
    <row r="228" ht="12.75" customHeight="1">
      <c r="E228" s="116"/>
      <c r="F228" s="116"/>
      <c r="G228" s="117"/>
      <c r="H228" s="116"/>
      <c r="J228" s="99"/>
    </row>
    <row r="229" ht="12.75" customHeight="1">
      <c r="E229" s="116"/>
      <c r="F229" s="116"/>
      <c r="G229" s="117"/>
      <c r="H229" s="116"/>
      <c r="J229" s="99"/>
    </row>
    <row r="230" ht="12.75" customHeight="1">
      <c r="E230" s="116"/>
      <c r="F230" s="116"/>
      <c r="G230" s="117"/>
      <c r="H230" s="116"/>
      <c r="J230" s="99"/>
    </row>
    <row r="231" ht="12.75" customHeight="1">
      <c r="E231" s="116"/>
      <c r="F231" s="116"/>
      <c r="G231" s="117"/>
      <c r="H231" s="116"/>
      <c r="J231" s="99"/>
    </row>
    <row r="232" ht="12.75" customHeight="1">
      <c r="E232" s="116"/>
      <c r="F232" s="116"/>
      <c r="G232" s="117"/>
      <c r="H232" s="116"/>
      <c r="J232" s="99"/>
    </row>
    <row r="233" ht="12.75" customHeight="1">
      <c r="E233" s="116"/>
      <c r="F233" s="116"/>
      <c r="G233" s="117"/>
      <c r="H233" s="116"/>
      <c r="J233" s="99"/>
    </row>
    <row r="234" ht="12.75" customHeight="1">
      <c r="E234" s="116"/>
      <c r="F234" s="116"/>
      <c r="G234" s="117"/>
      <c r="H234" s="116"/>
      <c r="J234" s="99"/>
    </row>
    <row r="235" ht="12.75" customHeight="1">
      <c r="E235" s="116"/>
      <c r="F235" s="116"/>
      <c r="G235" s="117"/>
      <c r="H235" s="116"/>
      <c r="J235" s="99"/>
    </row>
    <row r="236" ht="12.75" customHeight="1">
      <c r="E236" s="116"/>
      <c r="F236" s="116"/>
      <c r="G236" s="117"/>
      <c r="H236" s="116"/>
      <c r="J236" s="99"/>
    </row>
    <row r="237" ht="12.75" customHeight="1">
      <c r="E237" s="116"/>
      <c r="F237" s="116"/>
      <c r="G237" s="117"/>
      <c r="H237" s="116"/>
      <c r="J237" s="99"/>
    </row>
    <row r="238" ht="12.75" customHeight="1">
      <c r="E238" s="116"/>
      <c r="F238" s="116"/>
      <c r="G238" s="117"/>
      <c r="H238" s="116"/>
      <c r="J238" s="99"/>
    </row>
    <row r="239" ht="12.75" customHeight="1">
      <c r="E239" s="116"/>
      <c r="F239" s="116"/>
      <c r="G239" s="117"/>
      <c r="H239" s="116"/>
      <c r="J239" s="99"/>
    </row>
    <row r="240" ht="12.75" customHeight="1">
      <c r="E240" s="116"/>
      <c r="F240" s="116"/>
      <c r="G240" s="117"/>
      <c r="H240" s="116"/>
      <c r="J240" s="99"/>
    </row>
    <row r="241" ht="12.75" customHeight="1">
      <c r="E241" s="116"/>
      <c r="F241" s="116"/>
      <c r="G241" s="117"/>
      <c r="H241" s="116"/>
      <c r="J241" s="99"/>
    </row>
    <row r="242" ht="12.75" customHeight="1">
      <c r="E242" s="116"/>
      <c r="F242" s="116"/>
      <c r="G242" s="117"/>
      <c r="H242" s="116"/>
      <c r="J242" s="99"/>
    </row>
    <row r="243" ht="12.75" customHeight="1">
      <c r="E243" s="116"/>
      <c r="F243" s="116"/>
      <c r="G243" s="117"/>
      <c r="H243" s="116"/>
      <c r="J243" s="99"/>
    </row>
    <row r="244" ht="12.75" customHeight="1">
      <c r="E244" s="116"/>
      <c r="F244" s="116"/>
      <c r="G244" s="117"/>
      <c r="H244" s="116"/>
      <c r="J244" s="99"/>
    </row>
    <row r="245" ht="12.75" customHeight="1">
      <c r="E245" s="116"/>
      <c r="F245" s="116"/>
      <c r="G245" s="117"/>
      <c r="H245" s="116"/>
      <c r="J245" s="99"/>
    </row>
    <row r="246" ht="12.75" customHeight="1">
      <c r="E246" s="116"/>
      <c r="F246" s="116"/>
      <c r="G246" s="117"/>
      <c r="H246" s="116"/>
      <c r="J246" s="99"/>
    </row>
    <row r="247" ht="12.75" customHeight="1">
      <c r="E247" s="116"/>
      <c r="F247" s="116"/>
      <c r="G247" s="117"/>
      <c r="H247" s="116"/>
      <c r="J247" s="99"/>
    </row>
    <row r="248" ht="12.75" customHeight="1">
      <c r="E248" s="116"/>
      <c r="F248" s="116"/>
      <c r="G248" s="117"/>
      <c r="H248" s="116"/>
      <c r="J248" s="99"/>
    </row>
    <row r="249" ht="12.75" customHeight="1">
      <c r="E249" s="116"/>
      <c r="F249" s="116"/>
      <c r="G249" s="117"/>
      <c r="H249" s="116"/>
      <c r="J249" s="99"/>
    </row>
    <row r="250" ht="12.75" customHeight="1">
      <c r="E250" s="116"/>
      <c r="F250" s="116"/>
      <c r="G250" s="117"/>
      <c r="H250" s="116"/>
      <c r="J250" s="99"/>
    </row>
    <row r="251" ht="12.75" customHeight="1">
      <c r="E251" s="116"/>
      <c r="F251" s="116"/>
      <c r="G251" s="117"/>
      <c r="H251" s="116"/>
      <c r="J251" s="99"/>
    </row>
    <row r="252" ht="12.75" customHeight="1">
      <c r="E252" s="116"/>
      <c r="F252" s="116"/>
      <c r="G252" s="117"/>
      <c r="H252" s="116"/>
      <c r="J252" s="99"/>
    </row>
    <row r="253" ht="12.75" customHeight="1">
      <c r="E253" s="116"/>
      <c r="F253" s="116"/>
      <c r="G253" s="117"/>
      <c r="H253" s="116"/>
      <c r="J253" s="99"/>
    </row>
    <row r="254" ht="12.75" customHeight="1">
      <c r="E254" s="116"/>
      <c r="F254" s="116"/>
      <c r="G254" s="117"/>
      <c r="H254" s="116"/>
      <c r="J254" s="99"/>
    </row>
    <row r="255" ht="12.75" customHeight="1">
      <c r="E255" s="116"/>
      <c r="F255" s="116"/>
      <c r="G255" s="117"/>
      <c r="H255" s="116"/>
      <c r="J255" s="99"/>
    </row>
    <row r="256" ht="12.75" customHeight="1">
      <c r="E256" s="116"/>
      <c r="F256" s="116"/>
      <c r="G256" s="117"/>
      <c r="H256" s="116"/>
      <c r="J256" s="99"/>
    </row>
    <row r="257" ht="12.75" customHeight="1">
      <c r="E257" s="116"/>
      <c r="F257" s="116"/>
      <c r="G257" s="117"/>
      <c r="H257" s="116"/>
      <c r="J257" s="99"/>
    </row>
    <row r="258" ht="12.75" customHeight="1">
      <c r="E258" s="116"/>
      <c r="F258" s="116"/>
      <c r="G258" s="117"/>
      <c r="H258" s="116"/>
      <c r="J258" s="99"/>
    </row>
    <row r="259" ht="12.75" customHeight="1">
      <c r="E259" s="116"/>
      <c r="F259" s="116"/>
      <c r="G259" s="117"/>
      <c r="H259" s="116"/>
      <c r="J259" s="99"/>
    </row>
    <row r="260" ht="12.75" customHeight="1">
      <c r="E260" s="116"/>
      <c r="F260" s="116"/>
      <c r="G260" s="117"/>
      <c r="H260" s="116"/>
      <c r="J260" s="99"/>
    </row>
    <row r="261" ht="12.75" customHeight="1">
      <c r="E261" s="116"/>
      <c r="F261" s="116"/>
      <c r="G261" s="117"/>
      <c r="H261" s="116"/>
      <c r="J261" s="99"/>
    </row>
    <row r="262" ht="12.75" customHeight="1">
      <c r="E262" s="116"/>
      <c r="F262" s="116"/>
      <c r="G262" s="117"/>
      <c r="H262" s="116"/>
      <c r="J262" s="99"/>
    </row>
    <row r="263" ht="12.75" customHeight="1">
      <c r="E263" s="116"/>
      <c r="F263" s="116"/>
      <c r="G263" s="117"/>
      <c r="H263" s="116"/>
      <c r="J263" s="99"/>
    </row>
    <row r="264" ht="12.75" customHeight="1">
      <c r="E264" s="116"/>
      <c r="F264" s="116"/>
      <c r="G264" s="117"/>
      <c r="H264" s="116"/>
      <c r="J264" s="99"/>
    </row>
    <row r="265" ht="12.75" customHeight="1">
      <c r="E265" s="116"/>
      <c r="F265" s="116"/>
      <c r="G265" s="117"/>
      <c r="H265" s="116"/>
      <c r="J265" s="99"/>
    </row>
    <row r="266" ht="12.75" customHeight="1">
      <c r="E266" s="116"/>
      <c r="F266" s="116"/>
      <c r="G266" s="117"/>
      <c r="H266" s="116"/>
      <c r="J266" s="99"/>
    </row>
    <row r="267" ht="12.75" customHeight="1">
      <c r="E267" s="116"/>
      <c r="F267" s="116"/>
      <c r="G267" s="117"/>
      <c r="H267" s="116"/>
      <c r="J267" s="99"/>
    </row>
    <row r="268" ht="12.75" customHeight="1">
      <c r="E268" s="116"/>
      <c r="F268" s="116"/>
      <c r="G268" s="117"/>
      <c r="H268" s="116"/>
      <c r="J268" s="99"/>
    </row>
    <row r="269" ht="12.75" customHeight="1">
      <c r="E269" s="116"/>
      <c r="F269" s="116"/>
      <c r="G269" s="117"/>
      <c r="H269" s="116"/>
      <c r="J269" s="99"/>
    </row>
    <row r="270" ht="12.75" customHeight="1">
      <c r="E270" s="116"/>
      <c r="F270" s="116"/>
      <c r="G270" s="117"/>
      <c r="H270" s="116"/>
      <c r="J270" s="99"/>
    </row>
    <row r="271" ht="12.75" customHeight="1">
      <c r="E271" s="116"/>
      <c r="F271" s="116"/>
      <c r="G271" s="117"/>
      <c r="H271" s="116"/>
      <c r="J271" s="99"/>
    </row>
    <row r="272" ht="12.75" customHeight="1">
      <c r="E272" s="116"/>
      <c r="F272" s="116"/>
      <c r="G272" s="117"/>
      <c r="H272" s="116"/>
      <c r="J272" s="99"/>
    </row>
    <row r="273" ht="12.75" customHeight="1">
      <c r="E273" s="116"/>
      <c r="F273" s="116"/>
      <c r="G273" s="117"/>
      <c r="H273" s="116"/>
      <c r="J273" s="99"/>
    </row>
    <row r="274" ht="12.75" customHeight="1">
      <c r="E274" s="116"/>
      <c r="F274" s="116"/>
      <c r="G274" s="117"/>
      <c r="H274" s="116"/>
      <c r="J274" s="99"/>
    </row>
    <row r="275" ht="12.75" customHeight="1">
      <c r="E275" s="116"/>
      <c r="F275" s="116"/>
      <c r="G275" s="117"/>
      <c r="H275" s="116"/>
      <c r="J275" s="99"/>
    </row>
    <row r="276" ht="12.75" customHeight="1">
      <c r="E276" s="116"/>
      <c r="F276" s="116"/>
      <c r="G276" s="117"/>
      <c r="H276" s="116"/>
      <c r="J276" s="99"/>
    </row>
    <row r="277" ht="12.75" customHeight="1">
      <c r="E277" s="116"/>
      <c r="F277" s="116"/>
      <c r="G277" s="117"/>
      <c r="H277" s="116"/>
      <c r="J277" s="99"/>
    </row>
    <row r="278" ht="12.75" customHeight="1">
      <c r="E278" s="116"/>
      <c r="F278" s="116"/>
      <c r="G278" s="117"/>
      <c r="H278" s="116"/>
      <c r="J278" s="99"/>
    </row>
    <row r="279" ht="12.75" customHeight="1">
      <c r="E279" s="116"/>
      <c r="F279" s="116"/>
      <c r="G279" s="117"/>
      <c r="H279" s="116"/>
      <c r="J279" s="99"/>
    </row>
    <row r="280" ht="12.75" customHeight="1">
      <c r="E280" s="116"/>
      <c r="F280" s="116"/>
      <c r="G280" s="117"/>
      <c r="H280" s="116"/>
      <c r="J280" s="99"/>
    </row>
    <row r="281" ht="12.75" customHeight="1">
      <c r="E281" s="116"/>
      <c r="F281" s="116"/>
      <c r="G281" s="117"/>
      <c r="H281" s="116"/>
      <c r="J281" s="99"/>
    </row>
    <row r="282" ht="12.75" customHeight="1">
      <c r="E282" s="116"/>
      <c r="F282" s="116"/>
      <c r="G282" s="117"/>
      <c r="H282" s="116"/>
      <c r="J282" s="99"/>
    </row>
    <row r="283" ht="12.75" customHeight="1">
      <c r="E283" s="116"/>
      <c r="F283" s="116"/>
      <c r="G283" s="117"/>
      <c r="H283" s="116"/>
      <c r="J283" s="99"/>
    </row>
    <row r="284" ht="12.75" customHeight="1">
      <c r="E284" s="116"/>
      <c r="F284" s="116"/>
      <c r="G284" s="117"/>
      <c r="H284" s="116"/>
      <c r="J284" s="99"/>
    </row>
    <row r="285" ht="12.75" customHeight="1">
      <c r="E285" s="116"/>
      <c r="F285" s="116"/>
      <c r="G285" s="117"/>
      <c r="H285" s="116"/>
      <c r="J285" s="99"/>
    </row>
    <row r="286" ht="12.75" customHeight="1">
      <c r="E286" s="116"/>
      <c r="F286" s="116"/>
      <c r="G286" s="117"/>
      <c r="H286" s="116"/>
      <c r="J286" s="99"/>
    </row>
    <row r="287" ht="12.75" customHeight="1">
      <c r="E287" s="116"/>
      <c r="F287" s="116"/>
      <c r="G287" s="117"/>
      <c r="H287" s="116"/>
      <c r="J287" s="99"/>
    </row>
    <row r="288" ht="12.75" customHeight="1">
      <c r="E288" s="116"/>
      <c r="F288" s="116"/>
      <c r="G288" s="117"/>
      <c r="H288" s="116"/>
      <c r="J288" s="99"/>
    </row>
    <row r="289" ht="12.75" customHeight="1">
      <c r="E289" s="116"/>
      <c r="F289" s="116"/>
      <c r="G289" s="117"/>
      <c r="H289" s="116"/>
      <c r="J289" s="99"/>
    </row>
    <row r="290" ht="12.75" customHeight="1">
      <c r="E290" s="116"/>
      <c r="F290" s="116"/>
      <c r="G290" s="117"/>
      <c r="H290" s="116"/>
      <c r="J290" s="99"/>
    </row>
    <row r="291" ht="12.75" customHeight="1">
      <c r="E291" s="116"/>
      <c r="F291" s="116"/>
      <c r="G291" s="117"/>
      <c r="H291" s="116"/>
      <c r="J291" s="99"/>
    </row>
    <row r="292" ht="12.75" customHeight="1">
      <c r="E292" s="116"/>
      <c r="F292" s="116"/>
      <c r="G292" s="117"/>
      <c r="H292" s="116"/>
      <c r="J292" s="99"/>
    </row>
    <row r="293" ht="12.75" customHeight="1">
      <c r="E293" s="116"/>
      <c r="F293" s="116"/>
      <c r="G293" s="117"/>
      <c r="H293" s="116"/>
      <c r="J293" s="99"/>
    </row>
    <row r="294" ht="12.75" customHeight="1">
      <c r="E294" s="116"/>
      <c r="F294" s="116"/>
      <c r="G294" s="117"/>
      <c r="H294" s="116"/>
      <c r="J294" s="99"/>
    </row>
    <row r="295" ht="12.75" customHeight="1">
      <c r="E295" s="116"/>
      <c r="F295" s="116"/>
      <c r="G295" s="117"/>
      <c r="H295" s="116"/>
      <c r="J295" s="99"/>
    </row>
    <row r="296" ht="12.75" customHeight="1">
      <c r="E296" s="116"/>
      <c r="F296" s="116"/>
      <c r="G296" s="117"/>
      <c r="H296" s="116"/>
      <c r="J296" s="99"/>
    </row>
    <row r="297" ht="12.75" customHeight="1">
      <c r="E297" s="116"/>
      <c r="F297" s="116"/>
      <c r="G297" s="117"/>
      <c r="H297" s="116"/>
      <c r="J297" s="99"/>
    </row>
    <row r="298" ht="12.75" customHeight="1">
      <c r="E298" s="116"/>
      <c r="F298" s="116"/>
      <c r="G298" s="117"/>
      <c r="H298" s="116"/>
      <c r="J298" s="99"/>
    </row>
    <row r="299" ht="12.75" customHeight="1">
      <c r="E299" s="116"/>
      <c r="F299" s="116"/>
      <c r="G299" s="117"/>
      <c r="H299" s="116"/>
      <c r="J299" s="99"/>
    </row>
    <row r="300" ht="12.75" customHeight="1">
      <c r="E300" s="116"/>
      <c r="F300" s="116"/>
      <c r="G300" s="117"/>
      <c r="H300" s="116"/>
      <c r="J300" s="99"/>
    </row>
    <row r="301" ht="12.75" customHeight="1">
      <c r="E301" s="116"/>
      <c r="F301" s="116"/>
      <c r="G301" s="117"/>
      <c r="H301" s="116"/>
      <c r="J301" s="99"/>
    </row>
    <row r="302" ht="12.75" customHeight="1">
      <c r="E302" s="116"/>
      <c r="F302" s="116"/>
      <c r="G302" s="117"/>
      <c r="H302" s="116"/>
      <c r="J302" s="99"/>
    </row>
    <row r="303" ht="12.75" customHeight="1">
      <c r="E303" s="116"/>
      <c r="F303" s="116"/>
      <c r="G303" s="117"/>
      <c r="H303" s="116"/>
      <c r="J303" s="99"/>
    </row>
    <row r="304" ht="12.75" customHeight="1">
      <c r="E304" s="116"/>
      <c r="F304" s="116"/>
      <c r="G304" s="117"/>
      <c r="H304" s="116"/>
      <c r="J304" s="99"/>
    </row>
    <row r="305" ht="12.75" customHeight="1">
      <c r="E305" s="116"/>
      <c r="F305" s="116"/>
      <c r="G305" s="117"/>
      <c r="H305" s="116"/>
      <c r="J305" s="99"/>
    </row>
    <row r="306" ht="12.75" customHeight="1">
      <c r="E306" s="116"/>
      <c r="F306" s="116"/>
      <c r="G306" s="117"/>
      <c r="H306" s="116"/>
      <c r="J306" s="99"/>
    </row>
    <row r="307" ht="12.75" customHeight="1">
      <c r="E307" s="116"/>
      <c r="F307" s="116"/>
      <c r="G307" s="117"/>
      <c r="H307" s="116"/>
      <c r="J307" s="99"/>
    </row>
    <row r="308" ht="12.75" customHeight="1">
      <c r="E308" s="116"/>
      <c r="F308" s="116"/>
      <c r="G308" s="117"/>
      <c r="H308" s="116"/>
      <c r="J308" s="99"/>
    </row>
    <row r="309" ht="12.75" customHeight="1">
      <c r="E309" s="116"/>
      <c r="F309" s="116"/>
      <c r="G309" s="117"/>
      <c r="H309" s="116"/>
      <c r="J309" s="99"/>
    </row>
    <row r="310" ht="12.75" customHeight="1">
      <c r="E310" s="116"/>
      <c r="F310" s="116"/>
      <c r="G310" s="117"/>
      <c r="H310" s="116"/>
      <c r="J310" s="99"/>
    </row>
    <row r="311" ht="12.75" customHeight="1">
      <c r="E311" s="116"/>
      <c r="F311" s="116"/>
      <c r="G311" s="117"/>
      <c r="H311" s="116"/>
      <c r="J311" s="99"/>
    </row>
    <row r="312" ht="12.75" customHeight="1">
      <c r="E312" s="116"/>
      <c r="F312" s="116"/>
      <c r="G312" s="117"/>
      <c r="H312" s="116"/>
      <c r="J312" s="99"/>
    </row>
    <row r="313" ht="12.75" customHeight="1">
      <c r="E313" s="116"/>
      <c r="F313" s="116"/>
      <c r="G313" s="117"/>
      <c r="H313" s="116"/>
      <c r="J313" s="99"/>
    </row>
    <row r="314" ht="12.75" customHeight="1">
      <c r="E314" s="116"/>
      <c r="F314" s="116"/>
      <c r="G314" s="117"/>
      <c r="H314" s="116"/>
      <c r="J314" s="99"/>
    </row>
    <row r="315" ht="12.75" customHeight="1">
      <c r="E315" s="116"/>
      <c r="F315" s="116"/>
      <c r="G315" s="117"/>
      <c r="H315" s="116"/>
      <c r="J315" s="99"/>
    </row>
    <row r="316" ht="12.75" customHeight="1">
      <c r="E316" s="116"/>
      <c r="F316" s="116"/>
      <c r="G316" s="117"/>
      <c r="H316" s="116"/>
      <c r="J316" s="99"/>
    </row>
    <row r="317" ht="12.75" customHeight="1">
      <c r="E317" s="116"/>
      <c r="F317" s="116"/>
      <c r="G317" s="117"/>
      <c r="H317" s="116"/>
      <c r="J317" s="99"/>
    </row>
    <row r="318" ht="12.75" customHeight="1">
      <c r="E318" s="116"/>
      <c r="F318" s="116"/>
      <c r="G318" s="117"/>
      <c r="H318" s="116"/>
      <c r="J318" s="99"/>
    </row>
    <row r="319" ht="12.75" customHeight="1">
      <c r="E319" s="116"/>
      <c r="F319" s="116"/>
      <c r="G319" s="117"/>
      <c r="H319" s="116"/>
      <c r="J319" s="99"/>
    </row>
    <row r="320" ht="12.75" customHeight="1">
      <c r="E320" s="116"/>
      <c r="F320" s="116"/>
      <c r="G320" s="117"/>
      <c r="H320" s="116"/>
      <c r="J320" s="99"/>
    </row>
    <row r="321" ht="12.75" customHeight="1">
      <c r="E321" s="116"/>
      <c r="F321" s="116"/>
      <c r="G321" s="117"/>
      <c r="H321" s="116"/>
      <c r="J321" s="99"/>
    </row>
    <row r="322" ht="12.75" customHeight="1">
      <c r="E322" s="116"/>
      <c r="F322" s="116"/>
      <c r="G322" s="117"/>
      <c r="H322" s="116"/>
      <c r="J322" s="99"/>
    </row>
    <row r="323" ht="12.75" customHeight="1">
      <c r="E323" s="116"/>
      <c r="F323" s="116"/>
      <c r="G323" s="117"/>
      <c r="H323" s="116"/>
      <c r="J323" s="99"/>
    </row>
    <row r="324" ht="12.75" customHeight="1">
      <c r="E324" s="116"/>
      <c r="F324" s="116"/>
      <c r="G324" s="117"/>
      <c r="H324" s="116"/>
      <c r="J324" s="99"/>
    </row>
    <row r="325" ht="12.75" customHeight="1">
      <c r="E325" s="116"/>
      <c r="F325" s="116"/>
      <c r="G325" s="117"/>
      <c r="H325" s="116"/>
      <c r="J325" s="99"/>
    </row>
    <row r="326" ht="12.75" customHeight="1">
      <c r="E326" s="116"/>
      <c r="F326" s="116"/>
      <c r="G326" s="117"/>
      <c r="H326" s="116"/>
      <c r="J326" s="99"/>
    </row>
    <row r="327" ht="12.75" customHeight="1">
      <c r="E327" s="116"/>
      <c r="F327" s="116"/>
      <c r="G327" s="117"/>
      <c r="H327" s="116"/>
      <c r="J327" s="99"/>
    </row>
    <row r="328" ht="12.75" customHeight="1">
      <c r="E328" s="116"/>
      <c r="F328" s="116"/>
      <c r="G328" s="117"/>
      <c r="H328" s="116"/>
      <c r="J328" s="99"/>
    </row>
    <row r="329" ht="12.75" customHeight="1">
      <c r="E329" s="116"/>
      <c r="F329" s="116"/>
      <c r="G329" s="117"/>
      <c r="H329" s="116"/>
      <c r="J329" s="99"/>
    </row>
    <row r="330" ht="12.75" customHeight="1">
      <c r="E330" s="116"/>
      <c r="F330" s="116"/>
      <c r="G330" s="117"/>
      <c r="H330" s="116"/>
      <c r="J330" s="99"/>
    </row>
    <row r="331" ht="12.75" customHeight="1">
      <c r="E331" s="116"/>
      <c r="F331" s="116"/>
      <c r="G331" s="117"/>
      <c r="H331" s="116"/>
      <c r="J331" s="99"/>
    </row>
    <row r="332" ht="12.75" customHeight="1">
      <c r="E332" s="116"/>
      <c r="F332" s="116"/>
      <c r="G332" s="117"/>
      <c r="H332" s="116"/>
      <c r="J332" s="99"/>
    </row>
    <row r="333" ht="12.75" customHeight="1">
      <c r="E333" s="116"/>
      <c r="F333" s="116"/>
      <c r="G333" s="117"/>
      <c r="H333" s="116"/>
      <c r="J333" s="99"/>
    </row>
    <row r="334" ht="12.75" customHeight="1">
      <c r="E334" s="116"/>
      <c r="F334" s="116"/>
      <c r="G334" s="117"/>
      <c r="H334" s="116"/>
      <c r="J334" s="99"/>
    </row>
    <row r="335" ht="12.75" customHeight="1">
      <c r="E335" s="116"/>
      <c r="F335" s="116"/>
      <c r="G335" s="117"/>
      <c r="H335" s="116"/>
      <c r="J335" s="99"/>
    </row>
    <row r="336" ht="12.75" customHeight="1">
      <c r="E336" s="116"/>
      <c r="F336" s="116"/>
      <c r="G336" s="117"/>
      <c r="H336" s="116"/>
      <c r="J336" s="99"/>
    </row>
    <row r="337" ht="12.75" customHeight="1">
      <c r="E337" s="116"/>
      <c r="F337" s="116"/>
      <c r="G337" s="117"/>
      <c r="H337" s="116"/>
      <c r="J337" s="99"/>
    </row>
    <row r="338" ht="12.75" customHeight="1">
      <c r="E338" s="116"/>
      <c r="F338" s="116"/>
      <c r="G338" s="117"/>
      <c r="H338" s="116"/>
      <c r="J338" s="99"/>
    </row>
    <row r="339" ht="12.75" customHeight="1">
      <c r="E339" s="116"/>
      <c r="F339" s="116"/>
      <c r="G339" s="117"/>
      <c r="H339" s="116"/>
      <c r="J339" s="99"/>
    </row>
    <row r="340" ht="12.75" customHeight="1">
      <c r="E340" s="116"/>
      <c r="F340" s="116"/>
      <c r="G340" s="117"/>
      <c r="H340" s="116"/>
      <c r="J340" s="99"/>
    </row>
    <row r="341" ht="12.75" customHeight="1">
      <c r="E341" s="116"/>
      <c r="F341" s="116"/>
      <c r="G341" s="117"/>
      <c r="H341" s="116"/>
      <c r="J341" s="99"/>
    </row>
    <row r="342" ht="12.75" customHeight="1">
      <c r="E342" s="116"/>
      <c r="F342" s="116"/>
      <c r="G342" s="117"/>
      <c r="H342" s="116"/>
      <c r="J342" s="99"/>
    </row>
    <row r="343" ht="12.75" customHeight="1">
      <c r="E343" s="116"/>
      <c r="F343" s="116"/>
      <c r="G343" s="117"/>
      <c r="H343" s="116"/>
      <c r="J343" s="99"/>
    </row>
    <row r="344" ht="12.75" customHeight="1">
      <c r="E344" s="116"/>
      <c r="F344" s="116"/>
      <c r="G344" s="117"/>
      <c r="H344" s="116"/>
      <c r="J344" s="99"/>
    </row>
    <row r="345" ht="12.75" customHeight="1">
      <c r="E345" s="116"/>
      <c r="F345" s="116"/>
      <c r="G345" s="117"/>
      <c r="H345" s="116"/>
      <c r="J345" s="99"/>
    </row>
    <row r="346" ht="12.75" customHeight="1">
      <c r="E346" s="116"/>
      <c r="F346" s="116"/>
      <c r="G346" s="117"/>
      <c r="H346" s="116"/>
      <c r="J346" s="99"/>
    </row>
    <row r="347" ht="12.75" customHeight="1">
      <c r="E347" s="116"/>
      <c r="F347" s="116"/>
      <c r="G347" s="117"/>
      <c r="H347" s="116"/>
      <c r="J347" s="99"/>
    </row>
    <row r="348" ht="12.75" customHeight="1">
      <c r="E348" s="116"/>
      <c r="F348" s="116"/>
      <c r="G348" s="117"/>
      <c r="H348" s="116"/>
      <c r="J348" s="99"/>
    </row>
    <row r="349" ht="12.75" customHeight="1">
      <c r="E349" s="116"/>
      <c r="F349" s="116"/>
      <c r="G349" s="117"/>
      <c r="H349" s="116"/>
      <c r="J349" s="99"/>
    </row>
    <row r="350" ht="12.75" customHeight="1">
      <c r="E350" s="116"/>
      <c r="F350" s="116"/>
      <c r="G350" s="117"/>
      <c r="H350" s="116"/>
      <c r="J350" s="99"/>
    </row>
    <row r="351" ht="12.75" customHeight="1">
      <c r="E351" s="116"/>
      <c r="F351" s="116"/>
      <c r="G351" s="117"/>
      <c r="H351" s="116"/>
      <c r="J351" s="99"/>
    </row>
    <row r="352" ht="12.75" customHeight="1">
      <c r="E352" s="116"/>
      <c r="F352" s="116"/>
      <c r="G352" s="117"/>
      <c r="H352" s="116"/>
      <c r="J352" s="99"/>
    </row>
    <row r="353" ht="12.75" customHeight="1">
      <c r="E353" s="116"/>
      <c r="F353" s="116"/>
      <c r="G353" s="117"/>
      <c r="H353" s="116"/>
      <c r="J353" s="99"/>
    </row>
    <row r="354" ht="12.75" customHeight="1">
      <c r="E354" s="116"/>
      <c r="F354" s="116"/>
      <c r="G354" s="117"/>
      <c r="H354" s="116"/>
      <c r="J354" s="99"/>
    </row>
    <row r="355" ht="12.75" customHeight="1">
      <c r="E355" s="116"/>
      <c r="F355" s="116"/>
      <c r="G355" s="117"/>
      <c r="H355" s="116"/>
      <c r="J355" s="99"/>
    </row>
    <row r="356" ht="12.75" customHeight="1">
      <c r="E356" s="116"/>
      <c r="F356" s="116"/>
      <c r="G356" s="117"/>
      <c r="H356" s="116"/>
      <c r="J356" s="99"/>
    </row>
    <row r="357" ht="12.75" customHeight="1">
      <c r="E357" s="116"/>
      <c r="F357" s="116"/>
      <c r="G357" s="117"/>
      <c r="H357" s="116"/>
      <c r="J357" s="99"/>
    </row>
    <row r="358" ht="12.75" customHeight="1">
      <c r="E358" s="116"/>
      <c r="F358" s="116"/>
      <c r="G358" s="117"/>
      <c r="H358" s="116"/>
      <c r="J358" s="99"/>
    </row>
    <row r="359" ht="12.75" customHeight="1">
      <c r="E359" s="116"/>
      <c r="F359" s="116"/>
      <c r="G359" s="117"/>
      <c r="H359" s="116"/>
      <c r="J359" s="99"/>
    </row>
    <row r="360" ht="12.75" customHeight="1">
      <c r="E360" s="116"/>
      <c r="F360" s="116"/>
      <c r="G360" s="117"/>
      <c r="H360" s="116"/>
      <c r="J360" s="99"/>
    </row>
    <row r="361" ht="12.75" customHeight="1">
      <c r="E361" s="116"/>
      <c r="F361" s="116"/>
      <c r="G361" s="117"/>
      <c r="H361" s="116"/>
      <c r="J361" s="99"/>
    </row>
    <row r="362" ht="12.75" customHeight="1">
      <c r="E362" s="116"/>
      <c r="F362" s="116"/>
      <c r="G362" s="117"/>
      <c r="H362" s="116"/>
      <c r="J362" s="99"/>
    </row>
    <row r="363" ht="12.75" customHeight="1">
      <c r="E363" s="116"/>
      <c r="F363" s="116"/>
      <c r="G363" s="117"/>
      <c r="H363" s="116"/>
      <c r="J363" s="99"/>
    </row>
    <row r="364" ht="12.75" customHeight="1">
      <c r="E364" s="116"/>
      <c r="F364" s="116"/>
      <c r="G364" s="117"/>
      <c r="H364" s="116"/>
      <c r="J364" s="99"/>
    </row>
    <row r="365" ht="12.75" customHeight="1">
      <c r="E365" s="116"/>
      <c r="F365" s="116"/>
      <c r="G365" s="117"/>
      <c r="H365" s="116"/>
      <c r="J365" s="99"/>
    </row>
    <row r="366" ht="12.75" customHeight="1">
      <c r="E366" s="116"/>
      <c r="F366" s="116"/>
      <c r="G366" s="117"/>
      <c r="H366" s="116"/>
      <c r="J366" s="99"/>
    </row>
    <row r="367" ht="12.75" customHeight="1">
      <c r="E367" s="116"/>
      <c r="F367" s="116"/>
      <c r="G367" s="117"/>
      <c r="H367" s="116"/>
      <c r="J367" s="99"/>
    </row>
    <row r="368" ht="12.75" customHeight="1">
      <c r="E368" s="116"/>
      <c r="F368" s="116"/>
      <c r="G368" s="117"/>
      <c r="H368" s="116"/>
      <c r="J368" s="99"/>
    </row>
    <row r="369" ht="12.75" customHeight="1">
      <c r="E369" s="116"/>
      <c r="F369" s="116"/>
      <c r="G369" s="117"/>
      <c r="H369" s="116"/>
      <c r="J369" s="99"/>
    </row>
    <row r="370" ht="12.75" customHeight="1">
      <c r="E370" s="116"/>
      <c r="F370" s="116"/>
      <c r="G370" s="117"/>
      <c r="H370" s="116"/>
      <c r="J370" s="99"/>
    </row>
    <row r="371" ht="12.75" customHeight="1">
      <c r="E371" s="116"/>
      <c r="F371" s="116"/>
      <c r="G371" s="117"/>
      <c r="H371" s="116"/>
      <c r="J371" s="99"/>
    </row>
    <row r="372" ht="12.75" customHeight="1">
      <c r="E372" s="116"/>
      <c r="F372" s="116"/>
      <c r="G372" s="117"/>
      <c r="H372" s="116"/>
      <c r="J372" s="99"/>
    </row>
    <row r="373" ht="12.75" customHeight="1">
      <c r="E373" s="116"/>
      <c r="F373" s="116"/>
      <c r="G373" s="117"/>
      <c r="H373" s="116"/>
      <c r="J373" s="99"/>
    </row>
    <row r="374" ht="12.75" customHeight="1">
      <c r="E374" s="116"/>
      <c r="F374" s="116"/>
      <c r="G374" s="117"/>
      <c r="H374" s="116"/>
      <c r="J374" s="99"/>
    </row>
    <row r="375" ht="12.75" customHeight="1">
      <c r="E375" s="116"/>
      <c r="F375" s="116"/>
      <c r="G375" s="117"/>
      <c r="H375" s="116"/>
      <c r="J375" s="99"/>
    </row>
    <row r="376" ht="12.75" customHeight="1">
      <c r="E376" s="116"/>
      <c r="F376" s="116"/>
      <c r="G376" s="117"/>
      <c r="H376" s="116"/>
      <c r="J376" s="99"/>
    </row>
    <row r="377" ht="12.75" customHeight="1">
      <c r="E377" s="116"/>
      <c r="F377" s="116"/>
      <c r="G377" s="117"/>
      <c r="H377" s="116"/>
      <c r="J377" s="99"/>
    </row>
    <row r="378" ht="12.75" customHeight="1">
      <c r="E378" s="116"/>
      <c r="F378" s="116"/>
      <c r="G378" s="117"/>
      <c r="H378" s="116"/>
      <c r="J378" s="99"/>
    </row>
    <row r="379" ht="12.75" customHeight="1">
      <c r="E379" s="116"/>
      <c r="F379" s="116"/>
      <c r="G379" s="117"/>
      <c r="H379" s="116"/>
      <c r="J379" s="99"/>
    </row>
    <row r="380" ht="12.75" customHeight="1">
      <c r="E380" s="116"/>
      <c r="F380" s="116"/>
      <c r="G380" s="117"/>
      <c r="H380" s="116"/>
      <c r="J380" s="99"/>
    </row>
    <row r="381" ht="12.75" customHeight="1">
      <c r="E381" s="116"/>
      <c r="F381" s="116"/>
      <c r="G381" s="117"/>
      <c r="H381" s="116"/>
      <c r="J381" s="99"/>
    </row>
    <row r="382" ht="12.75" customHeight="1">
      <c r="E382" s="116"/>
      <c r="F382" s="116"/>
      <c r="G382" s="117"/>
      <c r="H382" s="116"/>
      <c r="J382" s="99"/>
    </row>
    <row r="383" ht="12.75" customHeight="1">
      <c r="E383" s="116"/>
      <c r="F383" s="116"/>
      <c r="G383" s="117"/>
      <c r="H383" s="116"/>
      <c r="J383" s="99"/>
    </row>
    <row r="384" ht="12.75" customHeight="1">
      <c r="E384" s="116"/>
      <c r="F384" s="116"/>
      <c r="G384" s="117"/>
      <c r="H384" s="116"/>
      <c r="J384" s="99"/>
    </row>
    <row r="385" ht="12.75" customHeight="1">
      <c r="E385" s="116"/>
      <c r="F385" s="116"/>
      <c r="G385" s="117"/>
      <c r="H385" s="116"/>
      <c r="J385" s="99"/>
    </row>
    <row r="386" ht="12.75" customHeight="1">
      <c r="E386" s="116"/>
      <c r="F386" s="116"/>
      <c r="G386" s="117"/>
      <c r="H386" s="116"/>
      <c r="J386" s="99"/>
    </row>
    <row r="387" ht="12.75" customHeight="1">
      <c r="E387" s="116"/>
      <c r="F387" s="116"/>
      <c r="G387" s="117"/>
      <c r="H387" s="116"/>
      <c r="J387" s="99"/>
    </row>
    <row r="388" ht="12.75" customHeight="1">
      <c r="E388" s="116"/>
      <c r="F388" s="116"/>
      <c r="G388" s="117"/>
      <c r="H388" s="116"/>
      <c r="J388" s="99"/>
    </row>
    <row r="389" ht="12.75" customHeight="1">
      <c r="E389" s="116"/>
      <c r="F389" s="116"/>
      <c r="G389" s="117"/>
      <c r="H389" s="116"/>
      <c r="J389" s="99"/>
    </row>
    <row r="390" ht="12.75" customHeight="1">
      <c r="E390" s="116"/>
      <c r="F390" s="116"/>
      <c r="G390" s="117"/>
      <c r="H390" s="116"/>
      <c r="J390" s="99"/>
    </row>
    <row r="391" ht="12.75" customHeight="1">
      <c r="E391" s="116"/>
      <c r="F391" s="116"/>
      <c r="G391" s="117"/>
      <c r="H391" s="116"/>
      <c r="J391" s="99"/>
    </row>
    <row r="392" ht="12.75" customHeight="1">
      <c r="E392" s="116"/>
      <c r="F392" s="116"/>
      <c r="G392" s="117"/>
      <c r="H392" s="116"/>
      <c r="J392" s="99"/>
    </row>
    <row r="393" ht="12.75" customHeight="1">
      <c r="E393" s="116"/>
      <c r="F393" s="116"/>
      <c r="G393" s="117"/>
      <c r="H393" s="116"/>
      <c r="J393" s="99"/>
    </row>
    <row r="394" ht="12.75" customHeight="1">
      <c r="E394" s="116"/>
      <c r="F394" s="116"/>
      <c r="G394" s="117"/>
      <c r="H394" s="116"/>
      <c r="J394" s="99"/>
    </row>
    <row r="395" ht="12.75" customHeight="1">
      <c r="E395" s="116"/>
      <c r="F395" s="116"/>
      <c r="G395" s="117"/>
      <c r="H395" s="116"/>
      <c r="J395" s="99"/>
    </row>
    <row r="396" ht="12.75" customHeight="1">
      <c r="E396" s="116"/>
      <c r="F396" s="116"/>
      <c r="G396" s="117"/>
      <c r="H396" s="116"/>
      <c r="J396" s="99"/>
    </row>
    <row r="397" ht="12.75" customHeight="1">
      <c r="E397" s="116"/>
      <c r="F397" s="116"/>
      <c r="G397" s="117"/>
      <c r="H397" s="116"/>
      <c r="J397" s="99"/>
    </row>
    <row r="398" ht="12.75" customHeight="1">
      <c r="E398" s="116"/>
      <c r="F398" s="116"/>
      <c r="G398" s="117"/>
      <c r="H398" s="116"/>
      <c r="J398" s="99"/>
    </row>
    <row r="399" ht="12.75" customHeight="1">
      <c r="E399" s="116"/>
      <c r="F399" s="116"/>
      <c r="G399" s="117"/>
      <c r="H399" s="116"/>
      <c r="J399" s="99"/>
    </row>
    <row r="400" ht="12.75" customHeight="1">
      <c r="E400" s="116"/>
      <c r="F400" s="116"/>
      <c r="G400" s="117"/>
      <c r="H400" s="116"/>
      <c r="J400" s="99"/>
    </row>
    <row r="401" ht="12.75" customHeight="1">
      <c r="E401" s="116"/>
      <c r="F401" s="116"/>
      <c r="G401" s="117"/>
      <c r="H401" s="116"/>
      <c r="J401" s="99"/>
    </row>
    <row r="402" ht="12.75" customHeight="1">
      <c r="E402" s="116"/>
      <c r="F402" s="116"/>
      <c r="G402" s="117"/>
      <c r="H402" s="116"/>
      <c r="J402" s="99"/>
    </row>
    <row r="403" ht="12.75" customHeight="1">
      <c r="E403" s="116"/>
      <c r="F403" s="116"/>
      <c r="G403" s="117"/>
      <c r="H403" s="116"/>
      <c r="J403" s="99"/>
    </row>
    <row r="404" ht="12.75" customHeight="1">
      <c r="E404" s="116"/>
      <c r="F404" s="116"/>
      <c r="G404" s="117"/>
      <c r="H404" s="116"/>
      <c r="J404" s="99"/>
    </row>
    <row r="405" ht="12.75" customHeight="1">
      <c r="E405" s="116"/>
      <c r="F405" s="116"/>
      <c r="G405" s="117"/>
      <c r="H405" s="116"/>
      <c r="J405" s="99"/>
    </row>
    <row r="406" ht="12.75" customHeight="1">
      <c r="E406" s="116"/>
      <c r="F406" s="116"/>
      <c r="G406" s="117"/>
      <c r="H406" s="116"/>
      <c r="J406" s="99"/>
    </row>
    <row r="407" ht="12.75" customHeight="1">
      <c r="E407" s="116"/>
      <c r="F407" s="116"/>
      <c r="G407" s="117"/>
      <c r="H407" s="116"/>
      <c r="J407" s="99"/>
    </row>
    <row r="408" ht="12.75" customHeight="1">
      <c r="E408" s="116"/>
      <c r="F408" s="116"/>
      <c r="G408" s="117"/>
      <c r="H408" s="116"/>
      <c r="J408" s="99"/>
    </row>
    <row r="409" ht="12.75" customHeight="1">
      <c r="E409" s="116"/>
      <c r="F409" s="116"/>
      <c r="G409" s="117"/>
      <c r="H409" s="116"/>
      <c r="J409" s="99"/>
    </row>
    <row r="410" ht="12.75" customHeight="1">
      <c r="E410" s="116"/>
      <c r="F410" s="116"/>
      <c r="G410" s="117"/>
      <c r="H410" s="116"/>
      <c r="J410" s="99"/>
    </row>
    <row r="411" ht="12.75" customHeight="1">
      <c r="E411" s="116"/>
      <c r="F411" s="116"/>
      <c r="G411" s="117"/>
      <c r="H411" s="116"/>
      <c r="J411" s="99"/>
    </row>
    <row r="412" ht="12.75" customHeight="1">
      <c r="E412" s="116"/>
      <c r="F412" s="116"/>
      <c r="G412" s="117"/>
      <c r="H412" s="116"/>
      <c r="J412" s="99"/>
    </row>
    <row r="413" ht="12.75" customHeight="1">
      <c r="E413" s="116"/>
      <c r="F413" s="116"/>
      <c r="G413" s="117"/>
      <c r="H413" s="116"/>
      <c r="J413" s="99"/>
    </row>
    <row r="414" ht="12.75" customHeight="1">
      <c r="E414" s="116"/>
      <c r="F414" s="116"/>
      <c r="G414" s="117"/>
      <c r="H414" s="116"/>
      <c r="J414" s="99"/>
    </row>
    <row r="415" ht="12.75" customHeight="1">
      <c r="E415" s="116"/>
      <c r="F415" s="116"/>
      <c r="G415" s="117"/>
      <c r="H415" s="116"/>
      <c r="J415" s="99"/>
    </row>
    <row r="416" ht="12.75" customHeight="1">
      <c r="E416" s="116"/>
      <c r="F416" s="116"/>
      <c r="G416" s="117"/>
      <c r="H416" s="116"/>
      <c r="J416" s="99"/>
    </row>
    <row r="417" ht="12.75" customHeight="1">
      <c r="E417" s="116"/>
      <c r="F417" s="116"/>
      <c r="G417" s="117"/>
      <c r="H417" s="116"/>
      <c r="J417" s="99"/>
    </row>
    <row r="418" ht="12.75" customHeight="1">
      <c r="E418" s="116"/>
      <c r="F418" s="116"/>
      <c r="G418" s="117"/>
      <c r="H418" s="116"/>
      <c r="J418" s="99"/>
    </row>
    <row r="419" ht="12.75" customHeight="1">
      <c r="E419" s="116"/>
      <c r="F419" s="116"/>
      <c r="G419" s="117"/>
      <c r="H419" s="116"/>
      <c r="J419" s="99"/>
    </row>
    <row r="420" ht="12.75" customHeight="1">
      <c r="E420" s="116"/>
      <c r="F420" s="116"/>
      <c r="G420" s="117"/>
      <c r="H420" s="116"/>
      <c r="J420" s="99"/>
    </row>
    <row r="421" ht="12.75" customHeight="1">
      <c r="E421" s="116"/>
      <c r="F421" s="116"/>
      <c r="G421" s="117"/>
      <c r="H421" s="116"/>
      <c r="J421" s="99"/>
    </row>
    <row r="422" ht="12.75" customHeight="1">
      <c r="E422" s="116"/>
      <c r="F422" s="116"/>
      <c r="G422" s="117"/>
      <c r="H422" s="116"/>
      <c r="J422" s="99"/>
    </row>
    <row r="423" ht="12.75" customHeight="1">
      <c r="E423" s="116"/>
      <c r="F423" s="116"/>
      <c r="G423" s="117"/>
      <c r="H423" s="116"/>
      <c r="J423" s="99"/>
    </row>
    <row r="424" ht="12.75" customHeight="1">
      <c r="E424" s="116"/>
      <c r="F424" s="116"/>
      <c r="G424" s="117"/>
      <c r="H424" s="116"/>
      <c r="J424" s="99"/>
    </row>
    <row r="425" ht="12.75" customHeight="1">
      <c r="E425" s="116"/>
      <c r="F425" s="116"/>
      <c r="G425" s="117"/>
      <c r="H425" s="116"/>
      <c r="J425" s="99"/>
    </row>
    <row r="426" ht="12.75" customHeight="1">
      <c r="E426" s="116"/>
      <c r="F426" s="116"/>
      <c r="G426" s="117"/>
      <c r="H426" s="116"/>
      <c r="J426" s="99"/>
    </row>
    <row r="427" ht="12.75" customHeight="1">
      <c r="E427" s="116"/>
      <c r="F427" s="116"/>
      <c r="G427" s="117"/>
      <c r="H427" s="116"/>
      <c r="J427" s="99"/>
    </row>
    <row r="428" ht="12.75" customHeight="1">
      <c r="E428" s="116"/>
      <c r="F428" s="116"/>
      <c r="G428" s="117"/>
      <c r="H428" s="116"/>
      <c r="J428" s="99"/>
    </row>
    <row r="429" ht="12.75" customHeight="1">
      <c r="E429" s="116"/>
      <c r="F429" s="116"/>
      <c r="G429" s="117"/>
      <c r="H429" s="116"/>
      <c r="J429" s="99"/>
    </row>
    <row r="430" ht="12.75" customHeight="1">
      <c r="E430" s="116"/>
      <c r="F430" s="116"/>
      <c r="G430" s="117"/>
      <c r="H430" s="116"/>
      <c r="J430" s="99"/>
    </row>
    <row r="431" ht="12.75" customHeight="1">
      <c r="E431" s="116"/>
      <c r="F431" s="116"/>
      <c r="G431" s="117"/>
      <c r="H431" s="116"/>
      <c r="J431" s="99"/>
    </row>
    <row r="432" ht="12.75" customHeight="1">
      <c r="E432" s="116"/>
      <c r="F432" s="116"/>
      <c r="G432" s="117"/>
      <c r="H432" s="116"/>
      <c r="J432" s="99"/>
    </row>
    <row r="433" ht="12.75" customHeight="1">
      <c r="E433" s="116"/>
      <c r="F433" s="116"/>
      <c r="G433" s="117"/>
      <c r="H433" s="116"/>
      <c r="J433" s="99"/>
    </row>
    <row r="434" ht="12.75" customHeight="1">
      <c r="E434" s="116"/>
      <c r="F434" s="116"/>
      <c r="G434" s="117"/>
      <c r="H434" s="116"/>
      <c r="J434" s="99"/>
    </row>
    <row r="435" ht="12.75" customHeight="1">
      <c r="E435" s="116"/>
      <c r="F435" s="116"/>
      <c r="G435" s="117"/>
      <c r="H435" s="116"/>
      <c r="J435" s="99"/>
    </row>
    <row r="436" ht="12.75" customHeight="1">
      <c r="E436" s="116"/>
      <c r="F436" s="116"/>
      <c r="G436" s="117"/>
      <c r="H436" s="116"/>
      <c r="J436" s="99"/>
    </row>
    <row r="437" ht="12.75" customHeight="1">
      <c r="E437" s="116"/>
      <c r="F437" s="116"/>
      <c r="G437" s="117"/>
      <c r="H437" s="116"/>
      <c r="J437" s="99"/>
    </row>
    <row r="438" ht="12.75" customHeight="1">
      <c r="E438" s="116"/>
      <c r="F438" s="116"/>
      <c r="G438" s="117"/>
      <c r="H438" s="116"/>
      <c r="J438" s="99"/>
    </row>
    <row r="439" ht="12.75" customHeight="1">
      <c r="E439" s="116"/>
      <c r="F439" s="116"/>
      <c r="G439" s="117"/>
      <c r="H439" s="116"/>
      <c r="J439" s="99"/>
    </row>
    <row r="440" ht="12.75" customHeight="1">
      <c r="E440" s="116"/>
      <c r="F440" s="116"/>
      <c r="G440" s="117"/>
      <c r="H440" s="116"/>
      <c r="J440" s="99"/>
    </row>
    <row r="441" ht="12.75" customHeight="1">
      <c r="E441" s="116"/>
      <c r="F441" s="116"/>
      <c r="G441" s="117"/>
      <c r="H441" s="116"/>
      <c r="J441" s="99"/>
    </row>
    <row r="442" ht="12.75" customHeight="1">
      <c r="E442" s="116"/>
      <c r="F442" s="116"/>
      <c r="G442" s="117"/>
      <c r="H442" s="116"/>
      <c r="J442" s="99"/>
    </row>
    <row r="443" ht="12.75" customHeight="1">
      <c r="E443" s="116"/>
      <c r="F443" s="116"/>
      <c r="G443" s="117"/>
      <c r="H443" s="116"/>
      <c r="J443" s="99"/>
    </row>
    <row r="444" ht="12.75" customHeight="1">
      <c r="E444" s="116"/>
      <c r="F444" s="116"/>
      <c r="G444" s="117"/>
      <c r="H444" s="116"/>
      <c r="J444" s="99"/>
    </row>
    <row r="445" ht="12.75" customHeight="1">
      <c r="E445" s="116"/>
      <c r="F445" s="116"/>
      <c r="G445" s="117"/>
      <c r="H445" s="116"/>
      <c r="J445" s="99"/>
    </row>
    <row r="446" ht="12.75" customHeight="1">
      <c r="E446" s="116"/>
      <c r="F446" s="116"/>
      <c r="G446" s="117"/>
      <c r="H446" s="116"/>
      <c r="J446" s="99"/>
    </row>
    <row r="447" ht="12.75" customHeight="1">
      <c r="E447" s="116"/>
      <c r="F447" s="116"/>
      <c r="G447" s="117"/>
      <c r="H447" s="116"/>
      <c r="J447" s="99"/>
    </row>
    <row r="448" ht="12.75" customHeight="1">
      <c r="E448" s="116"/>
      <c r="F448" s="116"/>
      <c r="G448" s="117"/>
      <c r="H448" s="116"/>
      <c r="J448" s="99"/>
    </row>
    <row r="449" ht="12.75" customHeight="1">
      <c r="E449" s="116"/>
      <c r="F449" s="116"/>
      <c r="G449" s="117"/>
      <c r="H449" s="116"/>
      <c r="J449" s="99"/>
    </row>
    <row r="450" ht="12.75" customHeight="1">
      <c r="E450" s="116"/>
      <c r="F450" s="116"/>
      <c r="G450" s="117"/>
      <c r="H450" s="116"/>
      <c r="J450" s="99"/>
    </row>
    <row r="451" ht="12.75" customHeight="1">
      <c r="E451" s="116"/>
      <c r="F451" s="116"/>
      <c r="G451" s="117"/>
      <c r="H451" s="116"/>
      <c r="J451" s="99"/>
    </row>
    <row r="452" ht="12.75" customHeight="1">
      <c r="E452" s="116"/>
      <c r="F452" s="116"/>
      <c r="G452" s="117"/>
      <c r="H452" s="116"/>
      <c r="J452" s="99"/>
    </row>
    <row r="453" ht="12.75" customHeight="1">
      <c r="E453" s="116"/>
      <c r="F453" s="116"/>
      <c r="G453" s="117"/>
      <c r="H453" s="116"/>
      <c r="J453" s="99"/>
    </row>
    <row r="454" ht="12.75" customHeight="1">
      <c r="E454" s="116"/>
      <c r="F454" s="116"/>
      <c r="G454" s="117"/>
      <c r="H454" s="116"/>
      <c r="J454" s="99"/>
    </row>
    <row r="455" ht="12.75" customHeight="1">
      <c r="E455" s="116"/>
      <c r="F455" s="116"/>
      <c r="G455" s="117"/>
      <c r="H455" s="116"/>
      <c r="J455" s="99"/>
    </row>
    <row r="456" ht="12.75" customHeight="1">
      <c r="E456" s="116"/>
      <c r="F456" s="116"/>
      <c r="G456" s="117"/>
      <c r="H456" s="116"/>
      <c r="J456" s="99"/>
    </row>
    <row r="457" ht="12.75" customHeight="1">
      <c r="E457" s="116"/>
      <c r="F457" s="116"/>
      <c r="G457" s="117"/>
      <c r="H457" s="116"/>
      <c r="J457" s="99"/>
    </row>
    <row r="458" ht="12.75" customHeight="1">
      <c r="E458" s="116"/>
      <c r="F458" s="116"/>
      <c r="G458" s="117"/>
      <c r="H458" s="116"/>
      <c r="J458" s="99"/>
    </row>
    <row r="459" ht="12.75" customHeight="1">
      <c r="E459" s="116"/>
      <c r="F459" s="116"/>
      <c r="G459" s="117"/>
      <c r="H459" s="116"/>
      <c r="J459" s="99"/>
    </row>
    <row r="460" ht="12.75" customHeight="1">
      <c r="E460" s="116"/>
      <c r="F460" s="116"/>
      <c r="G460" s="117"/>
      <c r="H460" s="116"/>
      <c r="J460" s="99"/>
    </row>
    <row r="461" ht="12.75" customHeight="1">
      <c r="E461" s="116"/>
      <c r="F461" s="116"/>
      <c r="G461" s="117"/>
      <c r="H461" s="116"/>
      <c r="J461" s="99"/>
    </row>
    <row r="462" ht="12.75" customHeight="1">
      <c r="E462" s="116"/>
      <c r="F462" s="116"/>
      <c r="G462" s="117"/>
      <c r="H462" s="116"/>
      <c r="J462" s="99"/>
    </row>
    <row r="463" ht="12.75" customHeight="1">
      <c r="E463" s="116"/>
      <c r="F463" s="116"/>
      <c r="G463" s="117"/>
      <c r="H463" s="116"/>
      <c r="J463" s="99"/>
    </row>
    <row r="464" ht="12.75" customHeight="1">
      <c r="E464" s="116"/>
      <c r="F464" s="116"/>
      <c r="G464" s="117"/>
      <c r="H464" s="116"/>
      <c r="J464" s="99"/>
    </row>
    <row r="465" ht="12.75" customHeight="1">
      <c r="E465" s="116"/>
      <c r="F465" s="116"/>
      <c r="G465" s="117"/>
      <c r="H465" s="116"/>
      <c r="J465" s="99"/>
    </row>
    <row r="466" ht="12.75" customHeight="1">
      <c r="E466" s="116"/>
      <c r="F466" s="116"/>
      <c r="G466" s="117"/>
      <c r="H466" s="116"/>
      <c r="J466" s="99"/>
    </row>
    <row r="467" ht="12.75" customHeight="1">
      <c r="E467" s="116"/>
      <c r="F467" s="116"/>
      <c r="G467" s="117"/>
      <c r="H467" s="116"/>
      <c r="J467" s="99"/>
    </row>
    <row r="468" ht="12.75" customHeight="1">
      <c r="E468" s="116"/>
      <c r="F468" s="116"/>
      <c r="G468" s="117"/>
      <c r="H468" s="116"/>
      <c r="J468" s="99"/>
    </row>
    <row r="469" ht="12.75" customHeight="1">
      <c r="E469" s="116"/>
      <c r="F469" s="116"/>
      <c r="G469" s="117"/>
      <c r="H469" s="116"/>
      <c r="J469" s="99"/>
    </row>
    <row r="470" ht="12.75" customHeight="1">
      <c r="E470" s="116"/>
      <c r="F470" s="116"/>
      <c r="G470" s="117"/>
      <c r="H470" s="116"/>
      <c r="J470" s="99"/>
    </row>
    <row r="471" ht="12.75" customHeight="1">
      <c r="E471" s="116"/>
      <c r="F471" s="116"/>
      <c r="G471" s="117"/>
      <c r="H471" s="116"/>
      <c r="J471" s="99"/>
    </row>
    <row r="472" ht="12.75" customHeight="1">
      <c r="E472" s="116"/>
      <c r="F472" s="116"/>
      <c r="G472" s="117"/>
      <c r="H472" s="116"/>
      <c r="J472" s="99"/>
    </row>
    <row r="473" ht="12.75" customHeight="1">
      <c r="E473" s="116"/>
      <c r="F473" s="116"/>
      <c r="G473" s="117"/>
      <c r="H473" s="116"/>
      <c r="J473" s="99"/>
    </row>
    <row r="474" ht="12.75" customHeight="1">
      <c r="E474" s="116"/>
      <c r="F474" s="116"/>
      <c r="G474" s="117"/>
      <c r="H474" s="116"/>
      <c r="J474" s="99"/>
    </row>
    <row r="475" ht="12.75" customHeight="1">
      <c r="E475" s="116"/>
      <c r="F475" s="116"/>
      <c r="G475" s="117"/>
      <c r="H475" s="116"/>
      <c r="J475" s="99"/>
    </row>
    <row r="476" ht="12.75" customHeight="1">
      <c r="E476" s="116"/>
      <c r="F476" s="116"/>
      <c r="G476" s="117"/>
      <c r="H476" s="116"/>
      <c r="J476" s="99"/>
    </row>
    <row r="477" ht="12.75" customHeight="1">
      <c r="E477" s="116"/>
      <c r="F477" s="116"/>
      <c r="G477" s="117"/>
      <c r="H477" s="116"/>
      <c r="J477" s="99"/>
    </row>
    <row r="478" ht="12.75" customHeight="1">
      <c r="E478" s="116"/>
      <c r="F478" s="116"/>
      <c r="G478" s="117"/>
      <c r="H478" s="116"/>
      <c r="J478" s="99"/>
    </row>
    <row r="479" ht="12.75" customHeight="1">
      <c r="E479" s="116"/>
      <c r="F479" s="116"/>
      <c r="G479" s="117"/>
      <c r="H479" s="116"/>
      <c r="J479" s="99"/>
    </row>
    <row r="480" ht="12.75" customHeight="1">
      <c r="E480" s="116"/>
      <c r="F480" s="116"/>
      <c r="G480" s="117"/>
      <c r="H480" s="116"/>
      <c r="J480" s="99"/>
    </row>
    <row r="481" ht="12.75" customHeight="1">
      <c r="E481" s="116"/>
      <c r="F481" s="116"/>
      <c r="G481" s="117"/>
      <c r="H481" s="116"/>
      <c r="J481" s="99"/>
    </row>
    <row r="482" ht="12.75" customHeight="1">
      <c r="E482" s="116"/>
      <c r="F482" s="116"/>
      <c r="G482" s="117"/>
      <c r="H482" s="116"/>
      <c r="J482" s="99"/>
    </row>
    <row r="483" ht="12.75" customHeight="1">
      <c r="E483" s="116"/>
      <c r="F483" s="116"/>
      <c r="G483" s="117"/>
      <c r="H483" s="116"/>
      <c r="J483" s="99"/>
    </row>
    <row r="484" ht="12.75" customHeight="1">
      <c r="E484" s="116"/>
      <c r="F484" s="116"/>
      <c r="G484" s="117"/>
      <c r="H484" s="116"/>
      <c r="J484" s="99"/>
    </row>
    <row r="485" ht="12.75" customHeight="1">
      <c r="E485" s="116"/>
      <c r="F485" s="116"/>
      <c r="G485" s="117"/>
      <c r="H485" s="116"/>
      <c r="J485" s="99"/>
    </row>
    <row r="486" ht="12.75" customHeight="1">
      <c r="E486" s="116"/>
      <c r="F486" s="116"/>
      <c r="G486" s="117"/>
      <c r="H486" s="116"/>
      <c r="J486" s="99"/>
    </row>
    <row r="487" ht="12.75" customHeight="1">
      <c r="E487" s="116"/>
      <c r="F487" s="116"/>
      <c r="G487" s="117"/>
      <c r="H487" s="116"/>
      <c r="J487" s="99"/>
    </row>
    <row r="488" ht="12.75" customHeight="1">
      <c r="E488" s="116"/>
      <c r="F488" s="116"/>
      <c r="G488" s="117"/>
      <c r="H488" s="116"/>
      <c r="J488" s="99"/>
    </row>
    <row r="489" ht="12.75" customHeight="1">
      <c r="E489" s="116"/>
      <c r="F489" s="116"/>
      <c r="G489" s="117"/>
      <c r="H489" s="116"/>
      <c r="J489" s="99"/>
    </row>
    <row r="490" ht="12.75" customHeight="1">
      <c r="E490" s="116"/>
      <c r="F490" s="116"/>
      <c r="G490" s="117"/>
      <c r="H490" s="116"/>
      <c r="J490" s="99"/>
    </row>
    <row r="491" ht="12.75" customHeight="1">
      <c r="E491" s="116"/>
      <c r="F491" s="116"/>
      <c r="G491" s="117"/>
      <c r="H491" s="116"/>
      <c r="J491" s="99"/>
    </row>
    <row r="492" ht="12.75" customHeight="1">
      <c r="E492" s="116"/>
      <c r="F492" s="116"/>
      <c r="G492" s="117"/>
      <c r="H492" s="116"/>
      <c r="J492" s="99"/>
    </row>
    <row r="493" ht="12.75" customHeight="1">
      <c r="E493" s="116"/>
      <c r="F493" s="116"/>
      <c r="G493" s="117"/>
      <c r="H493" s="116"/>
      <c r="J493" s="99"/>
    </row>
    <row r="494" ht="12.75" customHeight="1">
      <c r="E494" s="116"/>
      <c r="F494" s="116"/>
      <c r="G494" s="117"/>
      <c r="H494" s="116"/>
      <c r="J494" s="99"/>
    </row>
    <row r="495" ht="12.75" customHeight="1">
      <c r="E495" s="116"/>
      <c r="F495" s="116"/>
      <c r="G495" s="117"/>
      <c r="H495" s="116"/>
      <c r="J495" s="99"/>
    </row>
    <row r="496" ht="12.75" customHeight="1">
      <c r="E496" s="116"/>
      <c r="F496" s="116"/>
      <c r="G496" s="117"/>
      <c r="H496" s="116"/>
      <c r="J496" s="99"/>
    </row>
    <row r="497" ht="12.75" customHeight="1">
      <c r="E497" s="116"/>
      <c r="F497" s="116"/>
      <c r="G497" s="117"/>
      <c r="H497" s="116"/>
      <c r="J497" s="99"/>
    </row>
    <row r="498" ht="12.75" customHeight="1">
      <c r="E498" s="116"/>
      <c r="F498" s="116"/>
      <c r="G498" s="117"/>
      <c r="H498" s="116"/>
      <c r="J498" s="99"/>
    </row>
    <row r="499" ht="12.75" customHeight="1">
      <c r="E499" s="116"/>
      <c r="F499" s="116"/>
      <c r="G499" s="117"/>
      <c r="H499" s="116"/>
      <c r="J499" s="99"/>
    </row>
    <row r="500" ht="12.75" customHeight="1">
      <c r="E500" s="116"/>
      <c r="F500" s="116"/>
      <c r="G500" s="117"/>
      <c r="H500" s="116"/>
      <c r="J500" s="99"/>
    </row>
    <row r="501" ht="12.75" customHeight="1">
      <c r="E501" s="116"/>
      <c r="F501" s="116"/>
      <c r="G501" s="117"/>
      <c r="H501" s="116"/>
      <c r="J501" s="99"/>
    </row>
    <row r="502" ht="12.75" customHeight="1">
      <c r="E502" s="116"/>
      <c r="F502" s="116"/>
      <c r="G502" s="117"/>
      <c r="H502" s="116"/>
      <c r="J502" s="99"/>
    </row>
    <row r="503" ht="12.75" customHeight="1">
      <c r="E503" s="116"/>
      <c r="F503" s="116"/>
      <c r="G503" s="117"/>
      <c r="H503" s="116"/>
      <c r="J503" s="99"/>
    </row>
    <row r="504" ht="12.75" customHeight="1">
      <c r="E504" s="116"/>
      <c r="F504" s="116"/>
      <c r="G504" s="117"/>
      <c r="H504" s="116"/>
      <c r="J504" s="99"/>
    </row>
    <row r="505" ht="12.75" customHeight="1">
      <c r="E505" s="116"/>
      <c r="F505" s="116"/>
      <c r="G505" s="117"/>
      <c r="H505" s="116"/>
      <c r="J505" s="99"/>
    </row>
    <row r="506" ht="12.75" customHeight="1">
      <c r="E506" s="116"/>
      <c r="F506" s="116"/>
      <c r="G506" s="117"/>
      <c r="H506" s="116"/>
      <c r="J506" s="99"/>
    </row>
    <row r="507" ht="12.75" customHeight="1">
      <c r="E507" s="116"/>
      <c r="F507" s="116"/>
      <c r="G507" s="117"/>
      <c r="H507" s="116"/>
      <c r="J507" s="99"/>
    </row>
    <row r="508" ht="12.75" customHeight="1">
      <c r="E508" s="116"/>
      <c r="F508" s="116"/>
      <c r="G508" s="117"/>
      <c r="H508" s="116"/>
      <c r="J508" s="99"/>
    </row>
    <row r="509" ht="12.75" customHeight="1">
      <c r="E509" s="116"/>
      <c r="F509" s="116"/>
      <c r="G509" s="117"/>
      <c r="H509" s="116"/>
      <c r="J509" s="99"/>
    </row>
    <row r="510" ht="12.75" customHeight="1">
      <c r="E510" s="116"/>
      <c r="F510" s="116"/>
      <c r="G510" s="117"/>
      <c r="H510" s="116"/>
      <c r="J510" s="99"/>
    </row>
    <row r="511" ht="12.75" customHeight="1">
      <c r="E511" s="116"/>
      <c r="F511" s="116"/>
      <c r="G511" s="117"/>
      <c r="H511" s="116"/>
      <c r="J511" s="99"/>
    </row>
    <row r="512" ht="12.75" customHeight="1">
      <c r="E512" s="116"/>
      <c r="F512" s="116"/>
      <c r="G512" s="117"/>
      <c r="H512" s="116"/>
      <c r="J512" s="99"/>
    </row>
    <row r="513" ht="12.75" customHeight="1">
      <c r="E513" s="116"/>
      <c r="F513" s="116"/>
      <c r="G513" s="117"/>
      <c r="H513" s="116"/>
      <c r="J513" s="99"/>
    </row>
    <row r="514" ht="12.75" customHeight="1">
      <c r="E514" s="116"/>
      <c r="F514" s="116"/>
      <c r="G514" s="117"/>
      <c r="H514" s="116"/>
      <c r="J514" s="99"/>
    </row>
    <row r="515" ht="12.75" customHeight="1">
      <c r="E515" s="116"/>
      <c r="F515" s="116"/>
      <c r="G515" s="117"/>
      <c r="H515" s="116"/>
      <c r="J515" s="99"/>
    </row>
    <row r="516" ht="12.75" customHeight="1">
      <c r="E516" s="116"/>
      <c r="F516" s="116"/>
      <c r="G516" s="117"/>
      <c r="H516" s="116"/>
      <c r="J516" s="99"/>
    </row>
    <row r="517" ht="12.75" customHeight="1">
      <c r="E517" s="116"/>
      <c r="F517" s="116"/>
      <c r="G517" s="117"/>
      <c r="H517" s="116"/>
      <c r="J517" s="99"/>
    </row>
    <row r="518" ht="12.75" customHeight="1">
      <c r="E518" s="116"/>
      <c r="F518" s="116"/>
      <c r="G518" s="117"/>
      <c r="H518" s="116"/>
      <c r="J518" s="99"/>
    </row>
    <row r="519" ht="12.75" customHeight="1">
      <c r="E519" s="116"/>
      <c r="F519" s="116"/>
      <c r="G519" s="117"/>
      <c r="H519" s="116"/>
      <c r="J519" s="99"/>
    </row>
    <row r="520" ht="12.75" customHeight="1">
      <c r="E520" s="116"/>
      <c r="F520" s="116"/>
      <c r="G520" s="117"/>
      <c r="H520" s="116"/>
      <c r="J520" s="99"/>
    </row>
    <row r="521" ht="12.75" customHeight="1">
      <c r="E521" s="116"/>
      <c r="F521" s="116"/>
      <c r="G521" s="117"/>
      <c r="H521" s="116"/>
      <c r="J521" s="99"/>
    </row>
    <row r="522" ht="12.75" customHeight="1">
      <c r="E522" s="116"/>
      <c r="F522" s="116"/>
      <c r="G522" s="117"/>
      <c r="H522" s="116"/>
      <c r="J522" s="99"/>
    </row>
    <row r="523" ht="12.75" customHeight="1">
      <c r="E523" s="116"/>
      <c r="F523" s="116"/>
      <c r="G523" s="117"/>
      <c r="H523" s="116"/>
      <c r="J523" s="99"/>
    </row>
    <row r="524" ht="12.75" customHeight="1">
      <c r="E524" s="116"/>
      <c r="F524" s="116"/>
      <c r="G524" s="117"/>
      <c r="H524" s="116"/>
      <c r="J524" s="99"/>
    </row>
    <row r="525" ht="12.75" customHeight="1">
      <c r="E525" s="116"/>
      <c r="F525" s="116"/>
      <c r="G525" s="117"/>
      <c r="H525" s="116"/>
      <c r="J525" s="99"/>
    </row>
    <row r="526" ht="12.75" customHeight="1">
      <c r="E526" s="116"/>
      <c r="F526" s="116"/>
      <c r="G526" s="117"/>
      <c r="H526" s="116"/>
      <c r="J526" s="99"/>
    </row>
    <row r="527" ht="12.75" customHeight="1">
      <c r="E527" s="116"/>
      <c r="F527" s="116"/>
      <c r="G527" s="117"/>
      <c r="H527" s="116"/>
      <c r="J527" s="99"/>
    </row>
    <row r="528" ht="12.75" customHeight="1">
      <c r="E528" s="116"/>
      <c r="F528" s="116"/>
      <c r="G528" s="117"/>
      <c r="H528" s="116"/>
      <c r="J528" s="99"/>
    </row>
    <row r="529" ht="12.75" customHeight="1">
      <c r="E529" s="116"/>
      <c r="F529" s="116"/>
      <c r="G529" s="117"/>
      <c r="H529" s="116"/>
      <c r="J529" s="99"/>
    </row>
    <row r="530" ht="12.75" customHeight="1">
      <c r="E530" s="116"/>
      <c r="F530" s="116"/>
      <c r="G530" s="117"/>
      <c r="H530" s="116"/>
      <c r="J530" s="99"/>
    </row>
    <row r="531" ht="12.75" customHeight="1">
      <c r="E531" s="116"/>
      <c r="F531" s="116"/>
      <c r="G531" s="117"/>
      <c r="H531" s="116"/>
      <c r="J531" s="99"/>
    </row>
    <row r="532" ht="12.75" customHeight="1">
      <c r="E532" s="116"/>
      <c r="F532" s="116"/>
      <c r="G532" s="117"/>
      <c r="H532" s="116"/>
      <c r="J532" s="99"/>
    </row>
    <row r="533" ht="12.75" customHeight="1">
      <c r="E533" s="116"/>
      <c r="F533" s="116"/>
      <c r="G533" s="117"/>
      <c r="H533" s="116"/>
      <c r="J533" s="99"/>
    </row>
    <row r="534" ht="12.75" customHeight="1">
      <c r="E534" s="116"/>
      <c r="F534" s="116"/>
      <c r="G534" s="117"/>
      <c r="H534" s="116"/>
      <c r="J534" s="99"/>
    </row>
    <row r="535" ht="12.75" customHeight="1">
      <c r="E535" s="116"/>
      <c r="F535" s="116"/>
      <c r="G535" s="117"/>
      <c r="H535" s="116"/>
      <c r="J535" s="99"/>
    </row>
    <row r="536" ht="12.75" customHeight="1">
      <c r="E536" s="116"/>
      <c r="F536" s="116"/>
      <c r="G536" s="117"/>
      <c r="H536" s="116"/>
      <c r="J536" s="99"/>
    </row>
    <row r="537" ht="12.75" customHeight="1">
      <c r="E537" s="116"/>
      <c r="F537" s="116"/>
      <c r="G537" s="117"/>
      <c r="H537" s="116"/>
      <c r="J537" s="99"/>
    </row>
    <row r="538" ht="12.75" customHeight="1">
      <c r="E538" s="116"/>
      <c r="F538" s="116"/>
      <c r="G538" s="117"/>
      <c r="H538" s="116"/>
      <c r="J538" s="99"/>
    </row>
    <row r="539" ht="12.75" customHeight="1">
      <c r="E539" s="116"/>
      <c r="F539" s="116"/>
      <c r="G539" s="117"/>
      <c r="H539" s="116"/>
      <c r="J539" s="99"/>
    </row>
    <row r="540" ht="12.75" customHeight="1">
      <c r="E540" s="116"/>
      <c r="F540" s="116"/>
      <c r="G540" s="117"/>
      <c r="H540" s="116"/>
      <c r="J540" s="99"/>
    </row>
    <row r="541" ht="12.75" customHeight="1">
      <c r="E541" s="116"/>
      <c r="F541" s="116"/>
      <c r="G541" s="117"/>
      <c r="H541" s="116"/>
      <c r="J541" s="99"/>
    </row>
    <row r="542" ht="12.75" customHeight="1">
      <c r="E542" s="116"/>
      <c r="F542" s="116"/>
      <c r="G542" s="117"/>
      <c r="H542" s="116"/>
      <c r="J542" s="99"/>
    </row>
    <row r="543" ht="12.75" customHeight="1">
      <c r="E543" s="116"/>
      <c r="F543" s="116"/>
      <c r="G543" s="117"/>
      <c r="H543" s="116"/>
      <c r="J543" s="99"/>
    </row>
    <row r="544" ht="12.75" customHeight="1">
      <c r="E544" s="116"/>
      <c r="F544" s="116"/>
      <c r="G544" s="117"/>
      <c r="H544" s="116"/>
      <c r="J544" s="99"/>
    </row>
    <row r="545" ht="12.75" customHeight="1">
      <c r="E545" s="116"/>
      <c r="F545" s="116"/>
      <c r="G545" s="117"/>
      <c r="H545" s="116"/>
      <c r="J545" s="99"/>
    </row>
    <row r="546" ht="12.75" customHeight="1">
      <c r="E546" s="116"/>
      <c r="F546" s="116"/>
      <c r="G546" s="117"/>
      <c r="H546" s="116"/>
      <c r="J546" s="99"/>
    </row>
    <row r="547" ht="12.75" customHeight="1">
      <c r="E547" s="116"/>
      <c r="F547" s="116"/>
      <c r="G547" s="117"/>
      <c r="H547" s="116"/>
      <c r="J547" s="99"/>
    </row>
    <row r="548" ht="12.75" customHeight="1">
      <c r="E548" s="116"/>
      <c r="F548" s="116"/>
      <c r="G548" s="117"/>
      <c r="H548" s="116"/>
      <c r="J548" s="99"/>
    </row>
    <row r="549" ht="12.75" customHeight="1">
      <c r="E549" s="116"/>
      <c r="F549" s="116"/>
      <c r="G549" s="117"/>
      <c r="H549" s="116"/>
      <c r="J549" s="99"/>
    </row>
    <row r="550" ht="12.75" customHeight="1">
      <c r="E550" s="116"/>
      <c r="F550" s="116"/>
      <c r="G550" s="117"/>
      <c r="H550" s="116"/>
      <c r="J550" s="99"/>
    </row>
    <row r="551" ht="12.75" customHeight="1">
      <c r="E551" s="116"/>
      <c r="F551" s="116"/>
      <c r="G551" s="117"/>
      <c r="H551" s="116"/>
      <c r="J551" s="99"/>
    </row>
    <row r="552" ht="12.75" customHeight="1">
      <c r="E552" s="116"/>
      <c r="F552" s="116"/>
      <c r="G552" s="117"/>
      <c r="H552" s="116"/>
      <c r="J552" s="99"/>
    </row>
    <row r="553" ht="12.75" customHeight="1">
      <c r="E553" s="116"/>
      <c r="F553" s="116"/>
      <c r="G553" s="117"/>
      <c r="H553" s="116"/>
      <c r="J553" s="99"/>
    </row>
    <row r="554" ht="12.75" customHeight="1">
      <c r="E554" s="116"/>
      <c r="F554" s="116"/>
      <c r="G554" s="117"/>
      <c r="H554" s="116"/>
      <c r="J554" s="99"/>
    </row>
    <row r="555" ht="12.75" customHeight="1">
      <c r="E555" s="116"/>
      <c r="F555" s="116"/>
      <c r="G555" s="117"/>
      <c r="H555" s="116"/>
      <c r="J555" s="99"/>
    </row>
    <row r="556" ht="12.75" customHeight="1">
      <c r="E556" s="116"/>
      <c r="F556" s="116"/>
      <c r="G556" s="117"/>
      <c r="H556" s="116"/>
      <c r="J556" s="99"/>
    </row>
    <row r="557" ht="12.75" customHeight="1">
      <c r="E557" s="116"/>
      <c r="F557" s="116"/>
      <c r="G557" s="117"/>
      <c r="H557" s="116"/>
      <c r="J557" s="99"/>
    </row>
    <row r="558" ht="12.75" customHeight="1">
      <c r="E558" s="116"/>
      <c r="F558" s="116"/>
      <c r="G558" s="117"/>
      <c r="H558" s="116"/>
      <c r="J558" s="99"/>
    </row>
    <row r="559" ht="12.75" customHeight="1">
      <c r="E559" s="116"/>
      <c r="F559" s="116"/>
      <c r="G559" s="117"/>
      <c r="H559" s="116"/>
      <c r="J559" s="99"/>
    </row>
    <row r="560" ht="12.75" customHeight="1">
      <c r="E560" s="116"/>
      <c r="F560" s="116"/>
      <c r="G560" s="117"/>
      <c r="H560" s="116"/>
      <c r="J560" s="99"/>
    </row>
    <row r="561" ht="12.75" customHeight="1">
      <c r="E561" s="116"/>
      <c r="F561" s="116"/>
      <c r="G561" s="117"/>
      <c r="H561" s="116"/>
      <c r="J561" s="99"/>
    </row>
    <row r="562" ht="12.75" customHeight="1">
      <c r="E562" s="116"/>
      <c r="F562" s="116"/>
      <c r="G562" s="117"/>
      <c r="H562" s="116"/>
      <c r="J562" s="99"/>
    </row>
    <row r="563" ht="12.75" customHeight="1">
      <c r="E563" s="116"/>
      <c r="F563" s="116"/>
      <c r="G563" s="117"/>
      <c r="H563" s="116"/>
      <c r="J563" s="99"/>
    </row>
    <row r="564" ht="12.75" customHeight="1">
      <c r="E564" s="116"/>
      <c r="F564" s="116"/>
      <c r="G564" s="117"/>
      <c r="H564" s="116"/>
      <c r="J564" s="99"/>
    </row>
    <row r="565" ht="12.75" customHeight="1">
      <c r="E565" s="116"/>
      <c r="F565" s="116"/>
      <c r="G565" s="117"/>
      <c r="H565" s="116"/>
      <c r="J565" s="99"/>
    </row>
    <row r="566" ht="12.75" customHeight="1">
      <c r="E566" s="116"/>
      <c r="F566" s="116"/>
      <c r="G566" s="117"/>
      <c r="H566" s="116"/>
      <c r="J566" s="99"/>
    </row>
    <row r="567" ht="12.75" customHeight="1">
      <c r="E567" s="116"/>
      <c r="F567" s="116"/>
      <c r="G567" s="117"/>
      <c r="H567" s="116"/>
      <c r="J567" s="99"/>
    </row>
    <row r="568" ht="12.75" customHeight="1">
      <c r="E568" s="116"/>
      <c r="F568" s="116"/>
      <c r="G568" s="117"/>
      <c r="H568" s="116"/>
      <c r="J568" s="99"/>
    </row>
    <row r="569" ht="12.75" customHeight="1">
      <c r="E569" s="116"/>
      <c r="F569" s="116"/>
      <c r="G569" s="117"/>
      <c r="H569" s="116"/>
      <c r="J569" s="99"/>
    </row>
    <row r="570" ht="12.75" customHeight="1">
      <c r="E570" s="116"/>
      <c r="F570" s="116"/>
      <c r="G570" s="117"/>
      <c r="H570" s="116"/>
      <c r="J570" s="99"/>
    </row>
    <row r="571" ht="12.75" customHeight="1">
      <c r="E571" s="116"/>
      <c r="F571" s="116"/>
      <c r="G571" s="117"/>
      <c r="H571" s="116"/>
      <c r="J571" s="99"/>
    </row>
    <row r="572" ht="12.75" customHeight="1">
      <c r="E572" s="116"/>
      <c r="F572" s="116"/>
      <c r="G572" s="117"/>
      <c r="H572" s="116"/>
      <c r="J572" s="99"/>
    </row>
    <row r="573" ht="12.75" customHeight="1">
      <c r="E573" s="116"/>
      <c r="F573" s="116"/>
      <c r="G573" s="117"/>
      <c r="H573" s="116"/>
      <c r="J573" s="99"/>
    </row>
    <row r="574" ht="12.75" customHeight="1">
      <c r="E574" s="116"/>
      <c r="F574" s="116"/>
      <c r="G574" s="117"/>
      <c r="H574" s="116"/>
      <c r="J574" s="99"/>
    </row>
    <row r="575" ht="12.75" customHeight="1">
      <c r="E575" s="116"/>
      <c r="F575" s="116"/>
      <c r="G575" s="117"/>
      <c r="H575" s="116"/>
      <c r="J575" s="99"/>
    </row>
    <row r="576" ht="12.75" customHeight="1">
      <c r="E576" s="116"/>
      <c r="F576" s="116"/>
      <c r="G576" s="117"/>
      <c r="H576" s="116"/>
      <c r="J576" s="99"/>
    </row>
    <row r="577" ht="12.75" customHeight="1">
      <c r="E577" s="116"/>
      <c r="F577" s="116"/>
      <c r="G577" s="117"/>
      <c r="H577" s="116"/>
      <c r="J577" s="99"/>
    </row>
    <row r="578" ht="12.75" customHeight="1">
      <c r="E578" s="116"/>
      <c r="F578" s="116"/>
      <c r="G578" s="117"/>
      <c r="H578" s="116"/>
      <c r="J578" s="99"/>
    </row>
    <row r="579" ht="12.75" customHeight="1">
      <c r="E579" s="116"/>
      <c r="F579" s="116"/>
      <c r="G579" s="117"/>
      <c r="H579" s="116"/>
      <c r="J579" s="99"/>
    </row>
    <row r="580" ht="12.75" customHeight="1">
      <c r="E580" s="116"/>
      <c r="F580" s="116"/>
      <c r="G580" s="117"/>
      <c r="H580" s="116"/>
      <c r="J580" s="99"/>
    </row>
    <row r="581" ht="12.75" customHeight="1">
      <c r="E581" s="116"/>
      <c r="F581" s="116"/>
      <c r="G581" s="117"/>
      <c r="H581" s="116"/>
      <c r="J581" s="99"/>
    </row>
    <row r="582" ht="12.75" customHeight="1">
      <c r="E582" s="116"/>
      <c r="F582" s="116"/>
      <c r="G582" s="117"/>
      <c r="H582" s="116"/>
      <c r="J582" s="99"/>
    </row>
    <row r="583" ht="12.75" customHeight="1">
      <c r="E583" s="116"/>
      <c r="F583" s="116"/>
      <c r="G583" s="117"/>
      <c r="H583" s="116"/>
      <c r="J583" s="99"/>
    </row>
    <row r="584" ht="12.75" customHeight="1">
      <c r="E584" s="116"/>
      <c r="F584" s="116"/>
      <c r="G584" s="117"/>
      <c r="H584" s="116"/>
      <c r="J584" s="99"/>
    </row>
    <row r="585" ht="12.75" customHeight="1">
      <c r="E585" s="116"/>
      <c r="F585" s="116"/>
      <c r="G585" s="117"/>
      <c r="H585" s="116"/>
      <c r="J585" s="99"/>
    </row>
    <row r="586" ht="12.75" customHeight="1">
      <c r="E586" s="116"/>
      <c r="F586" s="116"/>
      <c r="G586" s="117"/>
      <c r="H586" s="116"/>
      <c r="J586" s="99"/>
    </row>
    <row r="587" ht="12.75" customHeight="1">
      <c r="E587" s="116"/>
      <c r="F587" s="116"/>
      <c r="G587" s="117"/>
      <c r="H587" s="116"/>
      <c r="J587" s="99"/>
    </row>
    <row r="588" ht="12.75" customHeight="1">
      <c r="E588" s="116"/>
      <c r="F588" s="116"/>
      <c r="G588" s="117"/>
      <c r="H588" s="116"/>
      <c r="J588" s="99"/>
    </row>
    <row r="589" ht="12.75" customHeight="1">
      <c r="E589" s="116"/>
      <c r="F589" s="116"/>
      <c r="G589" s="117"/>
      <c r="H589" s="116"/>
      <c r="J589" s="99"/>
    </row>
    <row r="590" ht="12.75" customHeight="1">
      <c r="E590" s="116"/>
      <c r="F590" s="116"/>
      <c r="G590" s="117"/>
      <c r="H590" s="116"/>
      <c r="J590" s="99"/>
    </row>
    <row r="591" ht="12.75" customHeight="1">
      <c r="E591" s="116"/>
      <c r="F591" s="116"/>
      <c r="G591" s="117"/>
      <c r="H591" s="116"/>
      <c r="J591" s="99"/>
    </row>
    <row r="592" ht="12.75" customHeight="1">
      <c r="E592" s="116"/>
      <c r="F592" s="116"/>
      <c r="G592" s="117"/>
      <c r="H592" s="116"/>
      <c r="J592" s="99"/>
    </row>
    <row r="593" ht="12.75" customHeight="1">
      <c r="E593" s="116"/>
      <c r="F593" s="116"/>
      <c r="G593" s="117"/>
      <c r="H593" s="116"/>
      <c r="J593" s="99"/>
    </row>
    <row r="594" ht="12.75" customHeight="1">
      <c r="E594" s="116"/>
      <c r="F594" s="116"/>
      <c r="G594" s="117"/>
      <c r="H594" s="116"/>
      <c r="J594" s="99"/>
    </row>
    <row r="595" ht="12.75" customHeight="1">
      <c r="E595" s="116"/>
      <c r="F595" s="116"/>
      <c r="G595" s="117"/>
      <c r="H595" s="116"/>
      <c r="J595" s="99"/>
    </row>
    <row r="596" ht="12.75" customHeight="1">
      <c r="E596" s="116"/>
      <c r="F596" s="116"/>
      <c r="G596" s="117"/>
      <c r="H596" s="116"/>
      <c r="J596" s="99"/>
    </row>
    <row r="597" ht="12.75" customHeight="1">
      <c r="E597" s="116"/>
      <c r="F597" s="116"/>
      <c r="G597" s="117"/>
      <c r="H597" s="116"/>
      <c r="J597" s="99"/>
    </row>
    <row r="598" ht="12.75" customHeight="1">
      <c r="E598" s="116"/>
      <c r="F598" s="116"/>
      <c r="G598" s="117"/>
      <c r="H598" s="116"/>
      <c r="J598" s="99"/>
    </row>
    <row r="599" ht="12.75" customHeight="1">
      <c r="E599" s="116"/>
      <c r="F599" s="116"/>
      <c r="G599" s="117"/>
      <c r="H599" s="116"/>
      <c r="J599" s="99"/>
    </row>
    <row r="600" ht="12.75" customHeight="1">
      <c r="E600" s="116"/>
      <c r="F600" s="116"/>
      <c r="G600" s="117"/>
      <c r="H600" s="116"/>
      <c r="J600" s="99"/>
    </row>
    <row r="601" ht="12.75" customHeight="1">
      <c r="E601" s="116"/>
      <c r="F601" s="116"/>
      <c r="G601" s="117"/>
      <c r="H601" s="116"/>
      <c r="J601" s="99"/>
    </row>
    <row r="602" ht="12.75" customHeight="1">
      <c r="E602" s="116"/>
      <c r="F602" s="116"/>
      <c r="G602" s="117"/>
      <c r="H602" s="116"/>
      <c r="J602" s="99"/>
    </row>
    <row r="603" ht="12.75" customHeight="1">
      <c r="E603" s="116"/>
      <c r="F603" s="116"/>
      <c r="G603" s="117"/>
      <c r="H603" s="116"/>
      <c r="J603" s="99"/>
    </row>
    <row r="604" ht="12.75" customHeight="1">
      <c r="E604" s="116"/>
      <c r="F604" s="116"/>
      <c r="G604" s="117"/>
      <c r="H604" s="116"/>
      <c r="J604" s="99"/>
    </row>
    <row r="605" ht="12.75" customHeight="1">
      <c r="E605" s="116"/>
      <c r="F605" s="116"/>
      <c r="G605" s="117"/>
      <c r="H605" s="116"/>
      <c r="J605" s="99"/>
    </row>
    <row r="606" ht="12.75" customHeight="1">
      <c r="E606" s="116"/>
      <c r="F606" s="116"/>
      <c r="G606" s="117"/>
      <c r="H606" s="116"/>
      <c r="J606" s="99"/>
    </row>
    <row r="607" ht="12.75" customHeight="1">
      <c r="E607" s="116"/>
      <c r="F607" s="116"/>
      <c r="G607" s="117"/>
      <c r="H607" s="116"/>
      <c r="J607" s="99"/>
    </row>
    <row r="608" ht="12.75" customHeight="1">
      <c r="E608" s="116"/>
      <c r="F608" s="116"/>
      <c r="G608" s="117"/>
      <c r="H608" s="116"/>
      <c r="J608" s="99"/>
    </row>
    <row r="609" ht="12.75" customHeight="1">
      <c r="E609" s="116"/>
      <c r="F609" s="116"/>
      <c r="G609" s="117"/>
      <c r="H609" s="116"/>
      <c r="J609" s="99"/>
    </row>
    <row r="610" ht="12.75" customHeight="1">
      <c r="E610" s="116"/>
      <c r="F610" s="116"/>
      <c r="G610" s="117"/>
      <c r="H610" s="116"/>
      <c r="J610" s="99"/>
    </row>
    <row r="611" ht="12.75" customHeight="1">
      <c r="E611" s="116"/>
      <c r="F611" s="116"/>
      <c r="G611" s="117"/>
      <c r="H611" s="116"/>
      <c r="J611" s="99"/>
    </row>
    <row r="612" ht="12.75" customHeight="1">
      <c r="E612" s="116"/>
      <c r="F612" s="116"/>
      <c r="G612" s="117"/>
      <c r="H612" s="116"/>
      <c r="J612" s="99"/>
    </row>
    <row r="613" ht="12.75" customHeight="1">
      <c r="E613" s="116"/>
      <c r="F613" s="116"/>
      <c r="G613" s="117"/>
      <c r="H613" s="116"/>
      <c r="J613" s="99"/>
    </row>
    <row r="614" ht="12.75" customHeight="1">
      <c r="E614" s="116"/>
      <c r="F614" s="116"/>
      <c r="G614" s="117"/>
      <c r="H614" s="116"/>
      <c r="J614" s="99"/>
    </row>
    <row r="615" ht="12.75" customHeight="1">
      <c r="E615" s="116"/>
      <c r="F615" s="116"/>
      <c r="G615" s="117"/>
      <c r="H615" s="116"/>
      <c r="J615" s="99"/>
    </row>
    <row r="616" ht="12.75" customHeight="1">
      <c r="E616" s="116"/>
      <c r="F616" s="116"/>
      <c r="G616" s="117"/>
      <c r="H616" s="116"/>
      <c r="J616" s="99"/>
    </row>
    <row r="617" ht="12.75" customHeight="1">
      <c r="E617" s="116"/>
      <c r="F617" s="116"/>
      <c r="G617" s="117"/>
      <c r="H617" s="116"/>
      <c r="J617" s="99"/>
    </row>
    <row r="618" ht="12.75" customHeight="1">
      <c r="E618" s="116"/>
      <c r="F618" s="116"/>
      <c r="G618" s="117"/>
      <c r="H618" s="116"/>
      <c r="J618" s="99"/>
    </row>
    <row r="619" ht="12.75" customHeight="1">
      <c r="E619" s="116"/>
      <c r="F619" s="116"/>
      <c r="G619" s="117"/>
      <c r="H619" s="116"/>
      <c r="J619" s="99"/>
    </row>
    <row r="620" ht="12.75" customHeight="1">
      <c r="E620" s="116"/>
      <c r="F620" s="116"/>
      <c r="G620" s="117"/>
      <c r="H620" s="116"/>
      <c r="J620" s="99"/>
    </row>
    <row r="621" ht="12.75" customHeight="1">
      <c r="E621" s="116"/>
      <c r="F621" s="116"/>
      <c r="G621" s="117"/>
      <c r="H621" s="116"/>
      <c r="J621" s="99"/>
    </row>
    <row r="622" ht="12.75" customHeight="1">
      <c r="E622" s="116"/>
      <c r="F622" s="116"/>
      <c r="G622" s="117"/>
      <c r="H622" s="116"/>
      <c r="J622" s="99"/>
    </row>
    <row r="623" ht="12.75" customHeight="1">
      <c r="E623" s="116"/>
      <c r="F623" s="116"/>
      <c r="G623" s="117"/>
      <c r="H623" s="116"/>
      <c r="J623" s="99"/>
    </row>
    <row r="624" ht="12.75" customHeight="1">
      <c r="E624" s="116"/>
      <c r="F624" s="116"/>
      <c r="G624" s="117"/>
      <c r="H624" s="116"/>
      <c r="J624" s="99"/>
    </row>
    <row r="625" ht="12.75" customHeight="1">
      <c r="E625" s="116"/>
      <c r="F625" s="116"/>
      <c r="G625" s="117"/>
      <c r="H625" s="116"/>
      <c r="J625" s="99"/>
    </row>
    <row r="626" ht="12.75" customHeight="1">
      <c r="E626" s="116"/>
      <c r="F626" s="116"/>
      <c r="G626" s="117"/>
      <c r="H626" s="116"/>
      <c r="J626" s="99"/>
    </row>
    <row r="627" ht="12.75" customHeight="1">
      <c r="E627" s="116"/>
      <c r="F627" s="116"/>
      <c r="G627" s="117"/>
      <c r="H627" s="116"/>
      <c r="J627" s="99"/>
    </row>
    <row r="628" ht="12.75" customHeight="1">
      <c r="E628" s="116"/>
      <c r="F628" s="116"/>
      <c r="G628" s="117"/>
      <c r="H628" s="116"/>
      <c r="J628" s="99"/>
    </row>
    <row r="629" ht="12.75" customHeight="1">
      <c r="E629" s="116"/>
      <c r="F629" s="116"/>
      <c r="G629" s="117"/>
      <c r="H629" s="116"/>
      <c r="J629" s="99"/>
    </row>
    <row r="630" ht="12.75" customHeight="1">
      <c r="E630" s="116"/>
      <c r="F630" s="116"/>
      <c r="G630" s="117"/>
      <c r="H630" s="116"/>
      <c r="J630" s="99"/>
    </row>
    <row r="631" ht="12.75" customHeight="1">
      <c r="E631" s="116"/>
      <c r="F631" s="116"/>
      <c r="G631" s="117"/>
      <c r="H631" s="116"/>
      <c r="J631" s="99"/>
    </row>
    <row r="632" ht="12.75" customHeight="1">
      <c r="E632" s="116"/>
      <c r="F632" s="116"/>
      <c r="G632" s="117"/>
      <c r="H632" s="116"/>
      <c r="J632" s="99"/>
    </row>
    <row r="633" ht="12.75" customHeight="1">
      <c r="E633" s="116"/>
      <c r="F633" s="116"/>
      <c r="G633" s="117"/>
      <c r="H633" s="116"/>
      <c r="J633" s="99"/>
    </row>
    <row r="634" ht="12.75" customHeight="1">
      <c r="E634" s="116"/>
      <c r="F634" s="116"/>
      <c r="G634" s="117"/>
      <c r="H634" s="116"/>
      <c r="J634" s="99"/>
    </row>
    <row r="635" ht="12.75" customHeight="1">
      <c r="E635" s="116"/>
      <c r="F635" s="116"/>
      <c r="G635" s="117"/>
      <c r="H635" s="116"/>
      <c r="J635" s="99"/>
    </row>
    <row r="636" ht="12.75" customHeight="1">
      <c r="E636" s="116"/>
      <c r="F636" s="116"/>
      <c r="G636" s="117"/>
      <c r="H636" s="116"/>
      <c r="J636" s="99"/>
    </row>
    <row r="637" ht="12.75" customHeight="1">
      <c r="E637" s="116"/>
      <c r="F637" s="116"/>
      <c r="G637" s="117"/>
      <c r="H637" s="116"/>
      <c r="J637" s="99"/>
    </row>
    <row r="638" ht="12.75" customHeight="1">
      <c r="E638" s="116"/>
      <c r="F638" s="116"/>
      <c r="G638" s="117"/>
      <c r="H638" s="116"/>
      <c r="J638" s="99"/>
    </row>
    <row r="639" ht="12.75" customHeight="1">
      <c r="E639" s="116"/>
      <c r="F639" s="116"/>
      <c r="G639" s="117"/>
      <c r="H639" s="116"/>
      <c r="J639" s="99"/>
    </row>
    <row r="640" ht="12.75" customHeight="1">
      <c r="E640" s="116"/>
      <c r="F640" s="116"/>
      <c r="G640" s="117"/>
      <c r="H640" s="116"/>
      <c r="J640" s="99"/>
    </row>
    <row r="641" ht="12.75" customHeight="1">
      <c r="E641" s="116"/>
      <c r="F641" s="116"/>
      <c r="G641" s="117"/>
      <c r="H641" s="116"/>
      <c r="J641" s="99"/>
    </row>
    <row r="642" ht="12.75" customHeight="1">
      <c r="E642" s="116"/>
      <c r="F642" s="116"/>
      <c r="G642" s="117"/>
      <c r="H642" s="116"/>
      <c r="J642" s="99"/>
    </row>
    <row r="643" ht="12.75" customHeight="1">
      <c r="E643" s="116"/>
      <c r="F643" s="116"/>
      <c r="G643" s="117"/>
      <c r="H643" s="116"/>
      <c r="J643" s="99"/>
    </row>
    <row r="644" ht="12.75" customHeight="1">
      <c r="E644" s="116"/>
      <c r="F644" s="116"/>
      <c r="G644" s="117"/>
      <c r="H644" s="116"/>
      <c r="J644" s="99"/>
    </row>
    <row r="645" ht="12.75" customHeight="1">
      <c r="E645" s="116"/>
      <c r="F645" s="116"/>
      <c r="G645" s="117"/>
      <c r="H645" s="116"/>
      <c r="J645" s="99"/>
    </row>
    <row r="646" ht="12.75" customHeight="1">
      <c r="E646" s="116"/>
      <c r="F646" s="116"/>
      <c r="G646" s="117"/>
      <c r="H646" s="116"/>
      <c r="J646" s="99"/>
    </row>
    <row r="647" ht="12.75" customHeight="1">
      <c r="E647" s="116"/>
      <c r="F647" s="116"/>
      <c r="G647" s="117"/>
      <c r="H647" s="116"/>
      <c r="J647" s="99"/>
    </row>
    <row r="648" ht="12.75" customHeight="1">
      <c r="E648" s="116"/>
      <c r="F648" s="116"/>
      <c r="G648" s="117"/>
      <c r="H648" s="116"/>
      <c r="J648" s="99"/>
    </row>
    <row r="649" ht="12.75" customHeight="1">
      <c r="E649" s="116"/>
      <c r="F649" s="116"/>
      <c r="G649" s="117"/>
      <c r="H649" s="116"/>
      <c r="J649" s="99"/>
    </row>
    <row r="650" ht="12.75" customHeight="1">
      <c r="E650" s="116"/>
      <c r="F650" s="116"/>
      <c r="G650" s="117"/>
      <c r="H650" s="116"/>
      <c r="J650" s="99"/>
    </row>
    <row r="651" ht="12.75" customHeight="1">
      <c r="E651" s="116"/>
      <c r="F651" s="116"/>
      <c r="G651" s="117"/>
      <c r="H651" s="116"/>
      <c r="J651" s="99"/>
    </row>
    <row r="652" ht="12.75" customHeight="1">
      <c r="E652" s="116"/>
      <c r="F652" s="116"/>
      <c r="G652" s="117"/>
      <c r="H652" s="116"/>
      <c r="J652" s="99"/>
    </row>
    <row r="653" ht="12.75" customHeight="1">
      <c r="E653" s="116"/>
      <c r="F653" s="116"/>
      <c r="G653" s="117"/>
      <c r="H653" s="116"/>
      <c r="J653" s="99"/>
    </row>
    <row r="654" ht="12.75" customHeight="1">
      <c r="E654" s="116"/>
      <c r="F654" s="116"/>
      <c r="G654" s="117"/>
      <c r="H654" s="116"/>
      <c r="J654" s="99"/>
    </row>
    <row r="655" ht="12.75" customHeight="1">
      <c r="E655" s="116"/>
      <c r="F655" s="116"/>
      <c r="G655" s="117"/>
      <c r="H655" s="116"/>
      <c r="J655" s="99"/>
    </row>
    <row r="656" ht="12.75" customHeight="1">
      <c r="E656" s="116"/>
      <c r="F656" s="116"/>
      <c r="G656" s="117"/>
      <c r="H656" s="116"/>
      <c r="J656" s="99"/>
    </row>
    <row r="657" ht="12.75" customHeight="1">
      <c r="E657" s="116"/>
      <c r="F657" s="116"/>
      <c r="G657" s="117"/>
      <c r="H657" s="116"/>
      <c r="J657" s="99"/>
    </row>
    <row r="658" ht="12.75" customHeight="1">
      <c r="E658" s="116"/>
      <c r="F658" s="116"/>
      <c r="G658" s="117"/>
      <c r="H658" s="116"/>
      <c r="J658" s="99"/>
    </row>
    <row r="659" ht="12.75" customHeight="1">
      <c r="E659" s="116"/>
      <c r="F659" s="116"/>
      <c r="G659" s="117"/>
      <c r="H659" s="116"/>
      <c r="J659" s="99"/>
    </row>
    <row r="660" ht="12.75" customHeight="1">
      <c r="E660" s="116"/>
      <c r="F660" s="116"/>
      <c r="G660" s="117"/>
      <c r="H660" s="116"/>
      <c r="J660" s="99"/>
    </row>
    <row r="661" ht="12.75" customHeight="1">
      <c r="E661" s="116"/>
      <c r="F661" s="116"/>
      <c r="G661" s="117"/>
      <c r="H661" s="116"/>
      <c r="J661" s="99"/>
    </row>
    <row r="662" ht="12.75" customHeight="1">
      <c r="E662" s="116"/>
      <c r="F662" s="116"/>
      <c r="G662" s="117"/>
      <c r="H662" s="116"/>
      <c r="J662" s="99"/>
    </row>
    <row r="663" ht="12.75" customHeight="1">
      <c r="E663" s="116"/>
      <c r="F663" s="116"/>
      <c r="G663" s="117"/>
      <c r="H663" s="116"/>
      <c r="J663" s="99"/>
    </row>
    <row r="664" ht="12.75" customHeight="1">
      <c r="E664" s="116"/>
      <c r="F664" s="116"/>
      <c r="G664" s="117"/>
      <c r="H664" s="116"/>
      <c r="J664" s="99"/>
    </row>
    <row r="665" ht="12.75" customHeight="1">
      <c r="E665" s="116"/>
      <c r="F665" s="116"/>
      <c r="G665" s="117"/>
      <c r="H665" s="116"/>
      <c r="J665" s="99"/>
    </row>
    <row r="666" ht="12.75" customHeight="1">
      <c r="E666" s="116"/>
      <c r="F666" s="116"/>
      <c r="G666" s="117"/>
      <c r="H666" s="116"/>
      <c r="J666" s="99"/>
    </row>
    <row r="667" ht="12.75" customHeight="1">
      <c r="E667" s="116"/>
      <c r="F667" s="116"/>
      <c r="G667" s="117"/>
      <c r="H667" s="116"/>
      <c r="J667" s="99"/>
    </row>
    <row r="668" ht="12.75" customHeight="1">
      <c r="E668" s="116"/>
      <c r="F668" s="116"/>
      <c r="G668" s="117"/>
      <c r="H668" s="116"/>
      <c r="J668" s="99"/>
    </row>
    <row r="669" ht="12.75" customHeight="1">
      <c r="E669" s="116"/>
      <c r="F669" s="116"/>
      <c r="G669" s="117"/>
      <c r="H669" s="116"/>
      <c r="J669" s="99"/>
    </row>
    <row r="670" ht="12.75" customHeight="1">
      <c r="E670" s="116"/>
      <c r="F670" s="116"/>
      <c r="G670" s="117"/>
      <c r="H670" s="116"/>
      <c r="J670" s="99"/>
    </row>
    <row r="671" ht="12.75" customHeight="1">
      <c r="E671" s="116"/>
      <c r="F671" s="116"/>
      <c r="G671" s="117"/>
      <c r="H671" s="116"/>
      <c r="J671" s="99"/>
    </row>
    <row r="672" ht="12.75" customHeight="1">
      <c r="E672" s="116"/>
      <c r="F672" s="116"/>
      <c r="G672" s="117"/>
      <c r="H672" s="116"/>
      <c r="J672" s="99"/>
    </row>
    <row r="673" ht="12.75" customHeight="1">
      <c r="E673" s="116"/>
      <c r="F673" s="116"/>
      <c r="G673" s="117"/>
      <c r="H673" s="116"/>
      <c r="J673" s="99"/>
    </row>
    <row r="674" ht="12.75" customHeight="1">
      <c r="E674" s="116"/>
      <c r="F674" s="116"/>
      <c r="G674" s="117"/>
      <c r="H674" s="116"/>
      <c r="J674" s="99"/>
    </row>
    <row r="675" ht="12.75" customHeight="1">
      <c r="E675" s="116"/>
      <c r="F675" s="116"/>
      <c r="G675" s="117"/>
      <c r="H675" s="116"/>
      <c r="J675" s="99"/>
    </row>
    <row r="676" ht="12.75" customHeight="1">
      <c r="E676" s="116"/>
      <c r="F676" s="116"/>
      <c r="G676" s="117"/>
      <c r="H676" s="116"/>
      <c r="J676" s="99"/>
    </row>
    <row r="677" ht="12.75" customHeight="1">
      <c r="E677" s="116"/>
      <c r="F677" s="116"/>
      <c r="G677" s="117"/>
      <c r="H677" s="116"/>
      <c r="J677" s="99"/>
    </row>
    <row r="678" ht="12.75" customHeight="1">
      <c r="E678" s="116"/>
      <c r="F678" s="116"/>
      <c r="G678" s="117"/>
      <c r="H678" s="116"/>
      <c r="J678" s="99"/>
    </row>
    <row r="679" ht="12.75" customHeight="1">
      <c r="E679" s="116"/>
      <c r="F679" s="116"/>
      <c r="G679" s="117"/>
      <c r="H679" s="116"/>
      <c r="J679" s="99"/>
    </row>
    <row r="680" ht="12.75" customHeight="1">
      <c r="E680" s="116"/>
      <c r="F680" s="116"/>
      <c r="G680" s="117"/>
      <c r="H680" s="116"/>
      <c r="J680" s="99"/>
    </row>
    <row r="681" ht="12.75" customHeight="1">
      <c r="E681" s="116"/>
      <c r="F681" s="116"/>
      <c r="G681" s="117"/>
      <c r="H681" s="116"/>
      <c r="J681" s="99"/>
    </row>
    <row r="682" ht="12.75" customHeight="1">
      <c r="E682" s="116"/>
      <c r="F682" s="116"/>
      <c r="G682" s="117"/>
      <c r="H682" s="116"/>
      <c r="J682" s="99"/>
    </row>
    <row r="683" ht="12.75" customHeight="1">
      <c r="E683" s="116"/>
      <c r="F683" s="116"/>
      <c r="G683" s="117"/>
      <c r="H683" s="116"/>
      <c r="J683" s="99"/>
    </row>
    <row r="684" ht="12.75" customHeight="1">
      <c r="E684" s="116"/>
      <c r="F684" s="116"/>
      <c r="G684" s="117"/>
      <c r="H684" s="116"/>
      <c r="J684" s="99"/>
    </row>
    <row r="685" ht="12.75" customHeight="1">
      <c r="E685" s="116"/>
      <c r="F685" s="116"/>
      <c r="G685" s="117"/>
      <c r="H685" s="116"/>
      <c r="J685" s="99"/>
    </row>
    <row r="686" ht="12.75" customHeight="1">
      <c r="E686" s="116"/>
      <c r="F686" s="116"/>
      <c r="G686" s="117"/>
      <c r="H686" s="116"/>
      <c r="J686" s="99"/>
    </row>
    <row r="687" ht="12.75" customHeight="1">
      <c r="E687" s="116"/>
      <c r="F687" s="116"/>
      <c r="G687" s="117"/>
      <c r="H687" s="116"/>
      <c r="J687" s="99"/>
    </row>
    <row r="688" ht="12.75" customHeight="1">
      <c r="E688" s="116"/>
      <c r="F688" s="116"/>
      <c r="G688" s="117"/>
      <c r="H688" s="116"/>
      <c r="J688" s="99"/>
    </row>
    <row r="689" ht="12.75" customHeight="1">
      <c r="E689" s="116"/>
      <c r="F689" s="116"/>
      <c r="G689" s="117"/>
      <c r="H689" s="116"/>
      <c r="J689" s="99"/>
    </row>
    <row r="690" ht="12.75" customHeight="1">
      <c r="E690" s="116"/>
      <c r="F690" s="116"/>
      <c r="G690" s="117"/>
      <c r="H690" s="116"/>
      <c r="J690" s="99"/>
    </row>
    <row r="691" ht="12.75" customHeight="1">
      <c r="E691" s="116"/>
      <c r="F691" s="116"/>
      <c r="G691" s="117"/>
      <c r="H691" s="116"/>
      <c r="J691" s="99"/>
    </row>
    <row r="692" ht="12.75" customHeight="1">
      <c r="E692" s="116"/>
      <c r="F692" s="116"/>
      <c r="G692" s="117"/>
      <c r="H692" s="116"/>
      <c r="J692" s="99"/>
    </row>
    <row r="693" ht="12.75" customHeight="1">
      <c r="E693" s="116"/>
      <c r="F693" s="116"/>
      <c r="G693" s="117"/>
      <c r="H693" s="116"/>
      <c r="J693" s="99"/>
    </row>
    <row r="694" ht="12.75" customHeight="1">
      <c r="E694" s="116"/>
      <c r="F694" s="116"/>
      <c r="G694" s="117"/>
      <c r="H694" s="116"/>
      <c r="J694" s="99"/>
    </row>
    <row r="695" ht="12.75" customHeight="1">
      <c r="E695" s="116"/>
      <c r="F695" s="116"/>
      <c r="G695" s="117"/>
      <c r="H695" s="116"/>
      <c r="J695" s="99"/>
    </row>
    <row r="696" ht="12.75" customHeight="1">
      <c r="E696" s="116"/>
      <c r="F696" s="116"/>
      <c r="G696" s="117"/>
      <c r="H696" s="116"/>
      <c r="J696" s="99"/>
    </row>
    <row r="697" ht="12.75" customHeight="1">
      <c r="E697" s="116"/>
      <c r="F697" s="116"/>
      <c r="G697" s="117"/>
      <c r="H697" s="116"/>
      <c r="J697" s="99"/>
    </row>
    <row r="698" ht="12.75" customHeight="1">
      <c r="E698" s="116"/>
      <c r="F698" s="116"/>
      <c r="G698" s="117"/>
      <c r="H698" s="116"/>
      <c r="J698" s="99"/>
    </row>
    <row r="699" ht="12.75" customHeight="1">
      <c r="E699" s="116"/>
      <c r="F699" s="116"/>
      <c r="G699" s="117"/>
      <c r="H699" s="116"/>
      <c r="J699" s="99"/>
    </row>
    <row r="700" ht="12.75" customHeight="1">
      <c r="E700" s="116"/>
      <c r="F700" s="116"/>
      <c r="G700" s="117"/>
      <c r="H700" s="116"/>
      <c r="J700" s="99"/>
    </row>
    <row r="701" ht="12.75" customHeight="1">
      <c r="E701" s="116"/>
      <c r="F701" s="116"/>
      <c r="G701" s="117"/>
      <c r="H701" s="116"/>
      <c r="J701" s="99"/>
    </row>
    <row r="702" ht="12.75" customHeight="1">
      <c r="E702" s="116"/>
      <c r="F702" s="116"/>
      <c r="G702" s="117"/>
      <c r="H702" s="116"/>
      <c r="J702" s="99"/>
    </row>
    <row r="703" ht="12.75" customHeight="1">
      <c r="E703" s="116"/>
      <c r="F703" s="116"/>
      <c r="G703" s="117"/>
      <c r="H703" s="116"/>
      <c r="J703" s="99"/>
    </row>
    <row r="704" ht="12.75" customHeight="1">
      <c r="E704" s="116"/>
      <c r="F704" s="116"/>
      <c r="G704" s="117"/>
      <c r="H704" s="116"/>
      <c r="J704" s="99"/>
    </row>
    <row r="705" ht="12.75" customHeight="1">
      <c r="E705" s="116"/>
      <c r="F705" s="116"/>
      <c r="G705" s="117"/>
      <c r="H705" s="116"/>
      <c r="J705" s="99"/>
    </row>
    <row r="706" ht="12.75" customHeight="1">
      <c r="E706" s="116"/>
      <c r="F706" s="116"/>
      <c r="G706" s="117"/>
      <c r="H706" s="116"/>
      <c r="J706" s="99"/>
    </row>
    <row r="707" ht="12.75" customHeight="1">
      <c r="E707" s="116"/>
      <c r="F707" s="116"/>
      <c r="G707" s="117"/>
      <c r="H707" s="116"/>
      <c r="J707" s="99"/>
    </row>
    <row r="708" ht="12.75" customHeight="1">
      <c r="E708" s="116"/>
      <c r="F708" s="116"/>
      <c r="G708" s="117"/>
      <c r="H708" s="116"/>
      <c r="J708" s="99"/>
    </row>
    <row r="709" ht="12.75" customHeight="1">
      <c r="E709" s="116"/>
      <c r="F709" s="116"/>
      <c r="G709" s="117"/>
      <c r="H709" s="116"/>
      <c r="J709" s="99"/>
    </row>
    <row r="710" ht="12.75" customHeight="1">
      <c r="E710" s="116"/>
      <c r="F710" s="116"/>
      <c r="G710" s="117"/>
      <c r="H710" s="116"/>
      <c r="J710" s="99"/>
    </row>
    <row r="711" ht="12.75" customHeight="1">
      <c r="E711" s="116"/>
      <c r="F711" s="116"/>
      <c r="G711" s="117"/>
      <c r="H711" s="116"/>
      <c r="J711" s="99"/>
    </row>
    <row r="712" ht="12.75" customHeight="1">
      <c r="E712" s="116"/>
      <c r="F712" s="116"/>
      <c r="G712" s="117"/>
      <c r="H712" s="116"/>
      <c r="J712" s="99"/>
    </row>
    <row r="713" ht="12.75" customHeight="1">
      <c r="E713" s="116"/>
      <c r="F713" s="116"/>
      <c r="G713" s="117"/>
      <c r="H713" s="116"/>
      <c r="J713" s="99"/>
    </row>
    <row r="714" ht="12.75" customHeight="1">
      <c r="E714" s="116"/>
      <c r="F714" s="116"/>
      <c r="G714" s="117"/>
      <c r="H714" s="116"/>
      <c r="J714" s="99"/>
    </row>
    <row r="715" ht="12.75" customHeight="1">
      <c r="E715" s="116"/>
      <c r="F715" s="116"/>
      <c r="G715" s="117"/>
      <c r="H715" s="116"/>
      <c r="J715" s="99"/>
    </row>
    <row r="716" ht="12.75" customHeight="1">
      <c r="E716" s="116"/>
      <c r="F716" s="116"/>
      <c r="G716" s="117"/>
      <c r="H716" s="116"/>
      <c r="J716" s="99"/>
    </row>
    <row r="717" ht="12.75" customHeight="1">
      <c r="E717" s="116"/>
      <c r="F717" s="116"/>
      <c r="G717" s="117"/>
      <c r="H717" s="116"/>
      <c r="J717" s="99"/>
    </row>
    <row r="718" ht="12.75" customHeight="1">
      <c r="E718" s="116"/>
      <c r="F718" s="116"/>
      <c r="G718" s="117"/>
      <c r="H718" s="116"/>
      <c r="J718" s="99"/>
    </row>
    <row r="719" ht="12.75" customHeight="1">
      <c r="E719" s="116"/>
      <c r="F719" s="116"/>
      <c r="G719" s="117"/>
      <c r="H719" s="116"/>
      <c r="J719" s="99"/>
    </row>
    <row r="720" ht="12.75" customHeight="1">
      <c r="E720" s="116"/>
      <c r="F720" s="116"/>
      <c r="G720" s="117"/>
      <c r="H720" s="116"/>
      <c r="J720" s="99"/>
    </row>
    <row r="721" ht="12.75" customHeight="1">
      <c r="E721" s="116"/>
      <c r="F721" s="116"/>
      <c r="G721" s="117"/>
      <c r="H721" s="116"/>
      <c r="J721" s="99"/>
    </row>
    <row r="722" ht="12.75" customHeight="1">
      <c r="E722" s="116"/>
      <c r="F722" s="116"/>
      <c r="G722" s="117"/>
      <c r="H722" s="116"/>
      <c r="J722" s="99"/>
    </row>
    <row r="723" ht="12.75" customHeight="1">
      <c r="E723" s="116"/>
      <c r="F723" s="116"/>
      <c r="G723" s="117"/>
      <c r="H723" s="116"/>
      <c r="J723" s="99"/>
    </row>
    <row r="724" ht="12.75" customHeight="1">
      <c r="E724" s="116"/>
      <c r="F724" s="116"/>
      <c r="G724" s="117"/>
      <c r="H724" s="116"/>
      <c r="J724" s="99"/>
    </row>
    <row r="725" ht="12.75" customHeight="1">
      <c r="E725" s="116"/>
      <c r="F725" s="116"/>
      <c r="G725" s="117"/>
      <c r="H725" s="116"/>
      <c r="J725" s="99"/>
    </row>
    <row r="726" ht="12.75" customHeight="1">
      <c r="E726" s="116"/>
      <c r="F726" s="116"/>
      <c r="G726" s="117"/>
      <c r="H726" s="116"/>
      <c r="J726" s="99"/>
    </row>
    <row r="727" ht="12.75" customHeight="1">
      <c r="E727" s="116"/>
      <c r="F727" s="116"/>
      <c r="G727" s="117"/>
      <c r="H727" s="116"/>
      <c r="J727" s="99"/>
    </row>
    <row r="728" ht="12.75" customHeight="1">
      <c r="E728" s="116"/>
      <c r="F728" s="116"/>
      <c r="G728" s="117"/>
      <c r="H728" s="116"/>
      <c r="J728" s="99"/>
    </row>
    <row r="729" ht="12.75" customHeight="1">
      <c r="E729" s="116"/>
      <c r="F729" s="116"/>
      <c r="G729" s="117"/>
      <c r="H729" s="116"/>
      <c r="J729" s="99"/>
    </row>
    <row r="730" ht="12.75" customHeight="1">
      <c r="E730" s="116"/>
      <c r="F730" s="116"/>
      <c r="G730" s="117"/>
      <c r="H730" s="116"/>
      <c r="J730" s="99"/>
    </row>
    <row r="731" ht="12.75" customHeight="1">
      <c r="E731" s="116"/>
      <c r="F731" s="116"/>
      <c r="G731" s="117"/>
      <c r="H731" s="116"/>
      <c r="J731" s="99"/>
    </row>
    <row r="732" ht="12.75" customHeight="1">
      <c r="E732" s="116"/>
      <c r="F732" s="116"/>
      <c r="G732" s="117"/>
      <c r="H732" s="116"/>
      <c r="J732" s="99"/>
    </row>
    <row r="733" ht="12.75" customHeight="1">
      <c r="E733" s="116"/>
      <c r="F733" s="116"/>
      <c r="G733" s="117"/>
      <c r="H733" s="116"/>
      <c r="J733" s="99"/>
    </row>
    <row r="734" ht="12.75" customHeight="1">
      <c r="E734" s="116"/>
      <c r="F734" s="116"/>
      <c r="G734" s="117"/>
      <c r="H734" s="116"/>
      <c r="J734" s="99"/>
    </row>
    <row r="735" ht="12.75" customHeight="1">
      <c r="E735" s="116"/>
      <c r="F735" s="116"/>
      <c r="G735" s="117"/>
      <c r="H735" s="116"/>
      <c r="J735" s="99"/>
    </row>
    <row r="736" ht="12.75" customHeight="1">
      <c r="E736" s="116"/>
      <c r="F736" s="116"/>
      <c r="G736" s="117"/>
      <c r="H736" s="116"/>
      <c r="J736" s="99"/>
    </row>
    <row r="737" ht="12.75" customHeight="1">
      <c r="E737" s="116"/>
      <c r="F737" s="116"/>
      <c r="G737" s="117"/>
      <c r="H737" s="116"/>
      <c r="J737" s="99"/>
    </row>
    <row r="738" ht="12.75" customHeight="1">
      <c r="E738" s="116"/>
      <c r="F738" s="116"/>
      <c r="G738" s="117"/>
      <c r="H738" s="116"/>
      <c r="J738" s="99"/>
    </row>
    <row r="739" ht="12.75" customHeight="1">
      <c r="E739" s="116"/>
      <c r="F739" s="116"/>
      <c r="G739" s="117"/>
      <c r="H739" s="116"/>
      <c r="J739" s="99"/>
    </row>
    <row r="740" ht="12.75" customHeight="1">
      <c r="E740" s="116"/>
      <c r="F740" s="116"/>
      <c r="G740" s="117"/>
      <c r="H740" s="116"/>
      <c r="J740" s="99"/>
    </row>
    <row r="741" ht="12.75" customHeight="1">
      <c r="E741" s="116"/>
      <c r="F741" s="116"/>
      <c r="G741" s="117"/>
      <c r="H741" s="116"/>
      <c r="J741" s="99"/>
    </row>
    <row r="742" ht="12.75" customHeight="1">
      <c r="E742" s="116"/>
      <c r="F742" s="116"/>
      <c r="G742" s="117"/>
      <c r="H742" s="116"/>
      <c r="J742" s="99"/>
    </row>
    <row r="743" ht="12.75" customHeight="1">
      <c r="E743" s="116"/>
      <c r="F743" s="116"/>
      <c r="G743" s="117"/>
      <c r="H743" s="116"/>
      <c r="J743" s="99"/>
    </row>
    <row r="744" ht="12.75" customHeight="1">
      <c r="E744" s="116"/>
      <c r="F744" s="116"/>
      <c r="G744" s="117"/>
      <c r="H744" s="116"/>
      <c r="J744" s="99"/>
    </row>
    <row r="745" ht="12.75" customHeight="1">
      <c r="E745" s="116"/>
      <c r="F745" s="116"/>
      <c r="G745" s="117"/>
      <c r="H745" s="116"/>
      <c r="J745" s="99"/>
    </row>
    <row r="746" ht="12.75" customHeight="1">
      <c r="E746" s="116"/>
      <c r="F746" s="116"/>
      <c r="G746" s="117"/>
      <c r="H746" s="116"/>
      <c r="J746" s="99"/>
    </row>
    <row r="747" ht="12.75" customHeight="1">
      <c r="E747" s="116"/>
      <c r="F747" s="116"/>
      <c r="G747" s="117"/>
      <c r="H747" s="116"/>
      <c r="J747" s="99"/>
    </row>
    <row r="748" ht="12.75" customHeight="1">
      <c r="E748" s="116"/>
      <c r="F748" s="116"/>
      <c r="G748" s="117"/>
      <c r="H748" s="116"/>
      <c r="J748" s="99"/>
    </row>
    <row r="749" ht="12.75" customHeight="1">
      <c r="E749" s="116"/>
      <c r="F749" s="116"/>
      <c r="G749" s="117"/>
      <c r="H749" s="116"/>
      <c r="J749" s="99"/>
    </row>
    <row r="750" ht="12.75" customHeight="1">
      <c r="E750" s="116"/>
      <c r="F750" s="116"/>
      <c r="G750" s="117"/>
      <c r="H750" s="116"/>
      <c r="J750" s="99"/>
    </row>
    <row r="751" ht="12.75" customHeight="1">
      <c r="E751" s="116"/>
      <c r="F751" s="116"/>
      <c r="G751" s="117"/>
      <c r="H751" s="116"/>
      <c r="J751" s="99"/>
    </row>
    <row r="752" ht="12.75" customHeight="1">
      <c r="E752" s="116"/>
      <c r="F752" s="116"/>
      <c r="G752" s="117"/>
      <c r="H752" s="116"/>
      <c r="J752" s="99"/>
    </row>
    <row r="753" ht="12.75" customHeight="1">
      <c r="E753" s="116"/>
      <c r="F753" s="116"/>
      <c r="G753" s="117"/>
      <c r="H753" s="116"/>
      <c r="J753" s="99"/>
    </row>
    <row r="754" ht="12.75" customHeight="1">
      <c r="E754" s="116"/>
      <c r="F754" s="116"/>
      <c r="G754" s="117"/>
      <c r="H754" s="116"/>
      <c r="J754" s="99"/>
    </row>
    <row r="755" ht="12.75" customHeight="1">
      <c r="E755" s="116"/>
      <c r="F755" s="116"/>
      <c r="G755" s="117"/>
      <c r="H755" s="116"/>
      <c r="J755" s="99"/>
    </row>
    <row r="756" ht="12.75" customHeight="1">
      <c r="E756" s="116"/>
      <c r="F756" s="116"/>
      <c r="G756" s="117"/>
      <c r="H756" s="116"/>
      <c r="J756" s="99"/>
    </row>
    <row r="757" ht="12.75" customHeight="1">
      <c r="E757" s="116"/>
      <c r="F757" s="116"/>
      <c r="G757" s="117"/>
      <c r="H757" s="116"/>
      <c r="J757" s="99"/>
    </row>
    <row r="758" ht="12.75" customHeight="1">
      <c r="E758" s="116"/>
      <c r="F758" s="116"/>
      <c r="G758" s="117"/>
      <c r="H758" s="116"/>
      <c r="J758" s="99"/>
    </row>
    <row r="759" ht="12.75" customHeight="1">
      <c r="E759" s="116"/>
      <c r="F759" s="116"/>
      <c r="G759" s="117"/>
      <c r="H759" s="116"/>
      <c r="J759" s="99"/>
    </row>
    <row r="760" ht="12.75" customHeight="1">
      <c r="E760" s="116"/>
      <c r="F760" s="116"/>
      <c r="G760" s="117"/>
      <c r="H760" s="116"/>
      <c r="J760" s="99"/>
    </row>
    <row r="761" ht="12.75" customHeight="1">
      <c r="E761" s="116"/>
      <c r="F761" s="116"/>
      <c r="G761" s="117"/>
      <c r="H761" s="116"/>
      <c r="J761" s="99"/>
    </row>
    <row r="762" ht="12.75" customHeight="1">
      <c r="E762" s="116"/>
      <c r="F762" s="116"/>
      <c r="G762" s="117"/>
      <c r="H762" s="116"/>
      <c r="J762" s="99"/>
    </row>
    <row r="763" ht="12.75" customHeight="1">
      <c r="E763" s="116"/>
      <c r="F763" s="116"/>
      <c r="G763" s="117"/>
      <c r="H763" s="116"/>
      <c r="J763" s="99"/>
    </row>
    <row r="764" ht="12.75" customHeight="1">
      <c r="E764" s="116"/>
      <c r="F764" s="116"/>
      <c r="G764" s="117"/>
      <c r="H764" s="116"/>
      <c r="J764" s="99"/>
    </row>
    <row r="765" ht="12.75" customHeight="1">
      <c r="E765" s="116"/>
      <c r="F765" s="116"/>
      <c r="G765" s="117"/>
      <c r="H765" s="116"/>
      <c r="J765" s="99"/>
    </row>
    <row r="766" ht="12.75" customHeight="1">
      <c r="E766" s="116"/>
      <c r="F766" s="116"/>
      <c r="G766" s="117"/>
      <c r="H766" s="116"/>
      <c r="J766" s="99"/>
    </row>
    <row r="767" ht="12.75" customHeight="1">
      <c r="E767" s="116"/>
      <c r="F767" s="116"/>
      <c r="G767" s="117"/>
      <c r="H767" s="116"/>
      <c r="J767" s="99"/>
    </row>
    <row r="768" ht="12.75" customHeight="1">
      <c r="E768" s="116"/>
      <c r="F768" s="116"/>
      <c r="G768" s="117"/>
      <c r="H768" s="116"/>
      <c r="J768" s="99"/>
    </row>
    <row r="769" ht="12.75" customHeight="1">
      <c r="E769" s="116"/>
      <c r="F769" s="116"/>
      <c r="G769" s="117"/>
      <c r="H769" s="116"/>
      <c r="J769" s="99"/>
    </row>
    <row r="770" ht="12.75" customHeight="1">
      <c r="E770" s="116"/>
      <c r="F770" s="116"/>
      <c r="G770" s="117"/>
      <c r="H770" s="116"/>
      <c r="J770" s="99"/>
    </row>
    <row r="771" ht="12.75" customHeight="1">
      <c r="E771" s="116"/>
      <c r="F771" s="116"/>
      <c r="G771" s="117"/>
      <c r="H771" s="116"/>
      <c r="J771" s="99"/>
    </row>
    <row r="772" ht="12.75" customHeight="1">
      <c r="E772" s="116"/>
      <c r="F772" s="116"/>
      <c r="G772" s="117"/>
      <c r="H772" s="116"/>
      <c r="J772" s="99"/>
    </row>
    <row r="773" ht="12.75" customHeight="1">
      <c r="E773" s="116"/>
      <c r="F773" s="116"/>
      <c r="G773" s="117"/>
      <c r="H773" s="116"/>
      <c r="J773" s="99"/>
    </row>
    <row r="774" ht="12.75" customHeight="1">
      <c r="E774" s="116"/>
      <c r="F774" s="116"/>
      <c r="G774" s="117"/>
      <c r="H774" s="116"/>
      <c r="J774" s="99"/>
    </row>
    <row r="775" ht="12.75" customHeight="1">
      <c r="E775" s="116"/>
      <c r="F775" s="116"/>
      <c r="G775" s="117"/>
      <c r="H775" s="116"/>
      <c r="J775" s="99"/>
    </row>
    <row r="776" ht="12.75" customHeight="1">
      <c r="E776" s="116"/>
      <c r="F776" s="116"/>
      <c r="G776" s="117"/>
      <c r="H776" s="116"/>
      <c r="J776" s="99"/>
    </row>
    <row r="777" ht="12.75" customHeight="1">
      <c r="E777" s="116"/>
      <c r="F777" s="116"/>
      <c r="G777" s="117"/>
      <c r="H777" s="116"/>
      <c r="J777" s="99"/>
    </row>
    <row r="778" ht="12.75" customHeight="1">
      <c r="E778" s="116"/>
      <c r="F778" s="116"/>
      <c r="G778" s="117"/>
      <c r="H778" s="116"/>
      <c r="J778" s="99"/>
    </row>
    <row r="779" ht="12.75" customHeight="1">
      <c r="E779" s="116"/>
      <c r="F779" s="116"/>
      <c r="G779" s="117"/>
      <c r="H779" s="116"/>
      <c r="J779" s="99"/>
    </row>
    <row r="780" ht="12.75" customHeight="1">
      <c r="E780" s="116"/>
      <c r="F780" s="116"/>
      <c r="G780" s="117"/>
      <c r="H780" s="116"/>
      <c r="J780" s="99"/>
    </row>
    <row r="781" ht="12.75" customHeight="1">
      <c r="E781" s="116"/>
      <c r="F781" s="116"/>
      <c r="G781" s="117"/>
      <c r="H781" s="116"/>
      <c r="J781" s="99"/>
    </row>
    <row r="782" ht="12.75" customHeight="1">
      <c r="E782" s="116"/>
      <c r="F782" s="116"/>
      <c r="G782" s="117"/>
      <c r="H782" s="116"/>
      <c r="J782" s="99"/>
    </row>
    <row r="783" ht="12.75" customHeight="1">
      <c r="E783" s="116"/>
      <c r="F783" s="116"/>
      <c r="G783" s="117"/>
      <c r="H783" s="116"/>
      <c r="J783" s="99"/>
    </row>
    <row r="784" ht="12.75" customHeight="1">
      <c r="E784" s="116"/>
      <c r="F784" s="116"/>
      <c r="G784" s="117"/>
      <c r="H784" s="116"/>
      <c r="J784" s="99"/>
    </row>
    <row r="785" ht="12.75" customHeight="1">
      <c r="E785" s="116"/>
      <c r="F785" s="116"/>
      <c r="G785" s="117"/>
      <c r="H785" s="116"/>
      <c r="J785" s="99"/>
    </row>
    <row r="786" ht="12.75" customHeight="1">
      <c r="E786" s="116"/>
      <c r="F786" s="116"/>
      <c r="G786" s="117"/>
      <c r="H786" s="116"/>
      <c r="J786" s="99"/>
    </row>
    <row r="787" ht="12.75" customHeight="1">
      <c r="E787" s="116"/>
      <c r="F787" s="116"/>
      <c r="G787" s="117"/>
      <c r="H787" s="116"/>
      <c r="J787" s="99"/>
    </row>
    <row r="788" ht="12.75" customHeight="1">
      <c r="E788" s="116"/>
      <c r="F788" s="116"/>
      <c r="G788" s="117"/>
      <c r="H788" s="116"/>
      <c r="J788" s="99"/>
    </row>
    <row r="789" ht="12.75" customHeight="1">
      <c r="E789" s="116"/>
      <c r="F789" s="116"/>
      <c r="G789" s="117"/>
      <c r="H789" s="116"/>
      <c r="J789" s="99"/>
    </row>
    <row r="790" ht="12.75" customHeight="1">
      <c r="E790" s="116"/>
      <c r="F790" s="116"/>
      <c r="G790" s="117"/>
      <c r="H790" s="116"/>
      <c r="J790" s="99"/>
    </row>
    <row r="791" ht="12.75" customHeight="1">
      <c r="E791" s="116"/>
      <c r="F791" s="116"/>
      <c r="G791" s="117"/>
      <c r="H791" s="116"/>
      <c r="J791" s="99"/>
    </row>
    <row r="792" ht="12.75" customHeight="1">
      <c r="E792" s="116"/>
      <c r="F792" s="116"/>
      <c r="G792" s="117"/>
      <c r="H792" s="116"/>
      <c r="J792" s="99"/>
    </row>
    <row r="793" ht="12.75" customHeight="1">
      <c r="E793" s="116"/>
      <c r="F793" s="116"/>
      <c r="G793" s="117"/>
      <c r="H793" s="116"/>
      <c r="J793" s="99"/>
    </row>
    <row r="794" ht="12.75" customHeight="1">
      <c r="E794" s="116"/>
      <c r="F794" s="116"/>
      <c r="G794" s="117"/>
      <c r="H794" s="116"/>
      <c r="J794" s="99"/>
    </row>
    <row r="795" ht="12.75" customHeight="1">
      <c r="E795" s="116"/>
      <c r="F795" s="116"/>
      <c r="G795" s="117"/>
      <c r="H795" s="116"/>
      <c r="J795" s="99"/>
    </row>
    <row r="796" ht="12.75" customHeight="1">
      <c r="E796" s="116"/>
      <c r="F796" s="116"/>
      <c r="G796" s="117"/>
      <c r="H796" s="116"/>
      <c r="J796" s="99"/>
    </row>
    <row r="797" ht="12.75" customHeight="1">
      <c r="E797" s="116"/>
      <c r="F797" s="116"/>
      <c r="G797" s="117"/>
      <c r="H797" s="116"/>
      <c r="J797" s="99"/>
    </row>
    <row r="798" ht="12.75" customHeight="1">
      <c r="E798" s="116"/>
      <c r="F798" s="116"/>
      <c r="G798" s="117"/>
      <c r="H798" s="116"/>
      <c r="J798" s="99"/>
    </row>
    <row r="799" ht="12.75" customHeight="1">
      <c r="E799" s="116"/>
      <c r="F799" s="116"/>
      <c r="G799" s="117"/>
      <c r="H799" s="116"/>
      <c r="J799" s="99"/>
    </row>
    <row r="800" ht="12.75" customHeight="1">
      <c r="E800" s="116"/>
      <c r="F800" s="116"/>
      <c r="G800" s="117"/>
      <c r="H800" s="116"/>
      <c r="J800" s="99"/>
    </row>
    <row r="801" ht="12.75" customHeight="1">
      <c r="E801" s="116"/>
      <c r="F801" s="116"/>
      <c r="G801" s="117"/>
      <c r="H801" s="116"/>
      <c r="J801" s="99"/>
    </row>
    <row r="802" ht="12.75" customHeight="1">
      <c r="E802" s="116"/>
      <c r="F802" s="116"/>
      <c r="G802" s="117"/>
      <c r="H802" s="116"/>
      <c r="J802" s="99"/>
    </row>
    <row r="803" ht="12.75" customHeight="1">
      <c r="E803" s="116"/>
      <c r="F803" s="116"/>
      <c r="G803" s="117"/>
      <c r="H803" s="116"/>
      <c r="J803" s="99"/>
    </row>
    <row r="804" ht="12.75" customHeight="1">
      <c r="E804" s="116"/>
      <c r="F804" s="116"/>
      <c r="G804" s="117"/>
      <c r="H804" s="116"/>
      <c r="J804" s="99"/>
    </row>
    <row r="805" ht="12.75" customHeight="1">
      <c r="E805" s="116"/>
      <c r="F805" s="116"/>
      <c r="G805" s="117"/>
      <c r="H805" s="116"/>
      <c r="J805" s="99"/>
    </row>
    <row r="806" ht="12.75" customHeight="1">
      <c r="E806" s="116"/>
      <c r="F806" s="116"/>
      <c r="G806" s="117"/>
      <c r="H806" s="116"/>
      <c r="J806" s="99"/>
    </row>
    <row r="807" ht="12.75" customHeight="1">
      <c r="E807" s="116"/>
      <c r="F807" s="116"/>
      <c r="G807" s="117"/>
      <c r="H807" s="116"/>
      <c r="J807" s="99"/>
    </row>
    <row r="808" ht="12.75" customHeight="1">
      <c r="E808" s="116"/>
      <c r="F808" s="116"/>
      <c r="G808" s="117"/>
      <c r="H808" s="116"/>
      <c r="J808" s="99"/>
    </row>
    <row r="809" ht="12.75" customHeight="1">
      <c r="E809" s="116"/>
      <c r="F809" s="116"/>
      <c r="G809" s="117"/>
      <c r="H809" s="116"/>
      <c r="J809" s="99"/>
    </row>
    <row r="810" ht="12.75" customHeight="1">
      <c r="E810" s="116"/>
      <c r="F810" s="116"/>
      <c r="G810" s="117"/>
      <c r="H810" s="116"/>
      <c r="J810" s="99"/>
    </row>
    <row r="811" ht="12.75" customHeight="1">
      <c r="E811" s="116"/>
      <c r="F811" s="116"/>
      <c r="G811" s="117"/>
      <c r="H811" s="116"/>
      <c r="J811" s="99"/>
    </row>
    <row r="812" ht="12.75" customHeight="1">
      <c r="E812" s="116"/>
      <c r="F812" s="116"/>
      <c r="G812" s="117"/>
      <c r="H812" s="116"/>
      <c r="J812" s="99"/>
    </row>
    <row r="813" ht="12.75" customHeight="1">
      <c r="E813" s="116"/>
      <c r="F813" s="116"/>
      <c r="G813" s="117"/>
      <c r="H813" s="116"/>
      <c r="J813" s="99"/>
    </row>
    <row r="814" ht="12.75" customHeight="1">
      <c r="E814" s="116"/>
      <c r="F814" s="116"/>
      <c r="G814" s="117"/>
      <c r="H814" s="116"/>
      <c r="J814" s="99"/>
    </row>
    <row r="815" ht="12.75" customHeight="1">
      <c r="E815" s="116"/>
      <c r="F815" s="116"/>
      <c r="G815" s="117"/>
      <c r="H815" s="116"/>
      <c r="J815" s="99"/>
    </row>
    <row r="816" ht="12.75" customHeight="1">
      <c r="E816" s="116"/>
      <c r="F816" s="116"/>
      <c r="G816" s="117"/>
      <c r="H816" s="116"/>
      <c r="J816" s="99"/>
    </row>
    <row r="817" ht="12.75" customHeight="1">
      <c r="E817" s="116"/>
      <c r="F817" s="116"/>
      <c r="G817" s="117"/>
      <c r="H817" s="116"/>
      <c r="J817" s="99"/>
    </row>
    <row r="818" ht="12.75" customHeight="1">
      <c r="E818" s="116"/>
      <c r="F818" s="116"/>
      <c r="G818" s="117"/>
      <c r="H818" s="116"/>
      <c r="J818" s="99"/>
    </row>
    <row r="819" ht="12.75" customHeight="1">
      <c r="E819" s="116"/>
      <c r="F819" s="116"/>
      <c r="G819" s="117"/>
      <c r="H819" s="116"/>
      <c r="J819" s="99"/>
    </row>
    <row r="820" ht="12.75" customHeight="1">
      <c r="E820" s="116"/>
      <c r="F820" s="116"/>
      <c r="G820" s="117"/>
      <c r="H820" s="116"/>
      <c r="J820" s="99"/>
    </row>
    <row r="821" ht="12.75" customHeight="1">
      <c r="E821" s="116"/>
      <c r="F821" s="116"/>
      <c r="G821" s="117"/>
      <c r="H821" s="116"/>
      <c r="J821" s="99"/>
    </row>
    <row r="822" ht="12.75" customHeight="1">
      <c r="E822" s="116"/>
      <c r="F822" s="116"/>
      <c r="G822" s="117"/>
      <c r="H822" s="116"/>
      <c r="J822" s="99"/>
    </row>
    <row r="823" ht="12.75" customHeight="1">
      <c r="E823" s="116"/>
      <c r="F823" s="116"/>
      <c r="G823" s="117"/>
      <c r="H823" s="116"/>
      <c r="J823" s="99"/>
    </row>
    <row r="824" ht="12.75" customHeight="1">
      <c r="E824" s="116"/>
      <c r="F824" s="116"/>
      <c r="G824" s="117"/>
      <c r="H824" s="116"/>
      <c r="J824" s="99"/>
    </row>
    <row r="825" ht="12.75" customHeight="1">
      <c r="E825" s="116"/>
      <c r="F825" s="116"/>
      <c r="G825" s="117"/>
      <c r="H825" s="116"/>
      <c r="J825" s="99"/>
    </row>
    <row r="826" ht="12.75" customHeight="1">
      <c r="E826" s="116"/>
      <c r="F826" s="116"/>
      <c r="G826" s="117"/>
      <c r="H826" s="116"/>
      <c r="J826" s="99"/>
    </row>
    <row r="827" ht="12.75" customHeight="1">
      <c r="E827" s="116"/>
      <c r="F827" s="116"/>
      <c r="G827" s="117"/>
      <c r="H827" s="116"/>
      <c r="J827" s="99"/>
    </row>
    <row r="828" ht="12.75" customHeight="1">
      <c r="E828" s="116"/>
      <c r="F828" s="116"/>
      <c r="G828" s="117"/>
      <c r="H828" s="116"/>
      <c r="J828" s="99"/>
    </row>
    <row r="829" ht="12.75" customHeight="1">
      <c r="E829" s="116"/>
      <c r="F829" s="116"/>
      <c r="G829" s="117"/>
      <c r="H829" s="116"/>
      <c r="J829" s="99"/>
    </row>
    <row r="830" ht="12.75" customHeight="1">
      <c r="E830" s="116"/>
      <c r="F830" s="116"/>
      <c r="G830" s="117"/>
      <c r="H830" s="116"/>
      <c r="J830" s="99"/>
    </row>
    <row r="831" ht="12.75" customHeight="1">
      <c r="E831" s="116"/>
      <c r="F831" s="116"/>
      <c r="G831" s="117"/>
      <c r="H831" s="116"/>
      <c r="J831" s="99"/>
    </row>
    <row r="832" ht="12.75" customHeight="1">
      <c r="E832" s="116"/>
      <c r="F832" s="116"/>
      <c r="G832" s="117"/>
      <c r="H832" s="116"/>
      <c r="J832" s="99"/>
    </row>
    <row r="833" ht="12.75" customHeight="1">
      <c r="E833" s="116"/>
      <c r="F833" s="116"/>
      <c r="G833" s="117"/>
      <c r="H833" s="116"/>
      <c r="J833" s="99"/>
    </row>
    <row r="834" ht="12.75" customHeight="1">
      <c r="E834" s="116"/>
      <c r="F834" s="116"/>
      <c r="G834" s="117"/>
      <c r="H834" s="116"/>
      <c r="J834" s="99"/>
    </row>
    <row r="835" ht="12.75" customHeight="1">
      <c r="E835" s="116"/>
      <c r="F835" s="116"/>
      <c r="G835" s="117"/>
      <c r="H835" s="116"/>
      <c r="J835" s="99"/>
    </row>
    <row r="836" ht="12.75" customHeight="1">
      <c r="E836" s="116"/>
      <c r="F836" s="116"/>
      <c r="G836" s="117"/>
      <c r="H836" s="116"/>
      <c r="J836" s="99"/>
    </row>
    <row r="837" ht="12.75" customHeight="1">
      <c r="E837" s="116"/>
      <c r="F837" s="116"/>
      <c r="G837" s="117"/>
      <c r="H837" s="116"/>
      <c r="J837" s="99"/>
    </row>
    <row r="838" ht="12.75" customHeight="1">
      <c r="E838" s="116"/>
      <c r="F838" s="116"/>
      <c r="G838" s="117"/>
      <c r="H838" s="116"/>
      <c r="J838" s="99"/>
    </row>
    <row r="839" ht="12.75" customHeight="1">
      <c r="E839" s="116"/>
      <c r="F839" s="116"/>
      <c r="G839" s="117"/>
      <c r="H839" s="116"/>
      <c r="J839" s="99"/>
    </row>
    <row r="840" ht="12.75" customHeight="1">
      <c r="E840" s="116"/>
      <c r="F840" s="116"/>
      <c r="G840" s="117"/>
      <c r="H840" s="116"/>
      <c r="J840" s="99"/>
    </row>
    <row r="841" ht="12.75" customHeight="1">
      <c r="E841" s="116"/>
      <c r="F841" s="116"/>
      <c r="G841" s="117"/>
      <c r="H841" s="116"/>
      <c r="J841" s="99"/>
    </row>
    <row r="842" ht="12.75" customHeight="1">
      <c r="E842" s="116"/>
      <c r="F842" s="116"/>
      <c r="G842" s="117"/>
      <c r="H842" s="116"/>
      <c r="J842" s="99"/>
    </row>
    <row r="843" ht="12.75" customHeight="1">
      <c r="E843" s="116"/>
      <c r="F843" s="116"/>
      <c r="G843" s="117"/>
      <c r="H843" s="116"/>
      <c r="J843" s="99"/>
    </row>
    <row r="844" ht="12.75" customHeight="1">
      <c r="E844" s="116"/>
      <c r="F844" s="116"/>
      <c r="G844" s="117"/>
      <c r="H844" s="116"/>
      <c r="J844" s="99"/>
    </row>
    <row r="845" ht="12.75" customHeight="1">
      <c r="E845" s="116"/>
      <c r="F845" s="116"/>
      <c r="G845" s="117"/>
      <c r="H845" s="116"/>
      <c r="J845" s="99"/>
    </row>
    <row r="846" ht="12.75" customHeight="1">
      <c r="E846" s="116"/>
      <c r="F846" s="116"/>
      <c r="G846" s="117"/>
      <c r="H846" s="116"/>
      <c r="J846" s="99"/>
    </row>
    <row r="847" ht="12.75" customHeight="1">
      <c r="E847" s="116"/>
      <c r="F847" s="116"/>
      <c r="G847" s="117"/>
      <c r="H847" s="116"/>
      <c r="J847" s="99"/>
    </row>
    <row r="848" ht="12.75" customHeight="1">
      <c r="E848" s="116"/>
      <c r="F848" s="116"/>
      <c r="G848" s="117"/>
      <c r="H848" s="116"/>
      <c r="J848" s="99"/>
    </row>
    <row r="849" ht="12.75" customHeight="1">
      <c r="E849" s="116"/>
      <c r="F849" s="116"/>
      <c r="G849" s="117"/>
      <c r="H849" s="116"/>
      <c r="J849" s="99"/>
    </row>
    <row r="850" ht="12.75" customHeight="1">
      <c r="E850" s="116"/>
      <c r="F850" s="116"/>
      <c r="G850" s="117"/>
      <c r="H850" s="116"/>
      <c r="J850" s="99"/>
    </row>
    <row r="851" ht="12.75" customHeight="1">
      <c r="E851" s="116"/>
      <c r="F851" s="116"/>
      <c r="G851" s="117"/>
      <c r="H851" s="116"/>
      <c r="J851" s="99"/>
    </row>
    <row r="852" ht="12.75" customHeight="1">
      <c r="E852" s="116"/>
      <c r="F852" s="116"/>
      <c r="G852" s="117"/>
      <c r="H852" s="116"/>
      <c r="J852" s="99"/>
    </row>
    <row r="853" ht="12.75" customHeight="1">
      <c r="E853" s="116"/>
      <c r="F853" s="116"/>
      <c r="G853" s="117"/>
      <c r="H853" s="116"/>
      <c r="J853" s="99"/>
    </row>
    <row r="854" ht="12.75" customHeight="1">
      <c r="E854" s="116"/>
      <c r="F854" s="116"/>
      <c r="G854" s="117"/>
      <c r="H854" s="116"/>
      <c r="J854" s="99"/>
    </row>
    <row r="855" ht="12.75" customHeight="1">
      <c r="E855" s="116"/>
      <c r="F855" s="116"/>
      <c r="G855" s="117"/>
      <c r="H855" s="116"/>
      <c r="J855" s="99"/>
    </row>
    <row r="856" ht="12.75" customHeight="1">
      <c r="E856" s="116"/>
      <c r="F856" s="116"/>
      <c r="G856" s="117"/>
      <c r="H856" s="116"/>
      <c r="J856" s="99"/>
    </row>
    <row r="857" ht="12.75" customHeight="1">
      <c r="E857" s="116"/>
      <c r="F857" s="116"/>
      <c r="G857" s="117"/>
      <c r="H857" s="116"/>
      <c r="J857" s="99"/>
    </row>
    <row r="858" ht="12.75" customHeight="1">
      <c r="E858" s="116"/>
      <c r="F858" s="116"/>
      <c r="G858" s="117"/>
      <c r="H858" s="116"/>
      <c r="J858" s="99"/>
    </row>
    <row r="859" ht="12.75" customHeight="1">
      <c r="E859" s="116"/>
      <c r="F859" s="116"/>
      <c r="G859" s="117"/>
      <c r="H859" s="116"/>
      <c r="J859" s="99"/>
    </row>
    <row r="860" ht="12.75" customHeight="1">
      <c r="E860" s="116"/>
      <c r="F860" s="116"/>
      <c r="G860" s="117"/>
      <c r="H860" s="116"/>
      <c r="J860" s="99"/>
    </row>
    <row r="861" ht="12.75" customHeight="1">
      <c r="E861" s="116"/>
      <c r="F861" s="116"/>
      <c r="G861" s="117"/>
      <c r="H861" s="116"/>
      <c r="J861" s="99"/>
    </row>
    <row r="862" ht="12.75" customHeight="1">
      <c r="E862" s="116"/>
      <c r="F862" s="116"/>
      <c r="G862" s="117"/>
      <c r="H862" s="116"/>
      <c r="J862" s="99"/>
    </row>
    <row r="863" ht="12.75" customHeight="1">
      <c r="E863" s="116"/>
      <c r="F863" s="116"/>
      <c r="G863" s="117"/>
      <c r="H863" s="116"/>
      <c r="J863" s="99"/>
    </row>
    <row r="864" ht="12.75" customHeight="1">
      <c r="E864" s="116"/>
      <c r="F864" s="116"/>
      <c r="G864" s="117"/>
      <c r="H864" s="116"/>
      <c r="J864" s="99"/>
    </row>
    <row r="865" ht="12.75" customHeight="1">
      <c r="E865" s="116"/>
      <c r="F865" s="116"/>
      <c r="G865" s="117"/>
      <c r="H865" s="116"/>
      <c r="J865" s="99"/>
    </row>
    <row r="866" ht="12.75" customHeight="1">
      <c r="E866" s="116"/>
      <c r="F866" s="116"/>
      <c r="G866" s="117"/>
      <c r="H866" s="116"/>
      <c r="J866" s="99"/>
    </row>
    <row r="867" ht="12.75" customHeight="1">
      <c r="E867" s="116"/>
      <c r="F867" s="116"/>
      <c r="G867" s="117"/>
      <c r="H867" s="116"/>
      <c r="J867" s="99"/>
    </row>
    <row r="868" ht="12.75" customHeight="1">
      <c r="E868" s="116"/>
      <c r="F868" s="116"/>
      <c r="G868" s="117"/>
      <c r="H868" s="116"/>
      <c r="J868" s="99"/>
    </row>
    <row r="869" ht="12.75" customHeight="1">
      <c r="E869" s="116"/>
      <c r="F869" s="116"/>
      <c r="G869" s="117"/>
      <c r="H869" s="116"/>
      <c r="J869" s="99"/>
    </row>
    <row r="870" ht="12.75" customHeight="1">
      <c r="E870" s="116"/>
      <c r="F870" s="116"/>
      <c r="G870" s="117"/>
      <c r="H870" s="116"/>
      <c r="J870" s="99"/>
    </row>
    <row r="871" ht="12.75" customHeight="1">
      <c r="E871" s="116"/>
      <c r="F871" s="116"/>
      <c r="G871" s="117"/>
      <c r="H871" s="116"/>
      <c r="J871" s="99"/>
    </row>
    <row r="872" ht="12.75" customHeight="1">
      <c r="E872" s="116"/>
      <c r="F872" s="116"/>
      <c r="G872" s="117"/>
      <c r="H872" s="116"/>
      <c r="J872" s="99"/>
    </row>
    <row r="873" ht="12.75" customHeight="1">
      <c r="E873" s="116"/>
      <c r="F873" s="116"/>
      <c r="G873" s="117"/>
      <c r="H873" s="116"/>
      <c r="J873" s="99"/>
    </row>
    <row r="874" ht="12.75" customHeight="1">
      <c r="E874" s="116"/>
      <c r="F874" s="116"/>
      <c r="G874" s="117"/>
      <c r="H874" s="116"/>
      <c r="J874" s="99"/>
    </row>
    <row r="875" ht="12.75" customHeight="1">
      <c r="E875" s="116"/>
      <c r="F875" s="116"/>
      <c r="G875" s="117"/>
      <c r="H875" s="116"/>
      <c r="J875" s="99"/>
    </row>
    <row r="876" ht="12.75" customHeight="1">
      <c r="E876" s="116"/>
      <c r="F876" s="116"/>
      <c r="G876" s="117"/>
      <c r="H876" s="116"/>
      <c r="J876" s="99"/>
    </row>
    <row r="877" ht="12.75" customHeight="1">
      <c r="E877" s="116"/>
      <c r="F877" s="116"/>
      <c r="G877" s="117"/>
      <c r="H877" s="116"/>
      <c r="J877" s="99"/>
    </row>
    <row r="878" ht="12.75" customHeight="1">
      <c r="E878" s="116"/>
      <c r="F878" s="116"/>
      <c r="G878" s="117"/>
      <c r="H878" s="116"/>
      <c r="J878" s="99"/>
    </row>
    <row r="879" ht="12.75" customHeight="1">
      <c r="E879" s="116"/>
      <c r="F879" s="116"/>
      <c r="G879" s="117"/>
      <c r="H879" s="116"/>
      <c r="J879" s="99"/>
    </row>
    <row r="880" ht="12.75" customHeight="1">
      <c r="E880" s="116"/>
      <c r="F880" s="116"/>
      <c r="G880" s="117"/>
      <c r="H880" s="116"/>
      <c r="J880" s="99"/>
    </row>
    <row r="881" ht="12.75" customHeight="1">
      <c r="E881" s="116"/>
      <c r="F881" s="116"/>
      <c r="G881" s="117"/>
      <c r="H881" s="116"/>
      <c r="J881" s="99"/>
    </row>
    <row r="882" ht="12.75" customHeight="1">
      <c r="E882" s="116"/>
      <c r="F882" s="116"/>
      <c r="G882" s="117"/>
      <c r="H882" s="116"/>
      <c r="J882" s="99"/>
    </row>
    <row r="883" ht="12.75" customHeight="1">
      <c r="E883" s="116"/>
      <c r="F883" s="116"/>
      <c r="G883" s="117"/>
      <c r="H883" s="116"/>
      <c r="J883" s="99"/>
    </row>
    <row r="884" ht="12.75" customHeight="1">
      <c r="E884" s="116"/>
      <c r="F884" s="116"/>
      <c r="G884" s="117"/>
      <c r="H884" s="116"/>
      <c r="J884" s="99"/>
    </row>
    <row r="885" ht="12.75" customHeight="1">
      <c r="E885" s="116"/>
      <c r="F885" s="116"/>
      <c r="G885" s="117"/>
      <c r="H885" s="116"/>
      <c r="J885" s="99"/>
    </row>
    <row r="886" ht="12.75" customHeight="1">
      <c r="E886" s="116"/>
      <c r="F886" s="116"/>
      <c r="G886" s="117"/>
      <c r="H886" s="116"/>
      <c r="J886" s="99"/>
    </row>
    <row r="887" ht="12.75" customHeight="1">
      <c r="E887" s="116"/>
      <c r="F887" s="116"/>
      <c r="G887" s="117"/>
      <c r="H887" s="116"/>
      <c r="J887" s="99"/>
    </row>
    <row r="888" ht="12.75" customHeight="1">
      <c r="E888" s="116"/>
      <c r="F888" s="116"/>
      <c r="G888" s="117"/>
      <c r="H888" s="116"/>
      <c r="J888" s="99"/>
    </row>
    <row r="889" ht="12.75" customHeight="1">
      <c r="E889" s="116"/>
      <c r="F889" s="116"/>
      <c r="G889" s="117"/>
      <c r="H889" s="116"/>
      <c r="J889" s="99"/>
    </row>
    <row r="890" ht="12.75" customHeight="1">
      <c r="E890" s="116"/>
      <c r="F890" s="116"/>
      <c r="G890" s="117"/>
      <c r="H890" s="116"/>
      <c r="J890" s="99"/>
    </row>
    <row r="891" ht="12.75" customHeight="1">
      <c r="E891" s="116"/>
      <c r="F891" s="116"/>
      <c r="G891" s="117"/>
      <c r="H891" s="116"/>
      <c r="J891" s="99"/>
    </row>
    <row r="892" ht="12.75" customHeight="1">
      <c r="E892" s="116"/>
      <c r="F892" s="116"/>
      <c r="G892" s="117"/>
      <c r="H892" s="116"/>
      <c r="J892" s="99"/>
    </row>
    <row r="893" ht="12.75" customHeight="1">
      <c r="E893" s="116"/>
      <c r="F893" s="116"/>
      <c r="G893" s="117"/>
      <c r="H893" s="116"/>
      <c r="J893" s="99"/>
    </row>
    <row r="894" ht="12.75" customHeight="1">
      <c r="E894" s="116"/>
      <c r="F894" s="116"/>
      <c r="G894" s="117"/>
      <c r="H894" s="116"/>
      <c r="J894" s="99"/>
    </row>
    <row r="895" ht="12.75" customHeight="1">
      <c r="E895" s="116"/>
      <c r="F895" s="116"/>
      <c r="G895" s="117"/>
      <c r="H895" s="116"/>
      <c r="J895" s="99"/>
    </row>
    <row r="896" ht="12.75" customHeight="1">
      <c r="E896" s="116"/>
      <c r="F896" s="116"/>
      <c r="G896" s="117"/>
      <c r="H896" s="116"/>
      <c r="J896" s="99"/>
    </row>
    <row r="897" ht="12.75" customHeight="1">
      <c r="E897" s="116"/>
      <c r="F897" s="116"/>
      <c r="G897" s="117"/>
      <c r="H897" s="116"/>
      <c r="J897" s="99"/>
    </row>
    <row r="898" ht="12.75" customHeight="1">
      <c r="E898" s="116"/>
      <c r="F898" s="116"/>
      <c r="G898" s="117"/>
      <c r="H898" s="116"/>
      <c r="J898" s="99"/>
    </row>
    <row r="899" ht="12.75" customHeight="1">
      <c r="E899" s="116"/>
      <c r="F899" s="116"/>
      <c r="G899" s="117"/>
      <c r="H899" s="116"/>
      <c r="J899" s="99"/>
    </row>
    <row r="900" ht="12.75" customHeight="1">
      <c r="E900" s="116"/>
      <c r="F900" s="116"/>
      <c r="G900" s="117"/>
      <c r="H900" s="116"/>
      <c r="J900" s="99"/>
    </row>
    <row r="901" ht="12.75" customHeight="1">
      <c r="E901" s="116"/>
      <c r="F901" s="116"/>
      <c r="G901" s="117"/>
      <c r="H901" s="116"/>
      <c r="J901" s="99"/>
    </row>
    <row r="902" ht="12.75" customHeight="1">
      <c r="E902" s="116"/>
      <c r="F902" s="116"/>
      <c r="G902" s="117"/>
      <c r="H902" s="116"/>
      <c r="J902" s="99"/>
    </row>
    <row r="903" ht="12.75" customHeight="1">
      <c r="E903" s="116"/>
      <c r="F903" s="116"/>
      <c r="G903" s="117"/>
      <c r="H903" s="116"/>
      <c r="J903" s="99"/>
    </row>
    <row r="904" ht="12.75" customHeight="1">
      <c r="E904" s="116"/>
      <c r="F904" s="116"/>
      <c r="G904" s="117"/>
      <c r="H904" s="116"/>
      <c r="J904" s="99"/>
    </row>
    <row r="905" ht="12.75" customHeight="1">
      <c r="E905" s="116"/>
      <c r="F905" s="116"/>
      <c r="G905" s="117"/>
      <c r="H905" s="116"/>
      <c r="J905" s="99"/>
    </row>
    <row r="906" ht="12.75" customHeight="1">
      <c r="E906" s="116"/>
      <c r="F906" s="116"/>
      <c r="G906" s="117"/>
      <c r="H906" s="116"/>
      <c r="J906" s="99"/>
    </row>
    <row r="907" ht="12.75" customHeight="1">
      <c r="E907" s="116"/>
      <c r="F907" s="116"/>
      <c r="G907" s="117"/>
      <c r="H907" s="116"/>
      <c r="J907" s="99"/>
    </row>
    <row r="908" ht="12.75" customHeight="1">
      <c r="E908" s="116"/>
      <c r="F908" s="116"/>
      <c r="G908" s="117"/>
      <c r="H908" s="116"/>
      <c r="J908" s="99"/>
    </row>
    <row r="909" ht="12.75" customHeight="1">
      <c r="E909" s="116"/>
      <c r="F909" s="116"/>
      <c r="G909" s="117"/>
      <c r="H909" s="116"/>
      <c r="J909" s="99"/>
    </row>
    <row r="910" ht="12.75" customHeight="1">
      <c r="E910" s="116"/>
      <c r="F910" s="116"/>
      <c r="G910" s="117"/>
      <c r="H910" s="116"/>
      <c r="J910" s="99"/>
    </row>
    <row r="911" ht="12.75" customHeight="1">
      <c r="E911" s="116"/>
      <c r="F911" s="116"/>
      <c r="G911" s="117"/>
      <c r="H911" s="116"/>
      <c r="J911" s="99"/>
    </row>
    <row r="912" ht="12.75" customHeight="1">
      <c r="E912" s="116"/>
      <c r="F912" s="116"/>
      <c r="G912" s="117"/>
      <c r="H912" s="116"/>
      <c r="J912" s="99"/>
    </row>
    <row r="913" ht="12.75" customHeight="1">
      <c r="E913" s="116"/>
      <c r="F913" s="116"/>
      <c r="G913" s="117"/>
      <c r="H913" s="116"/>
      <c r="J913" s="99"/>
    </row>
    <row r="914" ht="12.75" customHeight="1">
      <c r="E914" s="116"/>
      <c r="F914" s="116"/>
      <c r="G914" s="117"/>
      <c r="H914" s="116"/>
      <c r="J914" s="99"/>
    </row>
    <row r="915" ht="12.75" customHeight="1">
      <c r="E915" s="116"/>
      <c r="F915" s="116"/>
      <c r="G915" s="117"/>
      <c r="H915" s="116"/>
      <c r="J915" s="99"/>
    </row>
    <row r="916" ht="12.75" customHeight="1">
      <c r="E916" s="116"/>
      <c r="F916" s="116"/>
      <c r="G916" s="117"/>
      <c r="H916" s="116"/>
      <c r="J916" s="99"/>
    </row>
    <row r="917" ht="12.75" customHeight="1">
      <c r="E917" s="116"/>
      <c r="F917" s="116"/>
      <c r="G917" s="117"/>
      <c r="H917" s="116"/>
      <c r="J917" s="99"/>
    </row>
    <row r="918" ht="12.75" customHeight="1">
      <c r="E918" s="116"/>
      <c r="F918" s="116"/>
      <c r="G918" s="117"/>
      <c r="H918" s="116"/>
      <c r="J918" s="99"/>
    </row>
    <row r="919" ht="12.75" customHeight="1">
      <c r="E919" s="116"/>
      <c r="F919" s="116"/>
      <c r="G919" s="117"/>
      <c r="H919" s="116"/>
      <c r="J919" s="99"/>
    </row>
    <row r="920" ht="12.75" customHeight="1">
      <c r="E920" s="116"/>
      <c r="F920" s="116"/>
      <c r="G920" s="117"/>
      <c r="H920" s="116"/>
      <c r="J920" s="99"/>
    </row>
    <row r="921" ht="12.75" customHeight="1">
      <c r="E921" s="116"/>
      <c r="F921" s="116"/>
      <c r="G921" s="117"/>
      <c r="H921" s="116"/>
      <c r="J921" s="99"/>
    </row>
    <row r="922" ht="12.75" customHeight="1">
      <c r="E922" s="116"/>
      <c r="F922" s="116"/>
      <c r="G922" s="117"/>
      <c r="H922" s="116"/>
      <c r="J922" s="99"/>
    </row>
    <row r="923" ht="12.75" customHeight="1">
      <c r="E923" s="116"/>
      <c r="F923" s="116"/>
      <c r="G923" s="117"/>
      <c r="H923" s="116"/>
      <c r="J923" s="99"/>
    </row>
    <row r="924" ht="12.75" customHeight="1">
      <c r="E924" s="116"/>
      <c r="F924" s="116"/>
      <c r="G924" s="117"/>
      <c r="H924" s="116"/>
      <c r="J924" s="99"/>
    </row>
    <row r="925" ht="12.75" customHeight="1">
      <c r="E925" s="116"/>
      <c r="F925" s="116"/>
      <c r="G925" s="117"/>
      <c r="H925" s="116"/>
      <c r="J925" s="99"/>
    </row>
    <row r="926" ht="12.75" customHeight="1">
      <c r="E926" s="116"/>
      <c r="F926" s="116"/>
      <c r="G926" s="117"/>
      <c r="H926" s="116"/>
      <c r="J926" s="99"/>
    </row>
    <row r="927" ht="12.75" customHeight="1">
      <c r="E927" s="116"/>
      <c r="F927" s="116"/>
      <c r="G927" s="117"/>
      <c r="H927" s="116"/>
      <c r="J927" s="99"/>
    </row>
    <row r="928" ht="12.75" customHeight="1">
      <c r="E928" s="116"/>
      <c r="F928" s="116"/>
      <c r="G928" s="117"/>
      <c r="H928" s="116"/>
      <c r="J928" s="99"/>
    </row>
    <row r="929" ht="12.75" customHeight="1">
      <c r="E929" s="116"/>
      <c r="F929" s="116"/>
      <c r="G929" s="117"/>
      <c r="H929" s="116"/>
      <c r="J929" s="99"/>
    </row>
    <row r="930" ht="12.75" customHeight="1">
      <c r="E930" s="116"/>
      <c r="F930" s="116"/>
      <c r="G930" s="117"/>
      <c r="H930" s="116"/>
      <c r="J930" s="99"/>
    </row>
    <row r="931" ht="12.75" customHeight="1">
      <c r="E931" s="116"/>
      <c r="F931" s="116"/>
      <c r="G931" s="117"/>
      <c r="H931" s="116"/>
      <c r="J931" s="99"/>
    </row>
    <row r="932" ht="12.75" customHeight="1">
      <c r="E932" s="116"/>
      <c r="F932" s="116"/>
      <c r="G932" s="117"/>
      <c r="H932" s="116"/>
      <c r="J932" s="99"/>
    </row>
    <row r="933" ht="12.75" customHeight="1">
      <c r="E933" s="116"/>
      <c r="F933" s="116"/>
      <c r="G933" s="117"/>
      <c r="H933" s="116"/>
      <c r="J933" s="99"/>
    </row>
    <row r="934" ht="12.75" customHeight="1">
      <c r="E934" s="116"/>
      <c r="F934" s="116"/>
      <c r="G934" s="117"/>
      <c r="H934" s="116"/>
      <c r="J934" s="99"/>
    </row>
    <row r="935" ht="12.75" customHeight="1">
      <c r="E935" s="116"/>
      <c r="F935" s="116"/>
      <c r="G935" s="117"/>
      <c r="H935" s="116"/>
      <c r="J935" s="99"/>
    </row>
    <row r="936" ht="12.75" customHeight="1">
      <c r="E936" s="116"/>
      <c r="F936" s="116"/>
      <c r="G936" s="117"/>
      <c r="H936" s="116"/>
      <c r="J936" s="99"/>
    </row>
    <row r="937" ht="12.75" customHeight="1">
      <c r="E937" s="116"/>
      <c r="F937" s="116"/>
      <c r="G937" s="117"/>
      <c r="H937" s="116"/>
      <c r="J937" s="99"/>
    </row>
    <row r="938" ht="12.75" customHeight="1">
      <c r="E938" s="116"/>
      <c r="F938" s="116"/>
      <c r="G938" s="117"/>
      <c r="H938" s="116"/>
      <c r="J938" s="99"/>
    </row>
    <row r="939" ht="12.75" customHeight="1">
      <c r="E939" s="116"/>
      <c r="F939" s="116"/>
      <c r="G939" s="117"/>
      <c r="H939" s="116"/>
      <c r="J939" s="99"/>
    </row>
    <row r="940" ht="12.75" customHeight="1">
      <c r="E940" s="116"/>
      <c r="F940" s="116"/>
      <c r="G940" s="117"/>
      <c r="H940" s="116"/>
      <c r="J940" s="99"/>
    </row>
    <row r="941" ht="12.75" customHeight="1">
      <c r="E941" s="116"/>
      <c r="F941" s="116"/>
      <c r="G941" s="117"/>
      <c r="H941" s="116"/>
      <c r="J941" s="99"/>
    </row>
    <row r="942" ht="12.75" customHeight="1">
      <c r="E942" s="116"/>
      <c r="F942" s="116"/>
      <c r="G942" s="117"/>
      <c r="H942" s="116"/>
      <c r="J942" s="99"/>
    </row>
    <row r="943" ht="12.75" customHeight="1">
      <c r="E943" s="116"/>
      <c r="F943" s="116"/>
      <c r="G943" s="117"/>
      <c r="H943" s="116"/>
      <c r="J943" s="99"/>
    </row>
    <row r="944" ht="12.75" customHeight="1">
      <c r="E944" s="116"/>
      <c r="F944" s="116"/>
      <c r="G944" s="117"/>
      <c r="H944" s="116"/>
      <c r="J944" s="99"/>
    </row>
    <row r="945" ht="12.75" customHeight="1">
      <c r="E945" s="116"/>
      <c r="F945" s="116"/>
      <c r="G945" s="117"/>
      <c r="H945" s="116"/>
      <c r="J945" s="99"/>
    </row>
    <row r="946" ht="12.75" customHeight="1">
      <c r="E946" s="116"/>
      <c r="F946" s="116"/>
      <c r="G946" s="117"/>
      <c r="H946" s="116"/>
      <c r="J946" s="99"/>
    </row>
    <row r="947" ht="12.75" customHeight="1">
      <c r="E947" s="116"/>
      <c r="F947" s="116"/>
      <c r="G947" s="117"/>
      <c r="H947" s="116"/>
      <c r="J947" s="99"/>
    </row>
    <row r="948" ht="12.75" customHeight="1">
      <c r="E948" s="116"/>
      <c r="F948" s="116"/>
      <c r="G948" s="117"/>
      <c r="H948" s="116"/>
      <c r="J948" s="99"/>
    </row>
    <row r="949" ht="12.75" customHeight="1">
      <c r="E949" s="116"/>
      <c r="F949" s="116"/>
      <c r="G949" s="117"/>
      <c r="H949" s="116"/>
      <c r="J949" s="99"/>
    </row>
    <row r="950" ht="12.75" customHeight="1">
      <c r="E950" s="116"/>
      <c r="F950" s="116"/>
      <c r="G950" s="117"/>
      <c r="H950" s="116"/>
      <c r="J950" s="99"/>
    </row>
    <row r="951" ht="12.75" customHeight="1">
      <c r="E951" s="116"/>
      <c r="F951" s="116"/>
      <c r="G951" s="117"/>
      <c r="H951" s="116"/>
      <c r="J951" s="99"/>
    </row>
    <row r="952" ht="12.75" customHeight="1">
      <c r="E952" s="116"/>
      <c r="F952" s="116"/>
      <c r="G952" s="117"/>
      <c r="H952" s="116"/>
      <c r="J952" s="99"/>
    </row>
    <row r="953" ht="12.75" customHeight="1">
      <c r="E953" s="116"/>
      <c r="F953" s="116"/>
      <c r="G953" s="117"/>
      <c r="H953" s="116"/>
      <c r="J953" s="99"/>
    </row>
    <row r="954" ht="12.75" customHeight="1">
      <c r="E954" s="116"/>
      <c r="F954" s="116"/>
      <c r="G954" s="117"/>
      <c r="H954" s="116"/>
      <c r="J954" s="99"/>
    </row>
    <row r="955" ht="12.75" customHeight="1">
      <c r="E955" s="116"/>
      <c r="F955" s="116"/>
      <c r="G955" s="117"/>
      <c r="H955" s="116"/>
      <c r="J955" s="99"/>
    </row>
    <row r="956" ht="12.75" customHeight="1">
      <c r="E956" s="116"/>
      <c r="F956" s="116"/>
      <c r="G956" s="117"/>
      <c r="H956" s="116"/>
      <c r="J956" s="99"/>
    </row>
    <row r="957" ht="12.75" customHeight="1">
      <c r="E957" s="116"/>
      <c r="F957" s="116"/>
      <c r="G957" s="117"/>
      <c r="H957" s="116"/>
      <c r="J957" s="99"/>
    </row>
    <row r="958" ht="12.75" customHeight="1">
      <c r="E958" s="116"/>
      <c r="F958" s="116"/>
      <c r="G958" s="117"/>
      <c r="H958" s="116"/>
      <c r="J958" s="99"/>
    </row>
    <row r="959" ht="12.75" customHeight="1">
      <c r="E959" s="116"/>
      <c r="F959" s="116"/>
      <c r="G959" s="117"/>
      <c r="H959" s="116"/>
      <c r="J959" s="99"/>
    </row>
    <row r="960" ht="12.75" customHeight="1">
      <c r="E960" s="116"/>
      <c r="F960" s="116"/>
      <c r="G960" s="117"/>
      <c r="H960" s="116"/>
      <c r="J960" s="99"/>
    </row>
    <row r="961" ht="12.75" customHeight="1">
      <c r="E961" s="116"/>
      <c r="F961" s="116"/>
      <c r="G961" s="117"/>
      <c r="H961" s="116"/>
      <c r="J961" s="99"/>
    </row>
    <row r="962" ht="12.75" customHeight="1">
      <c r="E962" s="116"/>
      <c r="F962" s="116"/>
      <c r="G962" s="117"/>
      <c r="H962" s="116"/>
      <c r="J962" s="99"/>
    </row>
    <row r="963" ht="12.75" customHeight="1">
      <c r="E963" s="116"/>
      <c r="F963" s="116"/>
      <c r="G963" s="117"/>
      <c r="H963" s="116"/>
      <c r="J963" s="99"/>
    </row>
    <row r="964" ht="12.75" customHeight="1">
      <c r="E964" s="116"/>
      <c r="F964" s="116"/>
      <c r="G964" s="117"/>
      <c r="H964" s="116"/>
      <c r="J964" s="99"/>
    </row>
    <row r="965" ht="12.75" customHeight="1">
      <c r="E965" s="116"/>
      <c r="F965" s="116"/>
      <c r="G965" s="117"/>
      <c r="H965" s="116"/>
      <c r="J965" s="99"/>
    </row>
    <row r="966" ht="12.75" customHeight="1">
      <c r="E966" s="116"/>
      <c r="F966" s="116"/>
      <c r="G966" s="117"/>
      <c r="H966" s="116"/>
      <c r="J966" s="99"/>
    </row>
    <row r="967" ht="12.75" customHeight="1">
      <c r="E967" s="116"/>
      <c r="F967" s="116"/>
      <c r="G967" s="117"/>
      <c r="H967" s="116"/>
      <c r="J967" s="99"/>
    </row>
    <row r="968" ht="12.75" customHeight="1">
      <c r="E968" s="116"/>
      <c r="F968" s="116"/>
      <c r="G968" s="117"/>
      <c r="H968" s="116"/>
      <c r="J968" s="99"/>
    </row>
    <row r="969" ht="12.75" customHeight="1">
      <c r="E969" s="116"/>
      <c r="F969" s="116"/>
      <c r="G969" s="117"/>
      <c r="H969" s="116"/>
      <c r="J969" s="99"/>
    </row>
    <row r="970" ht="12.75" customHeight="1">
      <c r="E970" s="116"/>
      <c r="F970" s="116"/>
      <c r="G970" s="117"/>
      <c r="H970" s="116"/>
      <c r="J970" s="99"/>
    </row>
    <row r="971" ht="12.75" customHeight="1">
      <c r="E971" s="116"/>
      <c r="F971" s="116"/>
      <c r="G971" s="117"/>
      <c r="H971" s="116"/>
      <c r="J971" s="99"/>
    </row>
    <row r="972" ht="12.75" customHeight="1">
      <c r="E972" s="116"/>
      <c r="F972" s="116"/>
      <c r="G972" s="117"/>
      <c r="H972" s="116"/>
      <c r="J972" s="99"/>
    </row>
    <row r="973" ht="12.75" customHeight="1">
      <c r="E973" s="116"/>
      <c r="F973" s="116"/>
      <c r="G973" s="117"/>
      <c r="H973" s="116"/>
      <c r="J973" s="99"/>
    </row>
    <row r="974" ht="12.75" customHeight="1">
      <c r="E974" s="116"/>
      <c r="F974" s="116"/>
      <c r="G974" s="117"/>
      <c r="H974" s="116"/>
      <c r="J974" s="99"/>
    </row>
    <row r="975" ht="12.75" customHeight="1">
      <c r="E975" s="116"/>
      <c r="F975" s="116"/>
      <c r="G975" s="117"/>
      <c r="H975" s="116"/>
      <c r="J975" s="99"/>
    </row>
    <row r="976" ht="12.75" customHeight="1">
      <c r="E976" s="116"/>
      <c r="F976" s="116"/>
      <c r="G976" s="117"/>
      <c r="H976" s="116"/>
      <c r="J976" s="99"/>
    </row>
    <row r="977" ht="12.75" customHeight="1">
      <c r="E977" s="116"/>
      <c r="F977" s="116"/>
      <c r="G977" s="117"/>
      <c r="H977" s="116"/>
      <c r="J977" s="99"/>
    </row>
    <row r="978" ht="12.75" customHeight="1">
      <c r="E978" s="116"/>
      <c r="F978" s="116"/>
      <c r="G978" s="117"/>
      <c r="H978" s="116"/>
      <c r="J978" s="99"/>
    </row>
    <row r="979" ht="12.75" customHeight="1">
      <c r="E979" s="116"/>
      <c r="F979" s="116"/>
      <c r="G979" s="117"/>
      <c r="H979" s="116"/>
      <c r="J979" s="99"/>
    </row>
    <row r="980" ht="12.75" customHeight="1">
      <c r="E980" s="116"/>
      <c r="F980" s="116"/>
      <c r="G980" s="117"/>
      <c r="H980" s="116"/>
      <c r="J980" s="99"/>
    </row>
    <row r="981" ht="12.75" customHeight="1">
      <c r="E981" s="116"/>
      <c r="F981" s="116"/>
      <c r="G981" s="117"/>
      <c r="H981" s="116"/>
      <c r="J981" s="99"/>
    </row>
    <row r="982" ht="12.75" customHeight="1">
      <c r="E982" s="116"/>
      <c r="F982" s="116"/>
      <c r="G982" s="117"/>
      <c r="H982" s="116"/>
      <c r="J982" s="99"/>
    </row>
    <row r="983" ht="12.75" customHeight="1">
      <c r="E983" s="116"/>
      <c r="F983" s="116"/>
      <c r="G983" s="117"/>
      <c r="H983" s="116"/>
      <c r="J983" s="99"/>
    </row>
    <row r="984" ht="12.75" customHeight="1">
      <c r="E984" s="116"/>
      <c r="F984" s="116"/>
      <c r="G984" s="117"/>
      <c r="H984" s="116"/>
      <c r="J984" s="99"/>
    </row>
    <row r="985" ht="12.75" customHeight="1">
      <c r="E985" s="116"/>
      <c r="F985" s="116"/>
      <c r="G985" s="117"/>
      <c r="H985" s="116"/>
      <c r="J985" s="99"/>
    </row>
    <row r="986" ht="12.75" customHeight="1">
      <c r="E986" s="116"/>
      <c r="F986" s="116"/>
      <c r="G986" s="117"/>
      <c r="H986" s="116"/>
      <c r="J986" s="99"/>
    </row>
    <row r="987" ht="12.75" customHeight="1">
      <c r="E987" s="116"/>
      <c r="F987" s="116"/>
      <c r="G987" s="117"/>
      <c r="H987" s="116"/>
      <c r="J987" s="99"/>
    </row>
    <row r="988" ht="12.75" customHeight="1">
      <c r="E988" s="116"/>
      <c r="F988" s="116"/>
      <c r="G988" s="117"/>
      <c r="H988" s="116"/>
      <c r="J988" s="99"/>
    </row>
    <row r="989" ht="12.75" customHeight="1">
      <c r="E989" s="116"/>
      <c r="F989" s="116"/>
      <c r="G989" s="117"/>
      <c r="H989" s="116"/>
      <c r="J989" s="99"/>
    </row>
    <row r="990" ht="12.75" customHeight="1">
      <c r="E990" s="116"/>
      <c r="F990" s="116"/>
      <c r="G990" s="117"/>
      <c r="H990" s="116"/>
      <c r="J990" s="99"/>
    </row>
    <row r="991" ht="12.75" customHeight="1">
      <c r="E991" s="116"/>
      <c r="F991" s="116"/>
      <c r="G991" s="117"/>
      <c r="H991" s="116"/>
      <c r="J991" s="99"/>
    </row>
    <row r="992" ht="12.75" customHeight="1">
      <c r="E992" s="116"/>
      <c r="F992" s="116"/>
      <c r="G992" s="117"/>
      <c r="H992" s="116"/>
      <c r="J992" s="99"/>
    </row>
    <row r="993" ht="12.75" customHeight="1">
      <c r="E993" s="116"/>
      <c r="F993" s="116"/>
      <c r="G993" s="117"/>
      <c r="H993" s="116"/>
      <c r="J993" s="99"/>
    </row>
    <row r="994" ht="12.75" customHeight="1">
      <c r="E994" s="116"/>
      <c r="F994" s="116"/>
      <c r="G994" s="117"/>
      <c r="H994" s="116"/>
      <c r="J994" s="99"/>
    </row>
    <row r="995" ht="12.75" customHeight="1">
      <c r="E995" s="116"/>
      <c r="F995" s="116"/>
      <c r="G995" s="117"/>
      <c r="H995" s="116"/>
      <c r="J995" s="99"/>
    </row>
    <row r="996" ht="12.75" customHeight="1">
      <c r="E996" s="116"/>
      <c r="F996" s="116"/>
      <c r="G996" s="117"/>
      <c r="H996" s="116"/>
      <c r="J996" s="99"/>
    </row>
    <row r="997" ht="12.75" customHeight="1">
      <c r="E997" s="116"/>
      <c r="F997" s="116"/>
      <c r="G997" s="117"/>
      <c r="H997" s="116"/>
      <c r="J997" s="99"/>
    </row>
    <row r="998" ht="12.75" customHeight="1">
      <c r="E998" s="116"/>
      <c r="F998" s="116"/>
      <c r="G998" s="117"/>
      <c r="H998" s="116"/>
      <c r="J998" s="99"/>
    </row>
    <row r="999" ht="12.75" customHeight="1">
      <c r="E999" s="116"/>
      <c r="F999" s="116"/>
      <c r="G999" s="117"/>
      <c r="H999" s="116"/>
      <c r="J999" s="99"/>
    </row>
    <row r="1000" ht="12.75" customHeight="1">
      <c r="E1000" s="116"/>
      <c r="F1000" s="116"/>
      <c r="G1000" s="117"/>
      <c r="H1000" s="116"/>
      <c r="J1000" s="99"/>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3.5"/>
    <col customWidth="1" min="5" max="6" width="17.0"/>
    <col customWidth="1" min="7" max="7" width="18.0"/>
    <col customWidth="1" min="8" max="8" width="17.0"/>
    <col customWidth="1" min="9" max="10" width="19.13"/>
    <col customWidth="1" min="11" max="26" width="10.0"/>
  </cols>
  <sheetData>
    <row r="1" ht="12.75" customHeight="1">
      <c r="A1" s="14" t="s">
        <v>238</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239</v>
      </c>
      <c r="C7" s="21" t="s">
        <v>240</v>
      </c>
      <c r="D7" s="20" t="s">
        <v>241</v>
      </c>
      <c r="E7" s="49" t="s">
        <v>242</v>
      </c>
      <c r="F7" s="50" t="s">
        <v>243</v>
      </c>
      <c r="G7" s="51" t="s">
        <v>244</v>
      </c>
      <c r="H7" s="49" t="s">
        <v>19</v>
      </c>
      <c r="I7" s="137" t="s">
        <v>245</v>
      </c>
      <c r="J7" s="49" t="s">
        <v>246</v>
      </c>
      <c r="K7" s="24"/>
      <c r="L7" s="24"/>
      <c r="M7" s="24"/>
      <c r="N7" s="24"/>
      <c r="O7" s="24"/>
      <c r="P7" s="24"/>
      <c r="Q7" s="24"/>
      <c r="R7" s="24"/>
      <c r="S7" s="24"/>
      <c r="T7" s="24"/>
      <c r="U7" s="24"/>
      <c r="V7" s="24"/>
      <c r="W7" s="24"/>
      <c r="X7" s="24"/>
      <c r="Y7" s="24"/>
      <c r="Z7" s="24"/>
    </row>
    <row r="8" ht="109.5" customHeight="1">
      <c r="A8" s="67" t="s">
        <v>22</v>
      </c>
      <c r="B8" s="138" t="s">
        <v>201</v>
      </c>
      <c r="C8" s="43" t="s">
        <v>202</v>
      </c>
      <c r="D8" s="139" t="s">
        <v>247</v>
      </c>
      <c r="E8" s="140">
        <v>199000.0</v>
      </c>
      <c r="F8" s="45">
        <v>199000.0</v>
      </c>
      <c r="G8" s="45">
        <v>54.67</v>
      </c>
      <c r="H8" s="141" t="s">
        <v>204</v>
      </c>
      <c r="I8" s="138" t="s">
        <v>205</v>
      </c>
      <c r="J8" s="142" t="s">
        <v>248</v>
      </c>
    </row>
    <row r="9" ht="81.0" customHeight="1">
      <c r="A9" s="67" t="s">
        <v>31</v>
      </c>
      <c r="B9" s="138" t="s">
        <v>231</v>
      </c>
      <c r="C9" s="143" t="s">
        <v>232</v>
      </c>
      <c r="D9" s="144" t="s">
        <v>249</v>
      </c>
      <c r="E9" s="140">
        <v>215900.0</v>
      </c>
      <c r="F9" s="45">
        <v>215900.0</v>
      </c>
      <c r="G9" s="45">
        <v>58.85</v>
      </c>
      <c r="H9" s="141" t="s">
        <v>204</v>
      </c>
      <c r="I9" s="145" t="s">
        <v>250</v>
      </c>
      <c r="J9" s="57" t="s">
        <v>251</v>
      </c>
    </row>
    <row r="10" ht="121.5" customHeight="1">
      <c r="A10" s="67" t="s">
        <v>40</v>
      </c>
      <c r="B10" s="138" t="s">
        <v>201</v>
      </c>
      <c r="C10" s="146" t="s">
        <v>202</v>
      </c>
      <c r="D10" s="147" t="s">
        <v>252</v>
      </c>
      <c r="E10" s="140">
        <v>319900.0</v>
      </c>
      <c r="F10" s="45">
        <v>319900.0</v>
      </c>
      <c r="G10" s="45">
        <v>87.88</v>
      </c>
      <c r="H10" s="141" t="s">
        <v>204</v>
      </c>
      <c r="I10" s="145" t="s">
        <v>205</v>
      </c>
      <c r="J10" s="142" t="s">
        <v>253</v>
      </c>
    </row>
    <row r="11" ht="15.0" customHeight="1">
      <c r="A11" s="36"/>
      <c r="B11" s="78"/>
      <c r="C11" s="78"/>
      <c r="D11" s="78"/>
      <c r="E11" s="78"/>
      <c r="F11" s="78"/>
      <c r="G11" s="78"/>
      <c r="H11" s="78"/>
      <c r="I11" s="78"/>
      <c r="J11" s="78"/>
    </row>
    <row r="12" ht="12.75" customHeight="1"/>
    <row r="13" ht="138.75" customHeight="1">
      <c r="A13" s="39" t="s">
        <v>254</v>
      </c>
      <c r="B13" s="17"/>
      <c r="C13" s="17"/>
      <c r="D13" s="17"/>
      <c r="E13" s="17"/>
      <c r="F13" s="17"/>
      <c r="G13" s="17"/>
      <c r="H13" s="17"/>
      <c r="I13" s="17"/>
      <c r="J13" s="18"/>
    </row>
    <row r="14" ht="12.75" customHeight="1"/>
    <row r="15" ht="75.0" customHeight="1">
      <c r="A15" s="39" t="s">
        <v>255</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location="polycard_client=search-desktop&amp;search_layout=grid&amp;position=8&amp;type=item&amp;tracking_id=acb2fb39-cf45-4602-b246-b0364def2165&amp;wid=MCO639015765&amp;sid=search" ref="D8"/>
    <hyperlink r:id="rId2" ref="D9"/>
    <hyperlink r:id="rId3" location="polycard_client=search-desktop&amp;search_layout=grid&amp;position=2&amp;type=product&amp;tracking_id=375dd9e9-ff10-4881-9fb7-5ff648a18285&amp;wid=MCO2330174032&amp;sid=search" ref="D10"/>
  </hyperlinks>
  <printOptions/>
  <pageMargins bottom="0.75" footer="0.0" header="0.0" left="0.7" right="0.7" top="0.75"/>
  <pageSetup orientation="landscape"/>
  <drawing r:id="rId4"/>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31.13"/>
    <col customWidth="1" min="4" max="4" width="47.38"/>
    <col customWidth="1" min="5" max="5" width="24.25"/>
    <col customWidth="1" min="6" max="6" width="21.88"/>
    <col customWidth="1" min="7" max="7" width="20.25"/>
    <col customWidth="1" min="8" max="8" width="17.0"/>
    <col customWidth="1" min="9" max="10" width="19.13"/>
    <col customWidth="1" min="11" max="26" width="10.0"/>
  </cols>
  <sheetData>
    <row r="1" ht="12.75" customHeight="1">
      <c r="C1" s="148"/>
    </row>
    <row r="2" ht="27.75" customHeight="1">
      <c r="C2" s="148"/>
      <c r="D2" s="15" t="s">
        <v>10</v>
      </c>
    </row>
    <row r="3" ht="12.75" customHeight="1">
      <c r="C3" s="148"/>
    </row>
    <row r="4" ht="12.75" customHeight="1">
      <c r="C4" s="148"/>
    </row>
    <row r="5" ht="43.5" customHeight="1">
      <c r="A5" s="16" t="s">
        <v>11</v>
      </c>
      <c r="B5" s="17"/>
      <c r="C5" s="17"/>
      <c r="D5" s="17"/>
      <c r="E5" s="17"/>
      <c r="F5" s="17"/>
      <c r="G5" s="17"/>
      <c r="H5" s="17"/>
      <c r="I5" s="17"/>
      <c r="J5" s="18"/>
    </row>
    <row r="6" ht="15.75" customHeight="1">
      <c r="C6" s="148"/>
    </row>
    <row r="7" ht="75.75" customHeight="1">
      <c r="A7" s="19" t="s">
        <v>12</v>
      </c>
      <c r="B7" s="137" t="s">
        <v>256</v>
      </c>
      <c r="C7" s="149" t="s">
        <v>257</v>
      </c>
      <c r="D7" s="49" t="s">
        <v>258</v>
      </c>
      <c r="E7" s="49" t="s">
        <v>259</v>
      </c>
      <c r="F7" s="50" t="s">
        <v>260</v>
      </c>
      <c r="G7" s="51" t="s">
        <v>261</v>
      </c>
      <c r="H7" s="49" t="s">
        <v>19</v>
      </c>
      <c r="I7" s="49" t="s">
        <v>262</v>
      </c>
      <c r="J7" s="49" t="s">
        <v>263</v>
      </c>
      <c r="K7" s="24"/>
      <c r="L7" s="24"/>
      <c r="M7" s="24"/>
      <c r="N7" s="24"/>
      <c r="O7" s="24"/>
      <c r="P7" s="24"/>
      <c r="Q7" s="24"/>
      <c r="R7" s="24"/>
      <c r="S7" s="24"/>
      <c r="T7" s="24"/>
      <c r="U7" s="24"/>
      <c r="V7" s="24"/>
      <c r="W7" s="24"/>
      <c r="X7" s="24"/>
      <c r="Y7" s="24"/>
      <c r="Z7" s="24"/>
    </row>
    <row r="8" ht="144.75" customHeight="1">
      <c r="A8" s="67" t="s">
        <v>22</v>
      </c>
      <c r="B8" s="43" t="s">
        <v>264</v>
      </c>
      <c r="C8" s="150" t="s">
        <v>265</v>
      </c>
      <c r="D8" s="151" t="s">
        <v>266</v>
      </c>
      <c r="E8" s="152">
        <v>4000.0</v>
      </c>
      <c r="F8" s="152">
        <v>4000.0</v>
      </c>
      <c r="G8" s="153" t="s">
        <v>267</v>
      </c>
      <c r="H8" s="154" t="s">
        <v>204</v>
      </c>
      <c r="I8" s="138" t="s">
        <v>268</v>
      </c>
      <c r="J8" s="155" t="s">
        <v>269</v>
      </c>
    </row>
    <row r="9" ht="138.0" customHeight="1">
      <c r="A9" s="67" t="s">
        <v>31</v>
      </c>
      <c r="B9" s="56" t="s">
        <v>270</v>
      </c>
      <c r="C9" s="156" t="s">
        <v>271</v>
      </c>
      <c r="D9" s="157" t="s">
        <v>272</v>
      </c>
      <c r="E9" s="111" t="s">
        <v>273</v>
      </c>
      <c r="F9" s="111" t="s">
        <v>273</v>
      </c>
      <c r="G9" s="111" t="s">
        <v>273</v>
      </c>
      <c r="H9" s="154" t="s">
        <v>210</v>
      </c>
      <c r="I9" s="138" t="s">
        <v>274</v>
      </c>
      <c r="J9" s="43" t="s">
        <v>275</v>
      </c>
    </row>
    <row r="10" ht="142.5" customHeight="1">
      <c r="A10" s="67" t="s">
        <v>40</v>
      </c>
      <c r="B10" s="43" t="s">
        <v>276</v>
      </c>
      <c r="C10" s="156" t="s">
        <v>277</v>
      </c>
      <c r="D10" s="157" t="s">
        <v>278</v>
      </c>
      <c r="E10" s="111" t="s">
        <v>273</v>
      </c>
      <c r="F10" s="111" t="s">
        <v>273</v>
      </c>
      <c r="G10" s="111" t="s">
        <v>273</v>
      </c>
      <c r="H10" s="154" t="s">
        <v>213</v>
      </c>
      <c r="I10" s="138" t="s">
        <v>274</v>
      </c>
      <c r="J10" s="43" t="s">
        <v>275</v>
      </c>
    </row>
    <row r="11" ht="15.0" hidden="1" customHeight="1">
      <c r="A11" s="36"/>
      <c r="B11" s="78"/>
      <c r="C11" s="158"/>
      <c r="D11" s="78"/>
      <c r="E11" s="78"/>
      <c r="F11" s="78"/>
      <c r="G11" s="78"/>
      <c r="H11" s="78"/>
      <c r="I11" s="78"/>
      <c r="J11" s="78"/>
    </row>
    <row r="12" ht="12.75" customHeight="1">
      <c r="C12" s="148"/>
    </row>
    <row r="13" ht="138.75" customHeight="1">
      <c r="A13" s="38" t="s">
        <v>279</v>
      </c>
      <c r="B13" s="17"/>
      <c r="C13" s="17"/>
      <c r="D13" s="17"/>
      <c r="E13" s="17"/>
      <c r="F13" s="17"/>
      <c r="G13" s="17"/>
      <c r="H13" s="17"/>
      <c r="I13" s="17"/>
      <c r="J13" s="18"/>
    </row>
    <row r="14" ht="12.75" customHeight="1">
      <c r="C14" s="148"/>
    </row>
    <row r="15" ht="75.0" customHeight="1">
      <c r="A15" s="39" t="s">
        <v>280</v>
      </c>
      <c r="B15" s="17"/>
      <c r="C15" s="17"/>
      <c r="D15" s="17"/>
      <c r="E15" s="17"/>
      <c r="F15" s="17"/>
      <c r="G15" s="17"/>
      <c r="H15" s="17"/>
      <c r="I15" s="17"/>
      <c r="J15" s="18"/>
    </row>
    <row r="16" ht="12.75" customHeight="1">
      <c r="C16" s="148"/>
    </row>
    <row r="17" ht="12.75" customHeight="1">
      <c r="C17" s="148"/>
    </row>
    <row r="18" ht="12.75" customHeight="1">
      <c r="C18" s="148"/>
    </row>
    <row r="19" ht="12.75" customHeight="1">
      <c r="C19" s="148"/>
    </row>
    <row r="20" ht="12.75" customHeight="1">
      <c r="C20" s="148"/>
    </row>
    <row r="21" ht="12.75" customHeight="1">
      <c r="C21" s="148"/>
    </row>
    <row r="22" ht="12.75" customHeight="1">
      <c r="C22" s="148"/>
    </row>
    <row r="23" ht="12.75" customHeight="1">
      <c r="C23" s="148"/>
    </row>
    <row r="24" ht="12.75" customHeight="1">
      <c r="C24" s="148"/>
    </row>
    <row r="25" ht="12.75" customHeight="1">
      <c r="C25" s="148"/>
    </row>
    <row r="26" ht="12.75" customHeight="1">
      <c r="C26" s="148"/>
      <c r="D26" s="40"/>
      <c r="E26" s="40"/>
      <c r="F26" s="14"/>
      <c r="G26" s="14"/>
    </row>
    <row r="27" ht="12.75" customHeight="1">
      <c r="C27" s="148"/>
    </row>
    <row r="28" ht="12.75" customHeight="1">
      <c r="C28" s="148"/>
    </row>
    <row r="29" ht="12.75" customHeight="1">
      <c r="C29" s="148"/>
    </row>
    <row r="30" ht="12.75" customHeight="1">
      <c r="C30" s="148"/>
    </row>
    <row r="31" ht="12.75" customHeight="1">
      <c r="C31" s="148"/>
    </row>
    <row r="32" ht="12.75" customHeight="1">
      <c r="C32" s="148"/>
    </row>
    <row r="33" ht="12.75" customHeight="1">
      <c r="C33" s="148"/>
    </row>
    <row r="34" ht="12.75" customHeight="1">
      <c r="C34" s="148"/>
    </row>
    <row r="35" ht="12.75" customHeight="1">
      <c r="C35" s="148"/>
    </row>
    <row r="36" ht="12.75" customHeight="1">
      <c r="C36" s="148"/>
    </row>
    <row r="37" ht="12.75" customHeight="1">
      <c r="C37" s="148"/>
    </row>
    <row r="38" ht="12.75" customHeight="1">
      <c r="C38" s="148"/>
    </row>
    <row r="39" ht="12.75" customHeight="1">
      <c r="C39" s="148"/>
    </row>
    <row r="40" ht="12.75" customHeight="1">
      <c r="C40" s="148"/>
    </row>
    <row r="41" ht="12.75" customHeight="1">
      <c r="C41" s="148"/>
    </row>
    <row r="42" ht="12.75" customHeight="1">
      <c r="C42" s="148"/>
    </row>
    <row r="43" ht="12.75" customHeight="1">
      <c r="C43" s="148"/>
    </row>
    <row r="44" ht="12.75" customHeight="1">
      <c r="C44" s="148"/>
    </row>
    <row r="45" ht="12.75" customHeight="1">
      <c r="C45" s="148"/>
    </row>
    <row r="46" ht="12.75" customHeight="1">
      <c r="C46" s="148"/>
    </row>
    <row r="47" ht="12.75" customHeight="1">
      <c r="C47" s="148"/>
    </row>
    <row r="48" ht="12.75" customHeight="1">
      <c r="C48" s="148"/>
    </row>
    <row r="49" ht="12.75" customHeight="1">
      <c r="C49" s="148"/>
    </row>
    <row r="50" ht="12.75" customHeight="1">
      <c r="C50" s="148"/>
    </row>
    <row r="51" ht="12.75" customHeight="1">
      <c r="C51" s="148"/>
    </row>
    <row r="52" ht="12.75" customHeight="1">
      <c r="C52" s="148"/>
    </row>
    <row r="53" ht="12.75" customHeight="1">
      <c r="C53" s="148"/>
    </row>
    <row r="54" ht="12.75" customHeight="1">
      <c r="C54" s="148"/>
    </row>
    <row r="55" ht="12.75" customHeight="1">
      <c r="C55" s="148"/>
    </row>
    <row r="56" ht="12.75" customHeight="1">
      <c r="C56" s="148"/>
    </row>
    <row r="57" ht="12.75" customHeight="1">
      <c r="C57" s="148"/>
    </row>
    <row r="58" ht="12.75" customHeight="1">
      <c r="C58" s="148"/>
    </row>
    <row r="59" ht="12.75" customHeight="1">
      <c r="C59" s="148"/>
    </row>
    <row r="60" ht="12.75" customHeight="1">
      <c r="C60" s="148"/>
    </row>
    <row r="61" ht="12.75" customHeight="1">
      <c r="C61" s="148"/>
    </row>
    <row r="62" ht="12.75" customHeight="1">
      <c r="C62" s="148"/>
    </row>
    <row r="63" ht="12.75" customHeight="1">
      <c r="C63" s="148"/>
    </row>
    <row r="64" ht="12.75" customHeight="1">
      <c r="C64" s="148"/>
    </row>
    <row r="65" ht="12.75" customHeight="1">
      <c r="C65" s="148"/>
    </row>
    <row r="66" ht="12.75" customHeight="1">
      <c r="C66" s="148"/>
    </row>
    <row r="67" ht="12.75" customHeight="1">
      <c r="C67" s="148"/>
    </row>
    <row r="68" ht="12.75" customHeight="1">
      <c r="C68" s="148"/>
    </row>
    <row r="69" ht="12.75" customHeight="1">
      <c r="C69" s="148"/>
    </row>
    <row r="70" ht="12.75" customHeight="1">
      <c r="C70" s="148"/>
    </row>
    <row r="71" ht="12.75" customHeight="1">
      <c r="C71" s="148"/>
    </row>
    <row r="72" ht="12.75" customHeight="1">
      <c r="C72" s="148"/>
    </row>
    <row r="73" ht="12.75" customHeight="1">
      <c r="C73" s="148"/>
    </row>
    <row r="74" ht="12.75" customHeight="1">
      <c r="C74" s="148"/>
    </row>
    <row r="75" ht="12.75" customHeight="1">
      <c r="C75" s="148"/>
    </row>
    <row r="76" ht="12.75" customHeight="1">
      <c r="C76" s="148"/>
    </row>
    <row r="77" ht="12.75" customHeight="1">
      <c r="C77" s="148"/>
    </row>
    <row r="78" ht="12.75" customHeight="1">
      <c r="C78" s="148"/>
    </row>
    <row r="79" ht="12.75" customHeight="1">
      <c r="C79" s="148"/>
    </row>
    <row r="80" ht="12.75" customHeight="1">
      <c r="C80" s="148"/>
    </row>
    <row r="81" ht="12.75" customHeight="1">
      <c r="C81" s="148"/>
    </row>
    <row r="82" ht="12.75" customHeight="1">
      <c r="C82" s="148"/>
    </row>
    <row r="83" ht="12.75" customHeight="1">
      <c r="C83" s="148"/>
    </row>
    <row r="84" ht="12.75" customHeight="1">
      <c r="C84" s="148"/>
    </row>
    <row r="85" ht="12.75" customHeight="1">
      <c r="C85" s="148"/>
    </row>
    <row r="86" ht="12.75" customHeight="1">
      <c r="C86" s="148"/>
    </row>
    <row r="87" ht="12.75" customHeight="1">
      <c r="C87" s="148"/>
    </row>
    <row r="88" ht="12.75" customHeight="1">
      <c r="C88" s="148"/>
    </row>
    <row r="89" ht="12.75" customHeight="1">
      <c r="C89" s="148"/>
    </row>
    <row r="90" ht="12.75" customHeight="1">
      <c r="C90" s="148"/>
    </row>
    <row r="91" ht="12.75" customHeight="1">
      <c r="C91" s="148"/>
    </row>
    <row r="92" ht="12.75" customHeight="1">
      <c r="C92" s="148"/>
    </row>
    <row r="93" ht="12.75" customHeight="1">
      <c r="C93" s="148"/>
    </row>
    <row r="94" ht="12.75" customHeight="1">
      <c r="C94" s="148"/>
    </row>
    <row r="95" ht="12.75" customHeight="1">
      <c r="C95" s="148"/>
    </row>
    <row r="96" ht="12.75" customHeight="1">
      <c r="C96" s="148"/>
    </row>
    <row r="97" ht="12.75" customHeight="1">
      <c r="C97" s="148"/>
    </row>
    <row r="98" ht="12.75" customHeight="1">
      <c r="C98" s="148"/>
    </row>
    <row r="99" ht="12.75" customHeight="1">
      <c r="C99" s="148"/>
    </row>
    <row r="100" ht="12.75" customHeight="1">
      <c r="C100" s="148"/>
    </row>
    <row r="101" ht="12.75" customHeight="1">
      <c r="C101" s="148"/>
    </row>
    <row r="102" ht="12.75" customHeight="1">
      <c r="C102" s="148"/>
    </row>
    <row r="103" ht="12.75" customHeight="1">
      <c r="C103" s="148"/>
    </row>
    <row r="104" ht="12.75" customHeight="1">
      <c r="C104" s="148"/>
    </row>
    <row r="105" ht="12.75" customHeight="1">
      <c r="C105" s="148"/>
    </row>
    <row r="106" ht="12.75" customHeight="1">
      <c r="C106" s="148"/>
    </row>
    <row r="107" ht="12.75" customHeight="1">
      <c r="C107" s="148"/>
    </row>
    <row r="108" ht="12.75" customHeight="1">
      <c r="C108" s="148"/>
    </row>
    <row r="109" ht="12.75" customHeight="1">
      <c r="C109" s="148"/>
    </row>
    <row r="110" ht="12.75" customHeight="1">
      <c r="C110" s="148"/>
    </row>
    <row r="111" ht="12.75" customHeight="1">
      <c r="C111" s="148"/>
    </row>
    <row r="112" ht="12.75" customHeight="1">
      <c r="C112" s="148"/>
    </row>
    <row r="113" ht="12.75" customHeight="1">
      <c r="C113" s="148"/>
    </row>
    <row r="114" ht="12.75" customHeight="1">
      <c r="C114" s="148"/>
    </row>
    <row r="115" ht="12.75" customHeight="1">
      <c r="C115" s="148"/>
    </row>
    <row r="116" ht="12.75" customHeight="1">
      <c r="C116" s="148"/>
    </row>
    <row r="117" ht="12.75" customHeight="1">
      <c r="C117" s="148"/>
    </row>
    <row r="118" ht="12.75" customHeight="1">
      <c r="C118" s="148"/>
    </row>
    <row r="119" ht="12.75" customHeight="1">
      <c r="C119" s="148"/>
    </row>
    <row r="120" ht="12.75" customHeight="1">
      <c r="C120" s="148"/>
    </row>
    <row r="121" ht="12.75" customHeight="1">
      <c r="C121" s="148"/>
    </row>
    <row r="122" ht="12.75" customHeight="1">
      <c r="C122" s="148"/>
    </row>
    <row r="123" ht="12.75" customHeight="1">
      <c r="C123" s="148"/>
    </row>
    <row r="124" ht="12.75" customHeight="1">
      <c r="C124" s="148"/>
    </row>
    <row r="125" ht="12.75" customHeight="1">
      <c r="C125" s="148"/>
    </row>
    <row r="126" ht="12.75" customHeight="1">
      <c r="C126" s="148"/>
    </row>
    <row r="127" ht="12.75" customHeight="1">
      <c r="C127" s="148"/>
    </row>
    <row r="128" ht="12.75" customHeight="1">
      <c r="C128" s="148"/>
    </row>
    <row r="129" ht="12.75" customHeight="1">
      <c r="C129" s="148"/>
    </row>
    <row r="130" ht="12.75" customHeight="1">
      <c r="C130" s="148"/>
    </row>
    <row r="131" ht="12.75" customHeight="1">
      <c r="C131" s="148"/>
    </row>
    <row r="132" ht="12.75" customHeight="1">
      <c r="C132" s="148"/>
    </row>
    <row r="133" ht="12.75" customHeight="1">
      <c r="C133" s="148"/>
    </row>
    <row r="134" ht="12.75" customHeight="1">
      <c r="C134" s="148"/>
    </row>
    <row r="135" ht="12.75" customHeight="1">
      <c r="C135" s="148"/>
    </row>
    <row r="136" ht="12.75" customHeight="1">
      <c r="C136" s="148"/>
    </row>
    <row r="137" ht="12.75" customHeight="1">
      <c r="C137" s="148"/>
    </row>
    <row r="138" ht="12.75" customHeight="1">
      <c r="C138" s="148"/>
    </row>
    <row r="139" ht="12.75" customHeight="1">
      <c r="C139" s="148"/>
    </row>
    <row r="140" ht="12.75" customHeight="1">
      <c r="C140" s="148"/>
    </row>
    <row r="141" ht="12.75" customHeight="1">
      <c r="C141" s="148"/>
    </row>
    <row r="142" ht="12.75" customHeight="1">
      <c r="C142" s="148"/>
    </row>
    <row r="143" ht="12.75" customHeight="1">
      <c r="C143" s="148"/>
    </row>
    <row r="144" ht="12.75" customHeight="1">
      <c r="C144" s="148"/>
    </row>
    <row r="145" ht="12.75" customHeight="1">
      <c r="C145" s="148"/>
    </row>
    <row r="146" ht="12.75" customHeight="1">
      <c r="C146" s="148"/>
    </row>
    <row r="147" ht="12.75" customHeight="1">
      <c r="C147" s="148"/>
    </row>
    <row r="148" ht="12.75" customHeight="1">
      <c r="C148" s="148"/>
    </row>
    <row r="149" ht="12.75" customHeight="1">
      <c r="C149" s="148"/>
    </row>
    <row r="150" ht="12.75" customHeight="1">
      <c r="C150" s="148"/>
    </row>
    <row r="151" ht="12.75" customHeight="1">
      <c r="C151" s="148"/>
    </row>
    <row r="152" ht="12.75" customHeight="1">
      <c r="C152" s="148"/>
    </row>
    <row r="153" ht="12.75" customHeight="1">
      <c r="C153" s="148"/>
    </row>
    <row r="154" ht="12.75" customHeight="1">
      <c r="C154" s="148"/>
    </row>
    <row r="155" ht="12.75" customHeight="1">
      <c r="C155" s="148"/>
    </row>
    <row r="156" ht="12.75" customHeight="1">
      <c r="C156" s="148"/>
    </row>
    <row r="157" ht="12.75" customHeight="1">
      <c r="C157" s="148"/>
    </row>
    <row r="158" ht="12.75" customHeight="1">
      <c r="C158" s="148"/>
    </row>
    <row r="159" ht="12.75" customHeight="1">
      <c r="C159" s="148"/>
    </row>
    <row r="160" ht="12.75" customHeight="1">
      <c r="C160" s="148"/>
    </row>
    <row r="161" ht="12.75" customHeight="1">
      <c r="C161" s="148"/>
    </row>
    <row r="162" ht="12.75" customHeight="1">
      <c r="C162" s="148"/>
    </row>
    <row r="163" ht="12.75" customHeight="1">
      <c r="C163" s="148"/>
    </row>
    <row r="164" ht="12.75" customHeight="1">
      <c r="C164" s="148"/>
    </row>
    <row r="165" ht="12.75" customHeight="1">
      <c r="C165" s="148"/>
    </row>
    <row r="166" ht="12.75" customHeight="1">
      <c r="C166" s="148"/>
    </row>
    <row r="167" ht="12.75" customHeight="1">
      <c r="C167" s="148"/>
    </row>
    <row r="168" ht="12.75" customHeight="1">
      <c r="C168" s="148"/>
    </row>
    <row r="169" ht="12.75" customHeight="1">
      <c r="C169" s="148"/>
    </row>
    <row r="170" ht="12.75" customHeight="1">
      <c r="C170" s="148"/>
    </row>
    <row r="171" ht="12.75" customHeight="1">
      <c r="C171" s="148"/>
    </row>
    <row r="172" ht="12.75" customHeight="1">
      <c r="C172" s="148"/>
    </row>
    <row r="173" ht="12.75" customHeight="1">
      <c r="C173" s="148"/>
    </row>
    <row r="174" ht="12.75" customHeight="1">
      <c r="C174" s="148"/>
    </row>
    <row r="175" ht="12.75" customHeight="1">
      <c r="C175" s="148"/>
    </row>
    <row r="176" ht="12.75" customHeight="1">
      <c r="C176" s="148"/>
    </row>
    <row r="177" ht="12.75" customHeight="1">
      <c r="C177" s="148"/>
    </row>
    <row r="178" ht="12.75" customHeight="1">
      <c r="C178" s="148"/>
    </row>
    <row r="179" ht="12.75" customHeight="1">
      <c r="C179" s="148"/>
    </row>
    <row r="180" ht="12.75" customHeight="1">
      <c r="C180" s="148"/>
    </row>
    <row r="181" ht="12.75" customHeight="1">
      <c r="C181" s="148"/>
    </row>
    <row r="182" ht="12.75" customHeight="1">
      <c r="C182" s="148"/>
    </row>
    <row r="183" ht="12.75" customHeight="1">
      <c r="C183" s="148"/>
    </row>
    <row r="184" ht="12.75" customHeight="1">
      <c r="C184" s="148"/>
    </row>
    <row r="185" ht="12.75" customHeight="1">
      <c r="C185" s="148"/>
    </row>
    <row r="186" ht="12.75" customHeight="1">
      <c r="C186" s="148"/>
    </row>
    <row r="187" ht="12.75" customHeight="1">
      <c r="C187" s="148"/>
    </row>
    <row r="188" ht="12.75" customHeight="1">
      <c r="C188" s="148"/>
    </row>
    <row r="189" ht="12.75" customHeight="1">
      <c r="C189" s="148"/>
    </row>
    <row r="190" ht="12.75" customHeight="1">
      <c r="C190" s="148"/>
    </row>
    <row r="191" ht="12.75" customHeight="1">
      <c r="C191" s="148"/>
    </row>
    <row r="192" ht="12.75" customHeight="1">
      <c r="C192" s="148"/>
    </row>
    <row r="193" ht="12.75" customHeight="1">
      <c r="C193" s="148"/>
    </row>
    <row r="194" ht="12.75" customHeight="1">
      <c r="C194" s="148"/>
    </row>
    <row r="195" ht="12.75" customHeight="1">
      <c r="C195" s="148"/>
    </row>
    <row r="196" ht="12.75" customHeight="1">
      <c r="C196" s="148"/>
    </row>
    <row r="197" ht="12.75" customHeight="1">
      <c r="C197" s="148"/>
    </row>
    <row r="198" ht="12.75" customHeight="1">
      <c r="C198" s="148"/>
    </row>
    <row r="199" ht="12.75" customHeight="1">
      <c r="C199" s="148"/>
    </row>
    <row r="200" ht="12.75" customHeight="1">
      <c r="C200" s="148"/>
    </row>
    <row r="201" ht="12.75" customHeight="1">
      <c r="C201" s="148"/>
    </row>
    <row r="202" ht="12.75" customHeight="1">
      <c r="C202" s="148"/>
    </row>
    <row r="203" ht="12.75" customHeight="1">
      <c r="C203" s="148"/>
    </row>
    <row r="204" ht="12.75" customHeight="1">
      <c r="C204" s="148"/>
    </row>
    <row r="205" ht="12.75" customHeight="1">
      <c r="C205" s="148"/>
    </row>
    <row r="206" ht="12.75" customHeight="1">
      <c r="C206" s="148"/>
    </row>
    <row r="207" ht="12.75" customHeight="1">
      <c r="C207" s="148"/>
    </row>
    <row r="208" ht="12.75" customHeight="1">
      <c r="C208" s="148"/>
    </row>
    <row r="209" ht="12.75" customHeight="1">
      <c r="C209" s="148"/>
    </row>
    <row r="210" ht="12.75" customHeight="1">
      <c r="C210" s="148"/>
    </row>
    <row r="211" ht="12.75" customHeight="1">
      <c r="C211" s="148"/>
    </row>
    <row r="212" ht="12.75" customHeight="1">
      <c r="C212" s="148"/>
    </row>
    <row r="213" ht="12.75" customHeight="1">
      <c r="C213" s="148"/>
    </row>
    <row r="214" ht="12.75" customHeight="1">
      <c r="C214" s="148"/>
    </row>
    <row r="215" ht="12.75" customHeight="1">
      <c r="C215" s="148"/>
    </row>
    <row r="216" ht="12.75" customHeight="1">
      <c r="C216" s="148"/>
    </row>
    <row r="217" ht="12.75" customHeight="1">
      <c r="C217" s="148"/>
    </row>
    <row r="218" ht="12.75" customHeight="1">
      <c r="C218" s="148"/>
    </row>
    <row r="219" ht="12.75" customHeight="1">
      <c r="C219" s="148"/>
    </row>
    <row r="220" ht="12.75" customHeight="1">
      <c r="C220" s="148"/>
    </row>
    <row r="221" ht="12.75" customHeight="1">
      <c r="C221" s="148"/>
    </row>
    <row r="222" ht="12.75" customHeight="1">
      <c r="C222" s="148"/>
    </row>
    <row r="223" ht="12.75" customHeight="1">
      <c r="C223" s="148"/>
    </row>
    <row r="224" ht="12.75" customHeight="1">
      <c r="C224" s="148"/>
    </row>
    <row r="225" ht="12.75" customHeight="1">
      <c r="C225" s="148"/>
    </row>
    <row r="226" ht="12.75" customHeight="1">
      <c r="C226" s="148"/>
    </row>
    <row r="227" ht="12.75" customHeight="1">
      <c r="C227" s="148"/>
    </row>
    <row r="228" ht="12.75" customHeight="1">
      <c r="C228" s="148"/>
    </row>
    <row r="229" ht="12.75" customHeight="1">
      <c r="C229" s="148"/>
    </row>
    <row r="230" ht="12.75" customHeight="1">
      <c r="C230" s="148"/>
    </row>
    <row r="231" ht="12.75" customHeight="1">
      <c r="C231" s="148"/>
    </row>
    <row r="232" ht="12.75" customHeight="1">
      <c r="C232" s="148"/>
    </row>
    <row r="233" ht="12.75" customHeight="1">
      <c r="C233" s="148"/>
    </row>
    <row r="234" ht="12.75" customHeight="1">
      <c r="C234" s="148"/>
    </row>
    <row r="235" ht="12.75" customHeight="1">
      <c r="C235" s="148"/>
    </row>
    <row r="236" ht="12.75" customHeight="1">
      <c r="C236" s="148"/>
    </row>
    <row r="237" ht="12.75" customHeight="1">
      <c r="C237" s="148"/>
    </row>
    <row r="238" ht="12.75" customHeight="1">
      <c r="C238" s="148"/>
    </row>
    <row r="239" ht="12.75" customHeight="1">
      <c r="C239" s="148"/>
    </row>
    <row r="240" ht="12.75" customHeight="1">
      <c r="C240" s="148"/>
    </row>
    <row r="241" ht="12.75" customHeight="1">
      <c r="C241" s="148"/>
    </row>
    <row r="242" ht="12.75" customHeight="1">
      <c r="C242" s="148"/>
    </row>
    <row r="243" ht="12.75" customHeight="1">
      <c r="C243" s="148"/>
    </row>
    <row r="244" ht="12.75" customHeight="1">
      <c r="C244" s="148"/>
    </row>
    <row r="245" ht="12.75" customHeight="1">
      <c r="C245" s="148"/>
    </row>
    <row r="246" ht="12.75" customHeight="1">
      <c r="C246" s="148"/>
    </row>
    <row r="247" ht="12.75" customHeight="1">
      <c r="C247" s="148"/>
    </row>
    <row r="248" ht="12.75" customHeight="1">
      <c r="C248" s="148"/>
    </row>
    <row r="249" ht="12.75" customHeight="1">
      <c r="C249" s="148"/>
    </row>
    <row r="250" ht="12.75" customHeight="1">
      <c r="C250" s="148"/>
    </row>
    <row r="251" ht="12.75" customHeight="1">
      <c r="C251" s="148"/>
    </row>
    <row r="252" ht="12.75" customHeight="1">
      <c r="C252" s="148"/>
    </row>
    <row r="253" ht="12.75" customHeight="1">
      <c r="C253" s="148"/>
    </row>
    <row r="254" ht="12.75" customHeight="1">
      <c r="C254" s="148"/>
    </row>
    <row r="255" ht="12.75" customHeight="1">
      <c r="C255" s="148"/>
    </row>
    <row r="256" ht="12.75" customHeight="1">
      <c r="C256" s="148"/>
    </row>
    <row r="257" ht="12.75" customHeight="1">
      <c r="C257" s="148"/>
    </row>
    <row r="258" ht="12.75" customHeight="1">
      <c r="C258" s="148"/>
    </row>
    <row r="259" ht="12.75" customHeight="1">
      <c r="C259" s="148"/>
    </row>
    <row r="260" ht="12.75" customHeight="1">
      <c r="C260" s="148"/>
    </row>
    <row r="261" ht="12.75" customHeight="1">
      <c r="C261" s="148"/>
    </row>
    <row r="262" ht="12.75" customHeight="1">
      <c r="C262" s="148"/>
    </row>
    <row r="263" ht="12.75" customHeight="1">
      <c r="C263" s="148"/>
    </row>
    <row r="264" ht="12.75" customHeight="1">
      <c r="C264" s="148"/>
    </row>
    <row r="265" ht="12.75" customHeight="1">
      <c r="C265" s="148"/>
    </row>
    <row r="266" ht="12.75" customHeight="1">
      <c r="C266" s="148"/>
    </row>
    <row r="267" ht="12.75" customHeight="1">
      <c r="C267" s="148"/>
    </row>
    <row r="268" ht="12.75" customHeight="1">
      <c r="C268" s="148"/>
    </row>
    <row r="269" ht="12.75" customHeight="1">
      <c r="C269" s="148"/>
    </row>
    <row r="270" ht="12.75" customHeight="1">
      <c r="C270" s="148"/>
    </row>
    <row r="271" ht="12.75" customHeight="1">
      <c r="C271" s="148"/>
    </row>
    <row r="272" ht="12.75" customHeight="1">
      <c r="C272" s="148"/>
    </row>
    <row r="273" ht="12.75" customHeight="1">
      <c r="C273" s="148"/>
    </row>
    <row r="274" ht="12.75" customHeight="1">
      <c r="C274" s="148"/>
    </row>
    <row r="275" ht="12.75" customHeight="1">
      <c r="C275" s="148"/>
    </row>
    <row r="276" ht="12.75" customHeight="1">
      <c r="C276" s="148"/>
    </row>
    <row r="277" ht="12.75" customHeight="1">
      <c r="C277" s="148"/>
    </row>
    <row r="278" ht="12.75" customHeight="1">
      <c r="C278" s="148"/>
    </row>
    <row r="279" ht="12.75" customHeight="1">
      <c r="C279" s="148"/>
    </row>
    <row r="280" ht="12.75" customHeight="1">
      <c r="C280" s="148"/>
    </row>
    <row r="281" ht="12.75" customHeight="1">
      <c r="C281" s="148"/>
    </row>
    <row r="282" ht="12.75" customHeight="1">
      <c r="C282" s="148"/>
    </row>
    <row r="283" ht="12.75" customHeight="1">
      <c r="C283" s="148"/>
    </row>
    <row r="284" ht="12.75" customHeight="1">
      <c r="C284" s="148"/>
    </row>
    <row r="285" ht="12.75" customHeight="1">
      <c r="C285" s="148"/>
    </row>
    <row r="286" ht="12.75" customHeight="1">
      <c r="C286" s="148"/>
    </row>
    <row r="287" ht="12.75" customHeight="1">
      <c r="C287" s="148"/>
    </row>
    <row r="288" ht="12.75" customHeight="1">
      <c r="C288" s="148"/>
    </row>
    <row r="289" ht="12.75" customHeight="1">
      <c r="C289" s="148"/>
    </row>
    <row r="290" ht="12.75" customHeight="1">
      <c r="C290" s="148"/>
    </row>
    <row r="291" ht="12.75" customHeight="1">
      <c r="C291" s="148"/>
    </row>
    <row r="292" ht="12.75" customHeight="1">
      <c r="C292" s="148"/>
    </row>
    <row r="293" ht="12.75" customHeight="1">
      <c r="C293" s="148"/>
    </row>
    <row r="294" ht="12.75" customHeight="1">
      <c r="C294" s="148"/>
    </row>
    <row r="295" ht="12.75" customHeight="1">
      <c r="C295" s="148"/>
    </row>
    <row r="296" ht="12.75" customHeight="1">
      <c r="C296" s="148"/>
    </row>
    <row r="297" ht="12.75" customHeight="1">
      <c r="C297" s="148"/>
    </row>
    <row r="298" ht="12.75" customHeight="1">
      <c r="C298" s="148"/>
    </row>
    <row r="299" ht="12.75" customHeight="1">
      <c r="C299" s="148"/>
    </row>
    <row r="300" ht="12.75" customHeight="1">
      <c r="C300" s="148"/>
    </row>
    <row r="301" ht="12.75" customHeight="1">
      <c r="C301" s="148"/>
    </row>
    <row r="302" ht="12.75" customHeight="1">
      <c r="C302" s="148"/>
    </row>
    <row r="303" ht="12.75" customHeight="1">
      <c r="C303" s="148"/>
    </row>
    <row r="304" ht="12.75" customHeight="1">
      <c r="C304" s="148"/>
    </row>
    <row r="305" ht="12.75" customHeight="1">
      <c r="C305" s="148"/>
    </row>
    <row r="306" ht="12.75" customHeight="1">
      <c r="C306" s="148"/>
    </row>
    <row r="307" ht="12.75" customHeight="1">
      <c r="C307" s="148"/>
    </row>
    <row r="308" ht="12.75" customHeight="1">
      <c r="C308" s="148"/>
    </row>
    <row r="309" ht="12.75" customHeight="1">
      <c r="C309" s="148"/>
    </row>
    <row r="310" ht="12.75" customHeight="1">
      <c r="C310" s="148"/>
    </row>
    <row r="311" ht="12.75" customHeight="1">
      <c r="C311" s="148"/>
    </row>
    <row r="312" ht="12.75" customHeight="1">
      <c r="C312" s="148"/>
    </row>
    <row r="313" ht="12.75" customHeight="1">
      <c r="C313" s="148"/>
    </row>
    <row r="314" ht="12.75" customHeight="1">
      <c r="C314" s="148"/>
    </row>
    <row r="315" ht="12.75" customHeight="1">
      <c r="C315" s="148"/>
    </row>
    <row r="316" ht="12.75" customHeight="1">
      <c r="C316" s="148"/>
    </row>
    <row r="317" ht="12.75" customHeight="1">
      <c r="C317" s="148"/>
    </row>
    <row r="318" ht="12.75" customHeight="1">
      <c r="C318" s="148"/>
    </row>
    <row r="319" ht="12.75" customHeight="1">
      <c r="C319" s="148"/>
    </row>
    <row r="320" ht="12.75" customHeight="1">
      <c r="C320" s="148"/>
    </row>
    <row r="321" ht="12.75" customHeight="1">
      <c r="C321" s="148"/>
    </row>
    <row r="322" ht="12.75" customHeight="1">
      <c r="C322" s="148"/>
    </row>
    <row r="323" ht="12.75" customHeight="1">
      <c r="C323" s="148"/>
    </row>
    <row r="324" ht="12.75" customHeight="1">
      <c r="C324" s="148"/>
    </row>
    <row r="325" ht="12.75" customHeight="1">
      <c r="C325" s="148"/>
    </row>
    <row r="326" ht="12.75" customHeight="1">
      <c r="C326" s="148"/>
    </row>
    <row r="327" ht="12.75" customHeight="1">
      <c r="C327" s="148"/>
    </row>
    <row r="328" ht="12.75" customHeight="1">
      <c r="C328" s="148"/>
    </row>
    <row r="329" ht="12.75" customHeight="1">
      <c r="C329" s="148"/>
    </row>
    <row r="330" ht="12.75" customHeight="1">
      <c r="C330" s="148"/>
    </row>
    <row r="331" ht="12.75" customHeight="1">
      <c r="C331" s="148"/>
    </row>
    <row r="332" ht="12.75" customHeight="1">
      <c r="C332" s="148"/>
    </row>
    <row r="333" ht="12.75" customHeight="1">
      <c r="C333" s="148"/>
    </row>
    <row r="334" ht="12.75" customHeight="1">
      <c r="C334" s="148"/>
    </row>
    <row r="335" ht="12.75" customHeight="1">
      <c r="C335" s="148"/>
    </row>
    <row r="336" ht="12.75" customHeight="1">
      <c r="C336" s="148"/>
    </row>
    <row r="337" ht="12.75" customHeight="1">
      <c r="C337" s="148"/>
    </row>
    <row r="338" ht="12.75" customHeight="1">
      <c r="C338" s="148"/>
    </row>
    <row r="339" ht="12.75" customHeight="1">
      <c r="C339" s="148"/>
    </row>
    <row r="340" ht="12.75" customHeight="1">
      <c r="C340" s="148"/>
    </row>
    <row r="341" ht="12.75" customHeight="1">
      <c r="C341" s="148"/>
    </row>
    <row r="342" ht="12.75" customHeight="1">
      <c r="C342" s="148"/>
    </row>
    <row r="343" ht="12.75" customHeight="1">
      <c r="C343" s="148"/>
    </row>
    <row r="344" ht="12.75" customHeight="1">
      <c r="C344" s="148"/>
    </row>
    <row r="345" ht="12.75" customHeight="1">
      <c r="C345" s="148"/>
    </row>
    <row r="346" ht="12.75" customHeight="1">
      <c r="C346" s="148"/>
    </row>
    <row r="347" ht="12.75" customHeight="1">
      <c r="C347" s="148"/>
    </row>
    <row r="348" ht="12.75" customHeight="1">
      <c r="C348" s="148"/>
    </row>
    <row r="349" ht="12.75" customHeight="1">
      <c r="C349" s="148"/>
    </row>
    <row r="350" ht="12.75" customHeight="1">
      <c r="C350" s="148"/>
    </row>
    <row r="351" ht="12.75" customHeight="1">
      <c r="C351" s="148"/>
    </row>
    <row r="352" ht="12.75" customHeight="1">
      <c r="C352" s="148"/>
    </row>
    <row r="353" ht="12.75" customHeight="1">
      <c r="C353" s="148"/>
    </row>
    <row r="354" ht="12.75" customHeight="1">
      <c r="C354" s="148"/>
    </row>
    <row r="355" ht="12.75" customHeight="1">
      <c r="C355" s="148"/>
    </row>
    <row r="356" ht="12.75" customHeight="1">
      <c r="C356" s="148"/>
    </row>
    <row r="357" ht="12.75" customHeight="1">
      <c r="C357" s="148"/>
    </row>
    <row r="358" ht="12.75" customHeight="1">
      <c r="C358" s="148"/>
    </row>
    <row r="359" ht="12.75" customHeight="1">
      <c r="C359" s="148"/>
    </row>
    <row r="360" ht="12.75" customHeight="1">
      <c r="C360" s="148"/>
    </row>
    <row r="361" ht="12.75" customHeight="1">
      <c r="C361" s="148"/>
    </row>
    <row r="362" ht="12.75" customHeight="1">
      <c r="C362" s="148"/>
    </row>
    <row r="363" ht="12.75" customHeight="1">
      <c r="C363" s="148"/>
    </row>
    <row r="364" ht="12.75" customHeight="1">
      <c r="C364" s="148"/>
    </row>
    <row r="365" ht="12.75" customHeight="1">
      <c r="C365" s="148"/>
    </row>
    <row r="366" ht="12.75" customHeight="1">
      <c r="C366" s="148"/>
    </row>
    <row r="367" ht="12.75" customHeight="1">
      <c r="C367" s="148"/>
    </row>
    <row r="368" ht="12.75" customHeight="1">
      <c r="C368" s="148"/>
    </row>
    <row r="369" ht="12.75" customHeight="1">
      <c r="C369" s="148"/>
    </row>
    <row r="370" ht="12.75" customHeight="1">
      <c r="C370" s="148"/>
    </row>
    <row r="371" ht="12.75" customHeight="1">
      <c r="C371" s="148"/>
    </row>
    <row r="372" ht="12.75" customHeight="1">
      <c r="C372" s="148"/>
    </row>
    <row r="373" ht="12.75" customHeight="1">
      <c r="C373" s="148"/>
    </row>
    <row r="374" ht="12.75" customHeight="1">
      <c r="C374" s="148"/>
    </row>
    <row r="375" ht="12.75" customHeight="1">
      <c r="C375" s="148"/>
    </row>
    <row r="376" ht="12.75" customHeight="1">
      <c r="C376" s="148"/>
    </row>
    <row r="377" ht="12.75" customHeight="1">
      <c r="C377" s="148"/>
    </row>
    <row r="378" ht="12.75" customHeight="1">
      <c r="C378" s="148"/>
    </row>
    <row r="379" ht="12.75" customHeight="1">
      <c r="C379" s="148"/>
    </row>
    <row r="380" ht="12.75" customHeight="1">
      <c r="C380" s="148"/>
    </row>
    <row r="381" ht="12.75" customHeight="1">
      <c r="C381" s="148"/>
    </row>
    <row r="382" ht="12.75" customHeight="1">
      <c r="C382" s="148"/>
    </row>
    <row r="383" ht="12.75" customHeight="1">
      <c r="C383" s="148"/>
    </row>
    <row r="384" ht="12.75" customHeight="1">
      <c r="C384" s="148"/>
    </row>
    <row r="385" ht="12.75" customHeight="1">
      <c r="C385" s="148"/>
    </row>
    <row r="386" ht="12.75" customHeight="1">
      <c r="C386" s="148"/>
    </row>
    <row r="387" ht="12.75" customHeight="1">
      <c r="C387" s="148"/>
    </row>
    <row r="388" ht="12.75" customHeight="1">
      <c r="C388" s="148"/>
    </row>
    <row r="389" ht="12.75" customHeight="1">
      <c r="C389" s="148"/>
    </row>
    <row r="390" ht="12.75" customHeight="1">
      <c r="C390" s="148"/>
    </row>
    <row r="391" ht="12.75" customHeight="1">
      <c r="C391" s="148"/>
    </row>
    <row r="392" ht="12.75" customHeight="1">
      <c r="C392" s="148"/>
    </row>
    <row r="393" ht="12.75" customHeight="1">
      <c r="C393" s="148"/>
    </row>
    <row r="394" ht="12.75" customHeight="1">
      <c r="C394" s="148"/>
    </row>
    <row r="395" ht="12.75" customHeight="1">
      <c r="C395" s="148"/>
    </row>
    <row r="396" ht="12.75" customHeight="1">
      <c r="C396" s="148"/>
    </row>
    <row r="397" ht="12.75" customHeight="1">
      <c r="C397" s="148"/>
    </row>
    <row r="398" ht="12.75" customHeight="1">
      <c r="C398" s="148"/>
    </row>
    <row r="399" ht="12.75" customHeight="1">
      <c r="C399" s="148"/>
    </row>
    <row r="400" ht="12.75" customHeight="1">
      <c r="C400" s="148"/>
    </row>
    <row r="401" ht="12.75" customHeight="1">
      <c r="C401" s="148"/>
    </row>
    <row r="402" ht="12.75" customHeight="1">
      <c r="C402" s="148"/>
    </row>
    <row r="403" ht="12.75" customHeight="1">
      <c r="C403" s="148"/>
    </row>
    <row r="404" ht="12.75" customHeight="1">
      <c r="C404" s="148"/>
    </row>
    <row r="405" ht="12.75" customHeight="1">
      <c r="C405" s="148"/>
    </row>
    <row r="406" ht="12.75" customHeight="1">
      <c r="C406" s="148"/>
    </row>
    <row r="407" ht="12.75" customHeight="1">
      <c r="C407" s="148"/>
    </row>
    <row r="408" ht="12.75" customHeight="1">
      <c r="C408" s="148"/>
    </row>
    <row r="409" ht="12.75" customHeight="1">
      <c r="C409" s="148"/>
    </row>
    <row r="410" ht="12.75" customHeight="1">
      <c r="C410" s="148"/>
    </row>
    <row r="411" ht="12.75" customHeight="1">
      <c r="C411" s="148"/>
    </row>
    <row r="412" ht="12.75" customHeight="1">
      <c r="C412" s="148"/>
    </row>
    <row r="413" ht="12.75" customHeight="1">
      <c r="C413" s="148"/>
    </row>
    <row r="414" ht="12.75" customHeight="1">
      <c r="C414" s="148"/>
    </row>
    <row r="415" ht="12.75" customHeight="1">
      <c r="C415" s="148"/>
    </row>
    <row r="416" ht="12.75" customHeight="1">
      <c r="C416" s="148"/>
    </row>
    <row r="417" ht="12.75" customHeight="1">
      <c r="C417" s="148"/>
    </row>
    <row r="418" ht="12.75" customHeight="1">
      <c r="C418" s="148"/>
    </row>
    <row r="419" ht="12.75" customHeight="1">
      <c r="C419" s="148"/>
    </row>
    <row r="420" ht="12.75" customHeight="1">
      <c r="C420" s="148"/>
    </row>
    <row r="421" ht="12.75" customHeight="1">
      <c r="C421" s="148"/>
    </row>
    <row r="422" ht="12.75" customHeight="1">
      <c r="C422" s="148"/>
    </row>
    <row r="423" ht="12.75" customHeight="1">
      <c r="C423" s="148"/>
    </row>
    <row r="424" ht="12.75" customHeight="1">
      <c r="C424" s="148"/>
    </row>
    <row r="425" ht="12.75" customHeight="1">
      <c r="C425" s="148"/>
    </row>
    <row r="426" ht="12.75" customHeight="1">
      <c r="C426" s="148"/>
    </row>
    <row r="427" ht="12.75" customHeight="1">
      <c r="C427" s="148"/>
    </row>
    <row r="428" ht="12.75" customHeight="1">
      <c r="C428" s="148"/>
    </row>
    <row r="429" ht="12.75" customHeight="1">
      <c r="C429" s="148"/>
    </row>
    <row r="430" ht="12.75" customHeight="1">
      <c r="C430" s="148"/>
    </row>
    <row r="431" ht="12.75" customHeight="1">
      <c r="C431" s="148"/>
    </row>
    <row r="432" ht="12.75" customHeight="1">
      <c r="C432" s="148"/>
    </row>
    <row r="433" ht="12.75" customHeight="1">
      <c r="C433" s="148"/>
    </row>
    <row r="434" ht="12.75" customHeight="1">
      <c r="C434" s="148"/>
    </row>
    <row r="435" ht="12.75" customHeight="1">
      <c r="C435" s="148"/>
    </row>
    <row r="436" ht="12.75" customHeight="1">
      <c r="C436" s="148"/>
    </row>
    <row r="437" ht="12.75" customHeight="1">
      <c r="C437" s="148"/>
    </row>
    <row r="438" ht="12.75" customHeight="1">
      <c r="C438" s="148"/>
    </row>
    <row r="439" ht="12.75" customHeight="1">
      <c r="C439" s="148"/>
    </row>
    <row r="440" ht="12.75" customHeight="1">
      <c r="C440" s="148"/>
    </row>
    <row r="441" ht="12.75" customHeight="1">
      <c r="C441" s="148"/>
    </row>
    <row r="442" ht="12.75" customHeight="1">
      <c r="C442" s="148"/>
    </row>
    <row r="443" ht="12.75" customHeight="1">
      <c r="C443" s="148"/>
    </row>
    <row r="444" ht="12.75" customHeight="1">
      <c r="C444" s="148"/>
    </row>
    <row r="445" ht="12.75" customHeight="1">
      <c r="C445" s="148"/>
    </row>
    <row r="446" ht="12.75" customHeight="1">
      <c r="C446" s="148"/>
    </row>
    <row r="447" ht="12.75" customHeight="1">
      <c r="C447" s="148"/>
    </row>
    <row r="448" ht="12.75" customHeight="1">
      <c r="C448" s="148"/>
    </row>
    <row r="449" ht="12.75" customHeight="1">
      <c r="C449" s="148"/>
    </row>
    <row r="450" ht="12.75" customHeight="1">
      <c r="C450" s="148"/>
    </row>
    <row r="451" ht="12.75" customHeight="1">
      <c r="C451" s="148"/>
    </row>
    <row r="452" ht="12.75" customHeight="1">
      <c r="C452" s="148"/>
    </row>
    <row r="453" ht="12.75" customHeight="1">
      <c r="C453" s="148"/>
    </row>
    <row r="454" ht="12.75" customHeight="1">
      <c r="C454" s="148"/>
    </row>
    <row r="455" ht="12.75" customHeight="1">
      <c r="C455" s="148"/>
    </row>
    <row r="456" ht="12.75" customHeight="1">
      <c r="C456" s="148"/>
    </row>
    <row r="457" ht="12.75" customHeight="1">
      <c r="C457" s="148"/>
    </row>
    <row r="458" ht="12.75" customHeight="1">
      <c r="C458" s="148"/>
    </row>
    <row r="459" ht="12.75" customHeight="1">
      <c r="C459" s="148"/>
    </row>
    <row r="460" ht="12.75" customHeight="1">
      <c r="C460" s="148"/>
    </row>
    <row r="461" ht="12.75" customHeight="1">
      <c r="C461" s="148"/>
    </row>
    <row r="462" ht="12.75" customHeight="1">
      <c r="C462" s="148"/>
    </row>
    <row r="463" ht="12.75" customHeight="1">
      <c r="C463" s="148"/>
    </row>
    <row r="464" ht="12.75" customHeight="1">
      <c r="C464" s="148"/>
    </row>
    <row r="465" ht="12.75" customHeight="1">
      <c r="C465" s="148"/>
    </row>
    <row r="466" ht="12.75" customHeight="1">
      <c r="C466" s="148"/>
    </row>
    <row r="467" ht="12.75" customHeight="1">
      <c r="C467" s="148"/>
    </row>
    <row r="468" ht="12.75" customHeight="1">
      <c r="C468" s="148"/>
    </row>
    <row r="469" ht="12.75" customHeight="1">
      <c r="C469" s="148"/>
    </row>
    <row r="470" ht="12.75" customHeight="1">
      <c r="C470" s="148"/>
    </row>
    <row r="471" ht="12.75" customHeight="1">
      <c r="C471" s="148"/>
    </row>
    <row r="472" ht="12.75" customHeight="1">
      <c r="C472" s="148"/>
    </row>
    <row r="473" ht="12.75" customHeight="1">
      <c r="C473" s="148"/>
    </row>
    <row r="474" ht="12.75" customHeight="1">
      <c r="C474" s="148"/>
    </row>
    <row r="475" ht="12.75" customHeight="1">
      <c r="C475" s="148"/>
    </row>
    <row r="476" ht="12.75" customHeight="1">
      <c r="C476" s="148"/>
    </row>
    <row r="477" ht="12.75" customHeight="1">
      <c r="C477" s="148"/>
    </row>
    <row r="478" ht="12.75" customHeight="1">
      <c r="C478" s="148"/>
    </row>
    <row r="479" ht="12.75" customHeight="1">
      <c r="C479" s="148"/>
    </row>
    <row r="480" ht="12.75" customHeight="1">
      <c r="C480" s="148"/>
    </row>
    <row r="481" ht="12.75" customHeight="1">
      <c r="C481" s="148"/>
    </row>
    <row r="482" ht="12.75" customHeight="1">
      <c r="C482" s="148"/>
    </row>
    <row r="483" ht="12.75" customHeight="1">
      <c r="C483" s="148"/>
    </row>
    <row r="484" ht="12.75" customHeight="1">
      <c r="C484" s="148"/>
    </row>
    <row r="485" ht="12.75" customHeight="1">
      <c r="C485" s="148"/>
    </row>
    <row r="486" ht="12.75" customHeight="1">
      <c r="C486" s="148"/>
    </row>
    <row r="487" ht="12.75" customHeight="1">
      <c r="C487" s="148"/>
    </row>
    <row r="488" ht="12.75" customHeight="1">
      <c r="C488" s="148"/>
    </row>
    <row r="489" ht="12.75" customHeight="1">
      <c r="C489" s="148"/>
    </row>
    <row r="490" ht="12.75" customHeight="1">
      <c r="C490" s="148"/>
    </row>
    <row r="491" ht="12.75" customHeight="1">
      <c r="C491" s="148"/>
    </row>
    <row r="492" ht="12.75" customHeight="1">
      <c r="C492" s="148"/>
    </row>
    <row r="493" ht="12.75" customHeight="1">
      <c r="C493" s="148"/>
    </row>
    <row r="494" ht="12.75" customHeight="1">
      <c r="C494" s="148"/>
    </row>
    <row r="495" ht="12.75" customHeight="1">
      <c r="C495" s="148"/>
    </row>
    <row r="496" ht="12.75" customHeight="1">
      <c r="C496" s="148"/>
    </row>
    <row r="497" ht="12.75" customHeight="1">
      <c r="C497" s="148"/>
    </row>
    <row r="498" ht="12.75" customHeight="1">
      <c r="C498" s="148"/>
    </row>
    <row r="499" ht="12.75" customHeight="1">
      <c r="C499" s="148"/>
    </row>
    <row r="500" ht="12.75" customHeight="1">
      <c r="C500" s="148"/>
    </row>
    <row r="501" ht="12.75" customHeight="1">
      <c r="C501" s="148"/>
    </row>
    <row r="502" ht="12.75" customHeight="1">
      <c r="C502" s="148"/>
    </row>
    <row r="503" ht="12.75" customHeight="1">
      <c r="C503" s="148"/>
    </row>
    <row r="504" ht="12.75" customHeight="1">
      <c r="C504" s="148"/>
    </row>
    <row r="505" ht="12.75" customHeight="1">
      <c r="C505" s="148"/>
    </row>
    <row r="506" ht="12.75" customHeight="1">
      <c r="C506" s="148"/>
    </row>
    <row r="507" ht="12.75" customHeight="1">
      <c r="C507" s="148"/>
    </row>
    <row r="508" ht="12.75" customHeight="1">
      <c r="C508" s="148"/>
    </row>
    <row r="509" ht="12.75" customHeight="1">
      <c r="C509" s="148"/>
    </row>
    <row r="510" ht="12.75" customHeight="1">
      <c r="C510" s="148"/>
    </row>
    <row r="511" ht="12.75" customHeight="1">
      <c r="C511" s="148"/>
    </row>
    <row r="512" ht="12.75" customHeight="1">
      <c r="C512" s="148"/>
    </row>
    <row r="513" ht="12.75" customHeight="1">
      <c r="C513" s="148"/>
    </row>
    <row r="514" ht="12.75" customHeight="1">
      <c r="C514" s="148"/>
    </row>
    <row r="515" ht="12.75" customHeight="1">
      <c r="C515" s="148"/>
    </row>
    <row r="516" ht="12.75" customHeight="1">
      <c r="C516" s="148"/>
    </row>
    <row r="517" ht="12.75" customHeight="1">
      <c r="C517" s="148"/>
    </row>
    <row r="518" ht="12.75" customHeight="1">
      <c r="C518" s="148"/>
    </row>
    <row r="519" ht="12.75" customHeight="1">
      <c r="C519" s="148"/>
    </row>
    <row r="520" ht="12.75" customHeight="1">
      <c r="C520" s="148"/>
    </row>
    <row r="521" ht="12.75" customHeight="1">
      <c r="C521" s="148"/>
    </row>
    <row r="522" ht="12.75" customHeight="1">
      <c r="C522" s="148"/>
    </row>
    <row r="523" ht="12.75" customHeight="1">
      <c r="C523" s="148"/>
    </row>
    <row r="524" ht="12.75" customHeight="1">
      <c r="C524" s="148"/>
    </row>
    <row r="525" ht="12.75" customHeight="1">
      <c r="C525" s="148"/>
    </row>
    <row r="526" ht="12.75" customHeight="1">
      <c r="C526" s="148"/>
    </row>
    <row r="527" ht="12.75" customHeight="1">
      <c r="C527" s="148"/>
    </row>
    <row r="528" ht="12.75" customHeight="1">
      <c r="C528" s="148"/>
    </row>
    <row r="529" ht="12.75" customHeight="1">
      <c r="C529" s="148"/>
    </row>
    <row r="530" ht="12.75" customHeight="1">
      <c r="C530" s="148"/>
    </row>
    <row r="531" ht="12.75" customHeight="1">
      <c r="C531" s="148"/>
    </row>
    <row r="532" ht="12.75" customHeight="1">
      <c r="C532" s="148"/>
    </row>
    <row r="533" ht="12.75" customHeight="1">
      <c r="C533" s="148"/>
    </row>
    <row r="534" ht="12.75" customHeight="1">
      <c r="C534" s="148"/>
    </row>
    <row r="535" ht="12.75" customHeight="1">
      <c r="C535" s="148"/>
    </row>
    <row r="536" ht="12.75" customHeight="1">
      <c r="C536" s="148"/>
    </row>
    <row r="537" ht="12.75" customHeight="1">
      <c r="C537" s="148"/>
    </row>
    <row r="538" ht="12.75" customHeight="1">
      <c r="C538" s="148"/>
    </row>
    <row r="539" ht="12.75" customHeight="1">
      <c r="C539" s="148"/>
    </row>
    <row r="540" ht="12.75" customHeight="1">
      <c r="C540" s="148"/>
    </row>
    <row r="541" ht="12.75" customHeight="1">
      <c r="C541" s="148"/>
    </row>
    <row r="542" ht="12.75" customHeight="1">
      <c r="C542" s="148"/>
    </row>
    <row r="543" ht="12.75" customHeight="1">
      <c r="C543" s="148"/>
    </row>
    <row r="544" ht="12.75" customHeight="1">
      <c r="C544" s="148"/>
    </row>
    <row r="545" ht="12.75" customHeight="1">
      <c r="C545" s="148"/>
    </row>
    <row r="546" ht="12.75" customHeight="1">
      <c r="C546" s="148"/>
    </row>
    <row r="547" ht="12.75" customHeight="1">
      <c r="C547" s="148"/>
    </row>
    <row r="548" ht="12.75" customHeight="1">
      <c r="C548" s="148"/>
    </row>
    <row r="549" ht="12.75" customHeight="1">
      <c r="C549" s="148"/>
    </row>
    <row r="550" ht="12.75" customHeight="1">
      <c r="C550" s="148"/>
    </row>
    <row r="551" ht="12.75" customHeight="1">
      <c r="C551" s="148"/>
    </row>
    <row r="552" ht="12.75" customHeight="1">
      <c r="C552" s="148"/>
    </row>
    <row r="553" ht="12.75" customHeight="1">
      <c r="C553" s="148"/>
    </row>
    <row r="554" ht="12.75" customHeight="1">
      <c r="C554" s="148"/>
    </row>
    <row r="555" ht="12.75" customHeight="1">
      <c r="C555" s="148"/>
    </row>
    <row r="556" ht="12.75" customHeight="1">
      <c r="C556" s="148"/>
    </row>
    <row r="557" ht="12.75" customHeight="1">
      <c r="C557" s="148"/>
    </row>
    <row r="558" ht="12.75" customHeight="1">
      <c r="C558" s="148"/>
    </row>
    <row r="559" ht="12.75" customHeight="1">
      <c r="C559" s="148"/>
    </row>
    <row r="560" ht="12.75" customHeight="1">
      <c r="C560" s="148"/>
    </row>
    <row r="561" ht="12.75" customHeight="1">
      <c r="C561" s="148"/>
    </row>
    <row r="562" ht="12.75" customHeight="1">
      <c r="C562" s="148"/>
    </row>
    <row r="563" ht="12.75" customHeight="1">
      <c r="C563" s="148"/>
    </row>
    <row r="564" ht="12.75" customHeight="1">
      <c r="C564" s="148"/>
    </row>
    <row r="565" ht="12.75" customHeight="1">
      <c r="C565" s="148"/>
    </row>
    <row r="566" ht="12.75" customHeight="1">
      <c r="C566" s="148"/>
    </row>
    <row r="567" ht="12.75" customHeight="1">
      <c r="C567" s="148"/>
    </row>
    <row r="568" ht="12.75" customHeight="1">
      <c r="C568" s="148"/>
    </row>
    <row r="569" ht="12.75" customHeight="1">
      <c r="C569" s="148"/>
    </row>
    <row r="570" ht="12.75" customHeight="1">
      <c r="C570" s="148"/>
    </row>
    <row r="571" ht="12.75" customHeight="1">
      <c r="C571" s="148"/>
    </row>
    <row r="572" ht="12.75" customHeight="1">
      <c r="C572" s="148"/>
    </row>
    <row r="573" ht="12.75" customHeight="1">
      <c r="C573" s="148"/>
    </row>
    <row r="574" ht="12.75" customHeight="1">
      <c r="C574" s="148"/>
    </row>
    <row r="575" ht="12.75" customHeight="1">
      <c r="C575" s="148"/>
    </row>
    <row r="576" ht="12.75" customHeight="1">
      <c r="C576" s="148"/>
    </row>
    <row r="577" ht="12.75" customHeight="1">
      <c r="C577" s="148"/>
    </row>
    <row r="578" ht="12.75" customHeight="1">
      <c r="C578" s="148"/>
    </row>
    <row r="579" ht="12.75" customHeight="1">
      <c r="C579" s="148"/>
    </row>
    <row r="580" ht="12.75" customHeight="1">
      <c r="C580" s="148"/>
    </row>
    <row r="581" ht="12.75" customHeight="1">
      <c r="C581" s="148"/>
    </row>
    <row r="582" ht="12.75" customHeight="1">
      <c r="C582" s="148"/>
    </row>
    <row r="583" ht="12.75" customHeight="1">
      <c r="C583" s="148"/>
    </row>
    <row r="584" ht="12.75" customHeight="1">
      <c r="C584" s="148"/>
    </row>
    <row r="585" ht="12.75" customHeight="1">
      <c r="C585" s="148"/>
    </row>
    <row r="586" ht="12.75" customHeight="1">
      <c r="C586" s="148"/>
    </row>
    <row r="587" ht="12.75" customHeight="1">
      <c r="C587" s="148"/>
    </row>
    <row r="588" ht="12.75" customHeight="1">
      <c r="C588" s="148"/>
    </row>
    <row r="589" ht="12.75" customHeight="1">
      <c r="C589" s="148"/>
    </row>
    <row r="590" ht="12.75" customHeight="1">
      <c r="C590" s="148"/>
    </row>
    <row r="591" ht="12.75" customHeight="1">
      <c r="C591" s="148"/>
    </row>
    <row r="592" ht="12.75" customHeight="1">
      <c r="C592" s="148"/>
    </row>
    <row r="593" ht="12.75" customHeight="1">
      <c r="C593" s="148"/>
    </row>
    <row r="594" ht="12.75" customHeight="1">
      <c r="C594" s="148"/>
    </row>
    <row r="595" ht="12.75" customHeight="1">
      <c r="C595" s="148"/>
    </row>
    <row r="596" ht="12.75" customHeight="1">
      <c r="C596" s="148"/>
    </row>
    <row r="597" ht="12.75" customHeight="1">
      <c r="C597" s="148"/>
    </row>
    <row r="598" ht="12.75" customHeight="1">
      <c r="C598" s="148"/>
    </row>
    <row r="599" ht="12.75" customHeight="1">
      <c r="C599" s="148"/>
    </row>
    <row r="600" ht="12.75" customHeight="1">
      <c r="C600" s="148"/>
    </row>
    <row r="601" ht="12.75" customHeight="1">
      <c r="C601" s="148"/>
    </row>
    <row r="602" ht="12.75" customHeight="1">
      <c r="C602" s="148"/>
    </row>
    <row r="603" ht="12.75" customHeight="1">
      <c r="C603" s="148"/>
    </row>
    <row r="604" ht="12.75" customHeight="1">
      <c r="C604" s="148"/>
    </row>
    <row r="605" ht="12.75" customHeight="1">
      <c r="C605" s="148"/>
    </row>
    <row r="606" ht="12.75" customHeight="1">
      <c r="C606" s="148"/>
    </row>
    <row r="607" ht="12.75" customHeight="1">
      <c r="C607" s="148"/>
    </row>
    <row r="608" ht="12.75" customHeight="1">
      <c r="C608" s="148"/>
    </row>
    <row r="609" ht="12.75" customHeight="1">
      <c r="C609" s="148"/>
    </row>
    <row r="610" ht="12.75" customHeight="1">
      <c r="C610" s="148"/>
    </row>
    <row r="611" ht="12.75" customHeight="1">
      <c r="C611" s="148"/>
    </row>
    <row r="612" ht="12.75" customHeight="1">
      <c r="C612" s="148"/>
    </row>
    <row r="613" ht="12.75" customHeight="1">
      <c r="C613" s="148"/>
    </row>
    <row r="614" ht="12.75" customHeight="1">
      <c r="C614" s="148"/>
    </row>
    <row r="615" ht="12.75" customHeight="1">
      <c r="C615" s="148"/>
    </row>
    <row r="616" ht="12.75" customHeight="1">
      <c r="C616" s="148"/>
    </row>
    <row r="617" ht="12.75" customHeight="1">
      <c r="C617" s="148"/>
    </row>
    <row r="618" ht="12.75" customHeight="1">
      <c r="C618" s="148"/>
    </row>
    <row r="619" ht="12.75" customHeight="1">
      <c r="C619" s="148"/>
    </row>
    <row r="620" ht="12.75" customHeight="1">
      <c r="C620" s="148"/>
    </row>
    <row r="621" ht="12.75" customHeight="1">
      <c r="C621" s="148"/>
    </row>
    <row r="622" ht="12.75" customHeight="1">
      <c r="C622" s="148"/>
    </row>
    <row r="623" ht="12.75" customHeight="1">
      <c r="C623" s="148"/>
    </row>
    <row r="624" ht="12.75" customHeight="1">
      <c r="C624" s="148"/>
    </row>
    <row r="625" ht="12.75" customHeight="1">
      <c r="C625" s="148"/>
    </row>
    <row r="626" ht="12.75" customHeight="1">
      <c r="C626" s="148"/>
    </row>
    <row r="627" ht="12.75" customHeight="1">
      <c r="C627" s="148"/>
    </row>
    <row r="628" ht="12.75" customHeight="1">
      <c r="C628" s="148"/>
    </row>
    <row r="629" ht="12.75" customHeight="1">
      <c r="C629" s="148"/>
    </row>
    <row r="630" ht="12.75" customHeight="1">
      <c r="C630" s="148"/>
    </row>
    <row r="631" ht="12.75" customHeight="1">
      <c r="C631" s="148"/>
    </row>
    <row r="632" ht="12.75" customHeight="1">
      <c r="C632" s="148"/>
    </row>
    <row r="633" ht="12.75" customHeight="1">
      <c r="C633" s="148"/>
    </row>
    <row r="634" ht="12.75" customHeight="1">
      <c r="C634" s="148"/>
    </row>
    <row r="635" ht="12.75" customHeight="1">
      <c r="C635" s="148"/>
    </row>
    <row r="636" ht="12.75" customHeight="1">
      <c r="C636" s="148"/>
    </row>
    <row r="637" ht="12.75" customHeight="1">
      <c r="C637" s="148"/>
    </row>
    <row r="638" ht="12.75" customHeight="1">
      <c r="C638" s="148"/>
    </row>
    <row r="639" ht="12.75" customHeight="1">
      <c r="C639" s="148"/>
    </row>
    <row r="640" ht="12.75" customHeight="1">
      <c r="C640" s="148"/>
    </row>
    <row r="641" ht="12.75" customHeight="1">
      <c r="C641" s="148"/>
    </row>
    <row r="642" ht="12.75" customHeight="1">
      <c r="C642" s="148"/>
    </row>
    <row r="643" ht="12.75" customHeight="1">
      <c r="C643" s="148"/>
    </row>
    <row r="644" ht="12.75" customHeight="1">
      <c r="C644" s="148"/>
    </row>
    <row r="645" ht="12.75" customHeight="1">
      <c r="C645" s="148"/>
    </row>
    <row r="646" ht="12.75" customHeight="1">
      <c r="C646" s="148"/>
    </row>
    <row r="647" ht="12.75" customHeight="1">
      <c r="C647" s="148"/>
    </row>
    <row r="648" ht="12.75" customHeight="1">
      <c r="C648" s="148"/>
    </row>
    <row r="649" ht="12.75" customHeight="1">
      <c r="C649" s="148"/>
    </row>
    <row r="650" ht="12.75" customHeight="1">
      <c r="C650" s="148"/>
    </row>
    <row r="651" ht="12.75" customHeight="1">
      <c r="C651" s="148"/>
    </row>
    <row r="652" ht="12.75" customHeight="1">
      <c r="C652" s="148"/>
    </row>
    <row r="653" ht="12.75" customHeight="1">
      <c r="C653" s="148"/>
    </row>
    <row r="654" ht="12.75" customHeight="1">
      <c r="C654" s="148"/>
    </row>
    <row r="655" ht="12.75" customHeight="1">
      <c r="C655" s="148"/>
    </row>
    <row r="656" ht="12.75" customHeight="1">
      <c r="C656" s="148"/>
    </row>
    <row r="657" ht="12.75" customHeight="1">
      <c r="C657" s="148"/>
    </row>
    <row r="658" ht="12.75" customHeight="1">
      <c r="C658" s="148"/>
    </row>
    <row r="659" ht="12.75" customHeight="1">
      <c r="C659" s="148"/>
    </row>
    <row r="660" ht="12.75" customHeight="1">
      <c r="C660" s="148"/>
    </row>
    <row r="661" ht="12.75" customHeight="1">
      <c r="C661" s="148"/>
    </row>
    <row r="662" ht="12.75" customHeight="1">
      <c r="C662" s="148"/>
    </row>
    <row r="663" ht="12.75" customHeight="1">
      <c r="C663" s="148"/>
    </row>
    <row r="664" ht="12.75" customHeight="1">
      <c r="C664" s="148"/>
    </row>
    <row r="665" ht="12.75" customHeight="1">
      <c r="C665" s="148"/>
    </row>
    <row r="666" ht="12.75" customHeight="1">
      <c r="C666" s="148"/>
    </row>
    <row r="667" ht="12.75" customHeight="1">
      <c r="C667" s="148"/>
    </row>
    <row r="668" ht="12.75" customHeight="1">
      <c r="C668" s="148"/>
    </row>
    <row r="669" ht="12.75" customHeight="1">
      <c r="C669" s="148"/>
    </row>
    <row r="670" ht="12.75" customHeight="1">
      <c r="C670" s="148"/>
    </row>
    <row r="671" ht="12.75" customHeight="1">
      <c r="C671" s="148"/>
    </row>
    <row r="672" ht="12.75" customHeight="1">
      <c r="C672" s="148"/>
    </row>
    <row r="673" ht="12.75" customHeight="1">
      <c r="C673" s="148"/>
    </row>
    <row r="674" ht="12.75" customHeight="1">
      <c r="C674" s="148"/>
    </row>
    <row r="675" ht="12.75" customHeight="1">
      <c r="C675" s="148"/>
    </row>
    <row r="676" ht="12.75" customHeight="1">
      <c r="C676" s="148"/>
    </row>
    <row r="677" ht="12.75" customHeight="1">
      <c r="C677" s="148"/>
    </row>
    <row r="678" ht="12.75" customHeight="1">
      <c r="C678" s="148"/>
    </row>
    <row r="679" ht="12.75" customHeight="1">
      <c r="C679" s="148"/>
    </row>
    <row r="680" ht="12.75" customHeight="1">
      <c r="C680" s="148"/>
    </row>
    <row r="681" ht="12.75" customHeight="1">
      <c r="C681" s="148"/>
    </row>
    <row r="682" ht="12.75" customHeight="1">
      <c r="C682" s="148"/>
    </row>
    <row r="683" ht="12.75" customHeight="1">
      <c r="C683" s="148"/>
    </row>
    <row r="684" ht="12.75" customHeight="1">
      <c r="C684" s="148"/>
    </row>
    <row r="685" ht="12.75" customHeight="1">
      <c r="C685" s="148"/>
    </row>
    <row r="686" ht="12.75" customHeight="1">
      <c r="C686" s="148"/>
    </row>
    <row r="687" ht="12.75" customHeight="1">
      <c r="C687" s="148"/>
    </row>
    <row r="688" ht="12.75" customHeight="1">
      <c r="C688" s="148"/>
    </row>
    <row r="689" ht="12.75" customHeight="1">
      <c r="C689" s="148"/>
    </row>
    <row r="690" ht="12.75" customHeight="1">
      <c r="C690" s="148"/>
    </row>
    <row r="691" ht="12.75" customHeight="1">
      <c r="C691" s="148"/>
    </row>
    <row r="692" ht="12.75" customHeight="1">
      <c r="C692" s="148"/>
    </row>
    <row r="693" ht="12.75" customHeight="1">
      <c r="C693" s="148"/>
    </row>
    <row r="694" ht="12.75" customHeight="1">
      <c r="C694" s="148"/>
    </row>
    <row r="695" ht="12.75" customHeight="1">
      <c r="C695" s="148"/>
    </row>
    <row r="696" ht="12.75" customHeight="1">
      <c r="C696" s="148"/>
    </row>
    <row r="697" ht="12.75" customHeight="1">
      <c r="C697" s="148"/>
    </row>
    <row r="698" ht="12.75" customHeight="1">
      <c r="C698" s="148"/>
    </row>
    <row r="699" ht="12.75" customHeight="1">
      <c r="C699" s="148"/>
    </row>
    <row r="700" ht="12.75" customHeight="1">
      <c r="C700" s="148"/>
    </row>
    <row r="701" ht="12.75" customHeight="1">
      <c r="C701" s="148"/>
    </row>
    <row r="702" ht="12.75" customHeight="1">
      <c r="C702" s="148"/>
    </row>
    <row r="703" ht="12.75" customHeight="1">
      <c r="C703" s="148"/>
    </row>
    <row r="704" ht="12.75" customHeight="1">
      <c r="C704" s="148"/>
    </row>
    <row r="705" ht="12.75" customHeight="1">
      <c r="C705" s="148"/>
    </row>
    <row r="706" ht="12.75" customHeight="1">
      <c r="C706" s="148"/>
    </row>
    <row r="707" ht="12.75" customHeight="1">
      <c r="C707" s="148"/>
    </row>
    <row r="708" ht="12.75" customHeight="1">
      <c r="C708" s="148"/>
    </row>
    <row r="709" ht="12.75" customHeight="1">
      <c r="C709" s="148"/>
    </row>
    <row r="710" ht="12.75" customHeight="1">
      <c r="C710" s="148"/>
    </row>
    <row r="711" ht="12.75" customHeight="1">
      <c r="C711" s="148"/>
    </row>
    <row r="712" ht="12.75" customHeight="1">
      <c r="C712" s="148"/>
    </row>
    <row r="713" ht="12.75" customHeight="1">
      <c r="C713" s="148"/>
    </row>
    <row r="714" ht="12.75" customHeight="1">
      <c r="C714" s="148"/>
    </row>
    <row r="715" ht="12.75" customHeight="1">
      <c r="C715" s="148"/>
    </row>
    <row r="716" ht="12.75" customHeight="1">
      <c r="C716" s="148"/>
    </row>
    <row r="717" ht="12.75" customHeight="1">
      <c r="C717" s="148"/>
    </row>
    <row r="718" ht="12.75" customHeight="1">
      <c r="C718" s="148"/>
    </row>
    <row r="719" ht="12.75" customHeight="1">
      <c r="C719" s="148"/>
    </row>
    <row r="720" ht="12.75" customHeight="1">
      <c r="C720" s="148"/>
    </row>
    <row r="721" ht="12.75" customHeight="1">
      <c r="C721" s="148"/>
    </row>
    <row r="722" ht="12.75" customHeight="1">
      <c r="C722" s="148"/>
    </row>
    <row r="723" ht="12.75" customHeight="1">
      <c r="C723" s="148"/>
    </row>
    <row r="724" ht="12.75" customHeight="1">
      <c r="C724" s="148"/>
    </row>
    <row r="725" ht="12.75" customHeight="1">
      <c r="C725" s="148"/>
    </row>
    <row r="726" ht="12.75" customHeight="1">
      <c r="C726" s="148"/>
    </row>
    <row r="727" ht="12.75" customHeight="1">
      <c r="C727" s="148"/>
    </row>
    <row r="728" ht="12.75" customHeight="1">
      <c r="C728" s="148"/>
    </row>
    <row r="729" ht="12.75" customHeight="1">
      <c r="C729" s="148"/>
    </row>
    <row r="730" ht="12.75" customHeight="1">
      <c r="C730" s="148"/>
    </row>
    <row r="731" ht="12.75" customHeight="1">
      <c r="C731" s="148"/>
    </row>
    <row r="732" ht="12.75" customHeight="1">
      <c r="C732" s="148"/>
    </row>
    <row r="733" ht="12.75" customHeight="1">
      <c r="C733" s="148"/>
    </row>
    <row r="734" ht="12.75" customHeight="1">
      <c r="C734" s="148"/>
    </row>
    <row r="735" ht="12.75" customHeight="1">
      <c r="C735" s="148"/>
    </row>
    <row r="736" ht="12.75" customHeight="1">
      <c r="C736" s="148"/>
    </row>
    <row r="737" ht="12.75" customHeight="1">
      <c r="C737" s="148"/>
    </row>
    <row r="738" ht="12.75" customHeight="1">
      <c r="C738" s="148"/>
    </row>
    <row r="739" ht="12.75" customHeight="1">
      <c r="C739" s="148"/>
    </row>
    <row r="740" ht="12.75" customHeight="1">
      <c r="C740" s="148"/>
    </row>
    <row r="741" ht="12.75" customHeight="1">
      <c r="C741" s="148"/>
    </row>
    <row r="742" ht="12.75" customHeight="1">
      <c r="C742" s="148"/>
    </row>
    <row r="743" ht="12.75" customHeight="1">
      <c r="C743" s="148"/>
    </row>
    <row r="744" ht="12.75" customHeight="1">
      <c r="C744" s="148"/>
    </row>
    <row r="745" ht="12.75" customHeight="1">
      <c r="C745" s="148"/>
    </row>
    <row r="746" ht="12.75" customHeight="1">
      <c r="C746" s="148"/>
    </row>
    <row r="747" ht="12.75" customHeight="1">
      <c r="C747" s="148"/>
    </row>
    <row r="748" ht="12.75" customHeight="1">
      <c r="C748" s="148"/>
    </row>
    <row r="749" ht="12.75" customHeight="1">
      <c r="C749" s="148"/>
    </row>
    <row r="750" ht="12.75" customHeight="1">
      <c r="C750" s="148"/>
    </row>
    <row r="751" ht="12.75" customHeight="1">
      <c r="C751" s="148"/>
    </row>
    <row r="752" ht="12.75" customHeight="1">
      <c r="C752" s="148"/>
    </row>
    <row r="753" ht="12.75" customHeight="1">
      <c r="C753" s="148"/>
    </row>
    <row r="754" ht="12.75" customHeight="1">
      <c r="C754" s="148"/>
    </row>
    <row r="755" ht="12.75" customHeight="1">
      <c r="C755" s="148"/>
    </row>
    <row r="756" ht="12.75" customHeight="1">
      <c r="C756" s="148"/>
    </row>
    <row r="757" ht="12.75" customHeight="1">
      <c r="C757" s="148"/>
    </row>
    <row r="758" ht="12.75" customHeight="1">
      <c r="C758" s="148"/>
    </row>
    <row r="759" ht="12.75" customHeight="1">
      <c r="C759" s="148"/>
    </row>
    <row r="760" ht="12.75" customHeight="1">
      <c r="C760" s="148"/>
    </row>
    <row r="761" ht="12.75" customHeight="1">
      <c r="C761" s="148"/>
    </row>
    <row r="762" ht="12.75" customHeight="1">
      <c r="C762" s="148"/>
    </row>
    <row r="763" ht="12.75" customHeight="1">
      <c r="C763" s="148"/>
    </row>
    <row r="764" ht="12.75" customHeight="1">
      <c r="C764" s="148"/>
    </row>
    <row r="765" ht="12.75" customHeight="1">
      <c r="C765" s="148"/>
    </row>
    <row r="766" ht="12.75" customHeight="1">
      <c r="C766" s="148"/>
    </row>
    <row r="767" ht="12.75" customHeight="1">
      <c r="C767" s="148"/>
    </row>
    <row r="768" ht="12.75" customHeight="1">
      <c r="C768" s="148"/>
    </row>
    <row r="769" ht="12.75" customHeight="1">
      <c r="C769" s="148"/>
    </row>
    <row r="770" ht="12.75" customHeight="1">
      <c r="C770" s="148"/>
    </row>
    <row r="771" ht="12.75" customHeight="1">
      <c r="C771" s="148"/>
    </row>
    <row r="772" ht="12.75" customHeight="1">
      <c r="C772" s="148"/>
    </row>
    <row r="773" ht="12.75" customHeight="1">
      <c r="C773" s="148"/>
    </row>
    <row r="774" ht="12.75" customHeight="1">
      <c r="C774" s="148"/>
    </row>
    <row r="775" ht="12.75" customHeight="1">
      <c r="C775" s="148"/>
    </row>
    <row r="776" ht="12.75" customHeight="1">
      <c r="C776" s="148"/>
    </row>
    <row r="777" ht="12.75" customHeight="1">
      <c r="C777" s="148"/>
    </row>
    <row r="778" ht="12.75" customHeight="1">
      <c r="C778" s="148"/>
    </row>
    <row r="779" ht="12.75" customHeight="1">
      <c r="C779" s="148"/>
    </row>
    <row r="780" ht="12.75" customHeight="1">
      <c r="C780" s="148"/>
    </row>
    <row r="781" ht="12.75" customHeight="1">
      <c r="C781" s="148"/>
    </row>
    <row r="782" ht="12.75" customHeight="1">
      <c r="C782" s="148"/>
    </row>
    <row r="783" ht="12.75" customHeight="1">
      <c r="C783" s="148"/>
    </row>
    <row r="784" ht="12.75" customHeight="1">
      <c r="C784" s="148"/>
    </row>
    <row r="785" ht="12.75" customHeight="1">
      <c r="C785" s="148"/>
    </row>
    <row r="786" ht="12.75" customHeight="1">
      <c r="C786" s="148"/>
    </row>
    <row r="787" ht="12.75" customHeight="1">
      <c r="C787" s="148"/>
    </row>
    <row r="788" ht="12.75" customHeight="1">
      <c r="C788" s="148"/>
    </row>
    <row r="789" ht="12.75" customHeight="1">
      <c r="C789" s="148"/>
    </row>
    <row r="790" ht="12.75" customHeight="1">
      <c r="C790" s="148"/>
    </row>
    <row r="791" ht="12.75" customHeight="1">
      <c r="C791" s="148"/>
    </row>
    <row r="792" ht="12.75" customHeight="1">
      <c r="C792" s="148"/>
    </row>
    <row r="793" ht="12.75" customHeight="1">
      <c r="C793" s="148"/>
    </row>
    <row r="794" ht="12.75" customHeight="1">
      <c r="C794" s="148"/>
    </row>
    <row r="795" ht="12.75" customHeight="1">
      <c r="C795" s="148"/>
    </row>
    <row r="796" ht="12.75" customHeight="1">
      <c r="C796" s="148"/>
    </row>
    <row r="797" ht="12.75" customHeight="1">
      <c r="C797" s="148"/>
    </row>
    <row r="798" ht="12.75" customHeight="1">
      <c r="C798" s="148"/>
    </row>
    <row r="799" ht="12.75" customHeight="1">
      <c r="C799" s="148"/>
    </row>
    <row r="800" ht="12.75" customHeight="1">
      <c r="C800" s="148"/>
    </row>
    <row r="801" ht="12.75" customHeight="1">
      <c r="C801" s="148"/>
    </row>
    <row r="802" ht="12.75" customHeight="1">
      <c r="C802" s="148"/>
    </row>
    <row r="803" ht="12.75" customHeight="1">
      <c r="C803" s="148"/>
    </row>
    <row r="804" ht="12.75" customHeight="1">
      <c r="C804" s="148"/>
    </row>
    <row r="805" ht="12.75" customHeight="1">
      <c r="C805" s="148"/>
    </row>
    <row r="806" ht="12.75" customHeight="1">
      <c r="C806" s="148"/>
    </row>
    <row r="807" ht="12.75" customHeight="1">
      <c r="C807" s="148"/>
    </row>
    <row r="808" ht="12.75" customHeight="1">
      <c r="C808" s="148"/>
    </row>
    <row r="809" ht="12.75" customHeight="1">
      <c r="C809" s="148"/>
    </row>
    <row r="810" ht="12.75" customHeight="1">
      <c r="C810" s="148"/>
    </row>
    <row r="811" ht="12.75" customHeight="1">
      <c r="C811" s="148"/>
    </row>
    <row r="812" ht="12.75" customHeight="1">
      <c r="C812" s="148"/>
    </row>
    <row r="813" ht="12.75" customHeight="1">
      <c r="C813" s="148"/>
    </row>
    <row r="814" ht="12.75" customHeight="1">
      <c r="C814" s="148"/>
    </row>
    <row r="815" ht="12.75" customHeight="1">
      <c r="C815" s="148"/>
    </row>
    <row r="816" ht="12.75" customHeight="1">
      <c r="C816" s="148"/>
    </row>
    <row r="817" ht="12.75" customHeight="1">
      <c r="C817" s="148"/>
    </row>
    <row r="818" ht="12.75" customHeight="1">
      <c r="C818" s="148"/>
    </row>
    <row r="819" ht="12.75" customHeight="1">
      <c r="C819" s="148"/>
    </row>
    <row r="820" ht="12.75" customHeight="1">
      <c r="C820" s="148"/>
    </row>
    <row r="821" ht="12.75" customHeight="1">
      <c r="C821" s="148"/>
    </row>
    <row r="822" ht="12.75" customHeight="1">
      <c r="C822" s="148"/>
    </row>
    <row r="823" ht="12.75" customHeight="1">
      <c r="C823" s="148"/>
    </row>
    <row r="824" ht="12.75" customHeight="1">
      <c r="C824" s="148"/>
    </row>
    <row r="825" ht="12.75" customHeight="1">
      <c r="C825" s="148"/>
    </row>
    <row r="826" ht="12.75" customHeight="1">
      <c r="C826" s="148"/>
    </row>
    <row r="827" ht="12.75" customHeight="1">
      <c r="C827" s="148"/>
    </row>
    <row r="828" ht="12.75" customHeight="1">
      <c r="C828" s="148"/>
    </row>
    <row r="829" ht="12.75" customHeight="1">
      <c r="C829" s="148"/>
    </row>
    <row r="830" ht="12.75" customHeight="1">
      <c r="C830" s="148"/>
    </row>
    <row r="831" ht="12.75" customHeight="1">
      <c r="C831" s="148"/>
    </row>
    <row r="832" ht="12.75" customHeight="1">
      <c r="C832" s="148"/>
    </row>
    <row r="833" ht="12.75" customHeight="1">
      <c r="C833" s="148"/>
    </row>
    <row r="834" ht="12.75" customHeight="1">
      <c r="C834" s="148"/>
    </row>
    <row r="835" ht="12.75" customHeight="1">
      <c r="C835" s="148"/>
    </row>
    <row r="836" ht="12.75" customHeight="1">
      <c r="C836" s="148"/>
    </row>
    <row r="837" ht="12.75" customHeight="1">
      <c r="C837" s="148"/>
    </row>
    <row r="838" ht="12.75" customHeight="1">
      <c r="C838" s="148"/>
    </row>
    <row r="839" ht="12.75" customHeight="1">
      <c r="C839" s="148"/>
    </row>
    <row r="840" ht="12.75" customHeight="1">
      <c r="C840" s="148"/>
    </row>
    <row r="841" ht="12.75" customHeight="1">
      <c r="C841" s="148"/>
    </row>
    <row r="842" ht="12.75" customHeight="1">
      <c r="C842" s="148"/>
    </row>
    <row r="843" ht="12.75" customHeight="1">
      <c r="C843" s="148"/>
    </row>
    <row r="844" ht="12.75" customHeight="1">
      <c r="C844" s="148"/>
    </row>
    <row r="845" ht="12.75" customHeight="1">
      <c r="C845" s="148"/>
    </row>
    <row r="846" ht="12.75" customHeight="1">
      <c r="C846" s="148"/>
    </row>
    <row r="847" ht="12.75" customHeight="1">
      <c r="C847" s="148"/>
    </row>
    <row r="848" ht="12.75" customHeight="1">
      <c r="C848" s="148"/>
    </row>
    <row r="849" ht="12.75" customHeight="1">
      <c r="C849" s="148"/>
    </row>
    <row r="850" ht="12.75" customHeight="1">
      <c r="C850" s="148"/>
    </row>
    <row r="851" ht="12.75" customHeight="1">
      <c r="C851" s="148"/>
    </row>
    <row r="852" ht="12.75" customHeight="1">
      <c r="C852" s="148"/>
    </row>
    <row r="853" ht="12.75" customHeight="1">
      <c r="C853" s="148"/>
    </row>
    <row r="854" ht="12.75" customHeight="1">
      <c r="C854" s="148"/>
    </row>
    <row r="855" ht="12.75" customHeight="1">
      <c r="C855" s="148"/>
    </row>
    <row r="856" ht="12.75" customHeight="1">
      <c r="C856" s="148"/>
    </row>
    <row r="857" ht="12.75" customHeight="1">
      <c r="C857" s="148"/>
    </row>
    <row r="858" ht="12.75" customHeight="1">
      <c r="C858" s="148"/>
    </row>
    <row r="859" ht="12.75" customHeight="1">
      <c r="C859" s="148"/>
    </row>
    <row r="860" ht="12.75" customHeight="1">
      <c r="C860" s="148"/>
    </row>
    <row r="861" ht="12.75" customHeight="1">
      <c r="C861" s="148"/>
    </row>
    <row r="862" ht="12.75" customHeight="1">
      <c r="C862" s="148"/>
    </row>
    <row r="863" ht="12.75" customHeight="1">
      <c r="C863" s="148"/>
    </row>
    <row r="864" ht="12.75" customHeight="1">
      <c r="C864" s="148"/>
    </row>
    <row r="865" ht="12.75" customHeight="1">
      <c r="C865" s="148"/>
    </row>
    <row r="866" ht="12.75" customHeight="1">
      <c r="C866" s="148"/>
    </row>
    <row r="867" ht="12.75" customHeight="1">
      <c r="C867" s="148"/>
    </row>
    <row r="868" ht="12.75" customHeight="1">
      <c r="C868" s="148"/>
    </row>
    <row r="869" ht="12.75" customHeight="1">
      <c r="C869" s="148"/>
    </row>
    <row r="870" ht="12.75" customHeight="1">
      <c r="C870" s="148"/>
    </row>
    <row r="871" ht="12.75" customHeight="1">
      <c r="C871" s="148"/>
    </row>
    <row r="872" ht="12.75" customHeight="1">
      <c r="C872" s="148"/>
    </row>
    <row r="873" ht="12.75" customHeight="1">
      <c r="C873" s="148"/>
    </row>
    <row r="874" ht="12.75" customHeight="1">
      <c r="C874" s="148"/>
    </row>
    <row r="875" ht="12.75" customHeight="1">
      <c r="C875" s="148"/>
    </row>
    <row r="876" ht="12.75" customHeight="1">
      <c r="C876" s="148"/>
    </row>
    <row r="877" ht="12.75" customHeight="1">
      <c r="C877" s="148"/>
    </row>
    <row r="878" ht="12.75" customHeight="1">
      <c r="C878" s="148"/>
    </row>
    <row r="879" ht="12.75" customHeight="1">
      <c r="C879" s="148"/>
    </row>
    <row r="880" ht="12.75" customHeight="1">
      <c r="C880" s="148"/>
    </row>
    <row r="881" ht="12.75" customHeight="1">
      <c r="C881" s="148"/>
    </row>
    <row r="882" ht="12.75" customHeight="1">
      <c r="C882" s="148"/>
    </row>
    <row r="883" ht="12.75" customHeight="1">
      <c r="C883" s="148"/>
    </row>
    <row r="884" ht="12.75" customHeight="1">
      <c r="C884" s="148"/>
    </row>
    <row r="885" ht="12.75" customHeight="1">
      <c r="C885" s="148"/>
    </row>
    <row r="886" ht="12.75" customHeight="1">
      <c r="C886" s="148"/>
    </row>
    <row r="887" ht="12.75" customHeight="1">
      <c r="C887" s="148"/>
    </row>
    <row r="888" ht="12.75" customHeight="1">
      <c r="C888" s="148"/>
    </row>
    <row r="889" ht="12.75" customHeight="1">
      <c r="C889" s="148"/>
    </row>
    <row r="890" ht="12.75" customHeight="1">
      <c r="C890" s="148"/>
    </row>
    <row r="891" ht="12.75" customHeight="1">
      <c r="C891" s="148"/>
    </row>
    <row r="892" ht="12.75" customHeight="1">
      <c r="C892" s="148"/>
    </row>
    <row r="893" ht="12.75" customHeight="1">
      <c r="C893" s="148"/>
    </row>
    <row r="894" ht="12.75" customHeight="1">
      <c r="C894" s="148"/>
    </row>
    <row r="895" ht="12.75" customHeight="1">
      <c r="C895" s="148"/>
    </row>
    <row r="896" ht="12.75" customHeight="1">
      <c r="C896" s="148"/>
    </row>
    <row r="897" ht="12.75" customHeight="1">
      <c r="C897" s="148"/>
    </row>
    <row r="898" ht="12.75" customHeight="1">
      <c r="C898" s="148"/>
    </row>
    <row r="899" ht="12.75" customHeight="1">
      <c r="C899" s="148"/>
    </row>
    <row r="900" ht="12.75" customHeight="1">
      <c r="C900" s="148"/>
    </row>
    <row r="901" ht="12.75" customHeight="1">
      <c r="C901" s="148"/>
    </row>
    <row r="902" ht="12.75" customHeight="1">
      <c r="C902" s="148"/>
    </row>
    <row r="903" ht="12.75" customHeight="1">
      <c r="C903" s="148"/>
    </row>
    <row r="904" ht="12.75" customHeight="1">
      <c r="C904" s="148"/>
    </row>
    <row r="905" ht="12.75" customHeight="1">
      <c r="C905" s="148"/>
    </row>
    <row r="906" ht="12.75" customHeight="1">
      <c r="C906" s="148"/>
    </row>
    <row r="907" ht="12.75" customHeight="1">
      <c r="C907" s="148"/>
    </row>
    <row r="908" ht="12.75" customHeight="1">
      <c r="C908" s="148"/>
    </row>
    <row r="909" ht="12.75" customHeight="1">
      <c r="C909" s="148"/>
    </row>
    <row r="910" ht="12.75" customHeight="1">
      <c r="C910" s="148"/>
    </row>
    <row r="911" ht="12.75" customHeight="1">
      <c r="C911" s="148"/>
    </row>
    <row r="912" ht="12.75" customHeight="1">
      <c r="C912" s="148"/>
    </row>
    <row r="913" ht="12.75" customHeight="1">
      <c r="C913" s="148"/>
    </row>
    <row r="914" ht="12.75" customHeight="1">
      <c r="C914" s="148"/>
    </row>
    <row r="915" ht="12.75" customHeight="1">
      <c r="C915" s="148"/>
    </row>
    <row r="916" ht="12.75" customHeight="1">
      <c r="C916" s="148"/>
    </row>
    <row r="917" ht="12.75" customHeight="1">
      <c r="C917" s="148"/>
    </row>
    <row r="918" ht="12.75" customHeight="1">
      <c r="C918" s="148"/>
    </row>
    <row r="919" ht="12.75" customHeight="1">
      <c r="C919" s="148"/>
    </row>
    <row r="920" ht="12.75" customHeight="1">
      <c r="C920" s="148"/>
    </row>
    <row r="921" ht="12.75" customHeight="1">
      <c r="C921" s="148"/>
    </row>
    <row r="922" ht="12.75" customHeight="1">
      <c r="C922" s="148"/>
    </row>
    <row r="923" ht="12.75" customHeight="1">
      <c r="C923" s="148"/>
    </row>
    <row r="924" ht="12.75" customHeight="1">
      <c r="C924" s="148"/>
    </row>
    <row r="925" ht="12.75" customHeight="1">
      <c r="C925" s="148"/>
    </row>
    <row r="926" ht="12.75" customHeight="1">
      <c r="C926" s="148"/>
    </row>
    <row r="927" ht="12.75" customHeight="1">
      <c r="C927" s="148"/>
    </row>
    <row r="928" ht="12.75" customHeight="1">
      <c r="C928" s="148"/>
    </row>
    <row r="929" ht="12.75" customHeight="1">
      <c r="C929" s="148"/>
    </row>
    <row r="930" ht="12.75" customHeight="1">
      <c r="C930" s="148"/>
    </row>
    <row r="931" ht="12.75" customHeight="1">
      <c r="C931" s="148"/>
    </row>
    <row r="932" ht="12.75" customHeight="1">
      <c r="C932" s="148"/>
    </row>
    <row r="933" ht="12.75" customHeight="1">
      <c r="C933" s="148"/>
    </row>
    <row r="934" ht="12.75" customHeight="1">
      <c r="C934" s="148"/>
    </row>
    <row r="935" ht="12.75" customHeight="1">
      <c r="C935" s="148"/>
    </row>
    <row r="936" ht="12.75" customHeight="1">
      <c r="C936" s="148"/>
    </row>
    <row r="937" ht="12.75" customHeight="1">
      <c r="C937" s="148"/>
    </row>
    <row r="938" ht="12.75" customHeight="1">
      <c r="C938" s="148"/>
    </row>
    <row r="939" ht="12.75" customHeight="1">
      <c r="C939" s="148"/>
    </row>
    <row r="940" ht="12.75" customHeight="1">
      <c r="C940" s="148"/>
    </row>
    <row r="941" ht="12.75" customHeight="1">
      <c r="C941" s="148"/>
    </row>
    <row r="942" ht="12.75" customHeight="1">
      <c r="C942" s="148"/>
    </row>
    <row r="943" ht="12.75" customHeight="1">
      <c r="C943" s="148"/>
    </row>
    <row r="944" ht="12.75" customHeight="1">
      <c r="C944" s="148"/>
    </row>
    <row r="945" ht="12.75" customHeight="1">
      <c r="C945" s="148"/>
    </row>
    <row r="946" ht="12.75" customHeight="1">
      <c r="C946" s="148"/>
    </row>
    <row r="947" ht="12.75" customHeight="1">
      <c r="C947" s="148"/>
    </row>
    <row r="948" ht="12.75" customHeight="1">
      <c r="C948" s="148"/>
    </row>
    <row r="949" ht="12.75" customHeight="1">
      <c r="C949" s="148"/>
    </row>
    <row r="950" ht="12.75" customHeight="1">
      <c r="C950" s="148"/>
    </row>
    <row r="951" ht="12.75" customHeight="1">
      <c r="C951" s="148"/>
    </row>
    <row r="952" ht="12.75" customHeight="1">
      <c r="C952" s="148"/>
    </row>
    <row r="953" ht="12.75" customHeight="1">
      <c r="C953" s="148"/>
    </row>
    <row r="954" ht="12.75" customHeight="1">
      <c r="C954" s="148"/>
    </row>
    <row r="955" ht="12.75" customHeight="1">
      <c r="C955" s="148"/>
    </row>
    <row r="956" ht="12.75" customHeight="1">
      <c r="C956" s="148"/>
    </row>
    <row r="957" ht="12.75" customHeight="1">
      <c r="C957" s="148"/>
    </row>
    <row r="958" ht="12.75" customHeight="1">
      <c r="C958" s="148"/>
    </row>
    <row r="959" ht="12.75" customHeight="1">
      <c r="C959" s="148"/>
    </row>
    <row r="960" ht="12.75" customHeight="1">
      <c r="C960" s="148"/>
    </row>
    <row r="961" ht="12.75" customHeight="1">
      <c r="C961" s="148"/>
    </row>
    <row r="962" ht="12.75" customHeight="1">
      <c r="C962" s="148"/>
    </row>
    <row r="963" ht="12.75" customHeight="1">
      <c r="C963" s="148"/>
    </row>
    <row r="964" ht="12.75" customHeight="1">
      <c r="C964" s="148"/>
    </row>
    <row r="965" ht="12.75" customHeight="1">
      <c r="C965" s="148"/>
    </row>
    <row r="966" ht="12.75" customHeight="1">
      <c r="C966" s="148"/>
    </row>
    <row r="967" ht="12.75" customHeight="1">
      <c r="C967" s="148"/>
    </row>
    <row r="968" ht="12.75" customHeight="1">
      <c r="C968" s="148"/>
    </row>
    <row r="969" ht="12.75" customHeight="1">
      <c r="C969" s="148"/>
    </row>
    <row r="970" ht="12.75" customHeight="1">
      <c r="C970" s="148"/>
    </row>
    <row r="971" ht="12.75" customHeight="1">
      <c r="C971" s="148"/>
    </row>
    <row r="972" ht="12.75" customHeight="1">
      <c r="C972" s="148"/>
    </row>
    <row r="973" ht="12.75" customHeight="1">
      <c r="C973" s="148"/>
    </row>
    <row r="974" ht="12.75" customHeight="1">
      <c r="C974" s="148"/>
    </row>
    <row r="975" ht="12.75" customHeight="1">
      <c r="C975" s="148"/>
    </row>
    <row r="976" ht="12.75" customHeight="1">
      <c r="C976" s="148"/>
    </row>
    <row r="977" ht="12.75" customHeight="1">
      <c r="C977" s="148"/>
    </row>
    <row r="978" ht="12.75" customHeight="1">
      <c r="C978" s="148"/>
    </row>
    <row r="979" ht="12.75" customHeight="1">
      <c r="C979" s="148"/>
    </row>
    <row r="980" ht="12.75" customHeight="1">
      <c r="C980" s="148"/>
    </row>
    <row r="981" ht="12.75" customHeight="1">
      <c r="C981" s="148"/>
    </row>
    <row r="982" ht="12.75" customHeight="1">
      <c r="C982" s="148"/>
    </row>
    <row r="983" ht="12.75" customHeight="1">
      <c r="C983" s="148"/>
    </row>
    <row r="984" ht="12.75" customHeight="1">
      <c r="C984" s="148"/>
    </row>
    <row r="985" ht="12.75" customHeight="1">
      <c r="C985" s="148"/>
    </row>
    <row r="986" ht="12.75" customHeight="1">
      <c r="C986" s="148"/>
    </row>
    <row r="987" ht="12.75" customHeight="1">
      <c r="C987" s="148"/>
    </row>
    <row r="988" ht="12.75" customHeight="1">
      <c r="C988" s="148"/>
    </row>
    <row r="989" ht="12.75" customHeight="1">
      <c r="C989" s="148"/>
    </row>
    <row r="990" ht="12.75" customHeight="1">
      <c r="C990" s="148"/>
    </row>
    <row r="991" ht="12.75" customHeight="1">
      <c r="C991" s="148"/>
    </row>
    <row r="992" ht="12.75" customHeight="1">
      <c r="C992" s="148"/>
    </row>
    <row r="993" ht="12.75" customHeight="1">
      <c r="C993" s="148"/>
    </row>
    <row r="994" ht="12.75" customHeight="1">
      <c r="C994" s="148"/>
    </row>
    <row r="995" ht="12.75" customHeight="1">
      <c r="C995" s="148"/>
    </row>
    <row r="996" ht="12.75" customHeight="1">
      <c r="C996" s="148"/>
    </row>
    <row r="997" ht="12.75" customHeight="1">
      <c r="C997" s="148"/>
    </row>
    <row r="998" ht="12.75" customHeight="1">
      <c r="C998" s="148"/>
    </row>
    <row r="999" ht="12.75" customHeight="1">
      <c r="C999" s="148"/>
    </row>
    <row r="1000" ht="12.75" customHeight="1">
      <c r="C1000" s="148"/>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281</v>
      </c>
      <c r="C7" s="21" t="s">
        <v>282</v>
      </c>
      <c r="D7" s="20" t="s">
        <v>283</v>
      </c>
      <c r="E7" s="49" t="s">
        <v>284</v>
      </c>
      <c r="F7" s="50" t="s">
        <v>285</v>
      </c>
      <c r="G7" s="51" t="s">
        <v>286</v>
      </c>
      <c r="H7" s="49" t="s">
        <v>19</v>
      </c>
      <c r="I7" s="49" t="s">
        <v>287</v>
      </c>
      <c r="J7" s="49" t="s">
        <v>288</v>
      </c>
      <c r="K7" s="24"/>
      <c r="L7" s="24"/>
      <c r="M7" s="24"/>
      <c r="N7" s="24"/>
      <c r="O7" s="24"/>
      <c r="P7" s="24"/>
      <c r="Q7" s="24"/>
      <c r="R7" s="24"/>
      <c r="S7" s="24"/>
      <c r="T7" s="24"/>
      <c r="U7" s="24"/>
      <c r="V7" s="24"/>
      <c r="W7" s="24"/>
      <c r="X7" s="24"/>
      <c r="Y7" s="24"/>
      <c r="Z7" s="24"/>
    </row>
    <row r="8" ht="117.0" customHeight="1">
      <c r="A8" s="67" t="s">
        <v>22</v>
      </c>
      <c r="B8" s="138" t="s">
        <v>289</v>
      </c>
      <c r="C8" s="27" t="s">
        <v>202</v>
      </c>
      <c r="D8" s="159" t="s">
        <v>290</v>
      </c>
      <c r="E8" s="140">
        <v>470000.0</v>
      </c>
      <c r="F8" s="45">
        <v>470000.0</v>
      </c>
      <c r="G8" s="45">
        <v>127.4</v>
      </c>
      <c r="H8" s="160" t="s">
        <v>204</v>
      </c>
      <c r="I8" s="138" t="s">
        <v>205</v>
      </c>
      <c r="J8" s="142" t="s">
        <v>291</v>
      </c>
    </row>
    <row r="9" ht="88.5" customHeight="1">
      <c r="A9" s="67" t="s">
        <v>31</v>
      </c>
      <c r="B9" s="138" t="s">
        <v>289</v>
      </c>
      <c r="C9" s="138" t="s">
        <v>202</v>
      </c>
      <c r="D9" s="161" t="s">
        <v>292</v>
      </c>
      <c r="E9" s="162">
        <v>616678.0</v>
      </c>
      <c r="F9" s="163">
        <v>616678.0</v>
      </c>
      <c r="G9" s="45">
        <v>169.4</v>
      </c>
      <c r="H9" s="160" t="s">
        <v>204</v>
      </c>
      <c r="I9" s="138" t="s">
        <v>205</v>
      </c>
      <c r="J9" s="142" t="s">
        <v>291</v>
      </c>
    </row>
    <row r="10" ht="108.75" customHeight="1">
      <c r="A10" s="67" t="s">
        <v>40</v>
      </c>
      <c r="B10" s="138" t="s">
        <v>293</v>
      </c>
      <c r="C10" s="164" t="s">
        <v>294</v>
      </c>
      <c r="D10" s="165" t="s">
        <v>295</v>
      </c>
      <c r="E10" s="140">
        <v>599000.0</v>
      </c>
      <c r="F10" s="45">
        <v>599000.0</v>
      </c>
      <c r="G10" s="45">
        <v>162.36</v>
      </c>
      <c r="H10" s="160" t="s">
        <v>204</v>
      </c>
      <c r="I10" s="166" t="s">
        <v>296</v>
      </c>
      <c r="J10" s="47" t="s">
        <v>297</v>
      </c>
    </row>
    <row r="11" ht="15.0" hidden="1" customHeight="1">
      <c r="A11" s="36"/>
      <c r="B11" s="78"/>
      <c r="C11" s="78"/>
      <c r="D11" s="167" t="s">
        <v>298</v>
      </c>
      <c r="E11" s="78"/>
      <c r="F11" s="78"/>
      <c r="G11" s="78"/>
      <c r="H11" s="78"/>
      <c r="I11" s="78"/>
      <c r="J11" s="78"/>
    </row>
    <row r="12" ht="12.75" customHeight="1"/>
    <row r="13" ht="138.75" customHeight="1">
      <c r="A13" s="39" t="s">
        <v>299</v>
      </c>
      <c r="B13" s="17"/>
      <c r="C13" s="17"/>
      <c r="D13" s="17"/>
      <c r="E13" s="17"/>
      <c r="F13" s="17"/>
      <c r="G13" s="17"/>
      <c r="H13" s="17"/>
      <c r="I13" s="17"/>
      <c r="J13" s="18"/>
    </row>
    <row r="14" ht="12.75" customHeight="1"/>
    <row r="15" ht="75.0" customHeight="1">
      <c r="A15" s="39" t="s">
        <v>300</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location="polycard_client=search-desktop&amp;search_layout=grid&amp;position=9&amp;type=item&amp;tracking_id=561495b0-af11-428d-aae5-9a47b3d95643" ref="D9"/>
    <hyperlink r:id="rId3" ref="D10"/>
  </hyperlinks>
  <printOptions/>
  <pageMargins bottom="0.75" footer="0.0" header="0.0" left="0.7" right="0.7" top="0.75"/>
  <pageSetup orientation="landscape"/>
  <drawing r:id="rId4"/>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FF00"/>
    <outlinePr summaryBelow="0" summaryRight="0"/>
    <pageSetUpPr/>
  </sheetPr>
  <sheetViews>
    <sheetView workbookViewId="0"/>
  </sheetViews>
  <sheetFormatPr customHeight="1" defaultColWidth="12.63" defaultRowHeight="15.0"/>
  <cols>
    <col customWidth="1" min="2" max="2" width="28.13"/>
    <col customWidth="1" min="3" max="3" width="18.75"/>
    <col customWidth="1" min="6" max="6" width="55.38"/>
  </cols>
  <sheetData>
    <row r="1" ht="15.0" customHeight="1">
      <c r="A1" s="14"/>
      <c r="F1" s="168"/>
    </row>
    <row r="4" ht="15.0" customHeight="1">
      <c r="A4" s="169"/>
      <c r="B4" s="170" t="s">
        <v>301</v>
      </c>
      <c r="C4" s="17"/>
      <c r="D4" s="17"/>
      <c r="E4" s="17"/>
      <c r="F4" s="18"/>
      <c r="G4" s="171"/>
      <c r="H4" s="171"/>
      <c r="I4" s="171"/>
      <c r="J4" s="171"/>
      <c r="K4" s="171"/>
      <c r="L4" s="171"/>
      <c r="M4" s="171"/>
      <c r="N4" s="171"/>
      <c r="O4" s="171"/>
      <c r="P4" s="171"/>
      <c r="Q4" s="171"/>
      <c r="R4" s="171"/>
      <c r="S4" s="171"/>
      <c r="T4" s="171"/>
      <c r="U4" s="171"/>
      <c r="V4" s="171"/>
      <c r="W4" s="171"/>
      <c r="X4" s="171"/>
      <c r="Y4" s="171"/>
      <c r="Z4" s="171"/>
    </row>
    <row r="5" ht="15.0" customHeight="1">
      <c r="A5" s="171"/>
      <c r="B5" s="172" t="s">
        <v>302</v>
      </c>
      <c r="C5" s="18"/>
      <c r="D5" s="172" t="s">
        <v>303</v>
      </c>
      <c r="E5" s="17"/>
      <c r="F5" s="18"/>
      <c r="G5" s="171"/>
      <c r="H5" s="171"/>
      <c r="I5" s="171"/>
      <c r="J5" s="171"/>
      <c r="K5" s="171"/>
      <c r="L5" s="171"/>
      <c r="M5" s="171"/>
      <c r="N5" s="171"/>
      <c r="O5" s="171"/>
      <c r="P5" s="171"/>
      <c r="Q5" s="171"/>
      <c r="R5" s="171"/>
      <c r="S5" s="171"/>
      <c r="T5" s="171"/>
      <c r="U5" s="171"/>
      <c r="V5" s="171"/>
      <c r="W5" s="171"/>
      <c r="X5" s="171"/>
      <c r="Y5" s="171"/>
      <c r="Z5" s="171"/>
    </row>
    <row r="6" ht="15.0" customHeight="1">
      <c r="A6" s="171"/>
      <c r="B6" s="173" t="s">
        <v>304</v>
      </c>
      <c r="C6" s="174"/>
      <c r="D6" s="175" t="s">
        <v>305</v>
      </c>
      <c r="E6" s="176"/>
      <c r="F6" s="177"/>
      <c r="G6" s="171"/>
      <c r="H6" s="171"/>
      <c r="I6" s="171"/>
      <c r="J6" s="171"/>
      <c r="K6" s="171"/>
      <c r="L6" s="171"/>
      <c r="M6" s="171"/>
      <c r="N6" s="171"/>
      <c r="O6" s="171"/>
      <c r="P6" s="171"/>
      <c r="Q6" s="171"/>
      <c r="R6" s="171"/>
      <c r="S6" s="171"/>
      <c r="T6" s="171"/>
      <c r="U6" s="171"/>
      <c r="V6" s="171"/>
      <c r="W6" s="171"/>
      <c r="X6" s="171"/>
      <c r="Y6" s="171"/>
      <c r="Z6" s="171"/>
    </row>
    <row r="7" ht="15.0" customHeight="1">
      <c r="A7" s="171"/>
      <c r="B7" s="173" t="s">
        <v>306</v>
      </c>
      <c r="C7" s="174"/>
      <c r="D7" s="175" t="s">
        <v>307</v>
      </c>
      <c r="E7" s="176"/>
      <c r="F7" s="177"/>
      <c r="G7" s="171"/>
      <c r="H7" s="171"/>
      <c r="I7" s="171"/>
      <c r="J7" s="171"/>
      <c r="K7" s="171"/>
      <c r="L7" s="171"/>
      <c r="M7" s="171"/>
      <c r="N7" s="171"/>
      <c r="O7" s="171"/>
      <c r="P7" s="171"/>
      <c r="Q7" s="171"/>
      <c r="R7" s="171"/>
      <c r="S7" s="171"/>
      <c r="T7" s="171"/>
      <c r="U7" s="171"/>
      <c r="V7" s="171"/>
      <c r="W7" s="171"/>
      <c r="X7" s="171"/>
      <c r="Y7" s="171"/>
      <c r="Z7" s="171"/>
    </row>
    <row r="8" ht="15.0" customHeight="1">
      <c r="A8" s="171"/>
      <c r="B8" s="173" t="s">
        <v>308</v>
      </c>
      <c r="C8" s="174"/>
      <c r="D8" s="175" t="s">
        <v>309</v>
      </c>
      <c r="E8" s="176"/>
      <c r="F8" s="177"/>
      <c r="G8" s="171"/>
      <c r="H8" s="171"/>
      <c r="I8" s="171"/>
      <c r="J8" s="171"/>
      <c r="K8" s="171"/>
      <c r="L8" s="171"/>
      <c r="M8" s="171"/>
      <c r="N8" s="171"/>
      <c r="O8" s="171"/>
      <c r="P8" s="171"/>
      <c r="Q8" s="171"/>
      <c r="R8" s="171"/>
      <c r="S8" s="171"/>
      <c r="T8" s="171"/>
      <c r="U8" s="171"/>
      <c r="V8" s="171"/>
      <c r="W8" s="171"/>
      <c r="X8" s="171"/>
      <c r="Y8" s="171"/>
      <c r="Z8" s="171"/>
    </row>
    <row r="9" ht="15.0" customHeight="1">
      <c r="A9" s="171"/>
      <c r="B9" s="170" t="s">
        <v>310</v>
      </c>
      <c r="C9" s="17"/>
      <c r="D9" s="17"/>
      <c r="E9" s="17"/>
      <c r="F9" s="18"/>
      <c r="G9" s="171"/>
      <c r="H9" s="171"/>
      <c r="I9" s="171"/>
      <c r="J9" s="171"/>
      <c r="K9" s="171"/>
      <c r="L9" s="171"/>
      <c r="M9" s="171"/>
      <c r="N9" s="171"/>
      <c r="O9" s="171"/>
      <c r="P9" s="171"/>
      <c r="Q9" s="171"/>
      <c r="R9" s="171"/>
      <c r="S9" s="171"/>
      <c r="T9" s="171"/>
      <c r="U9" s="171"/>
      <c r="V9" s="171"/>
      <c r="W9" s="171"/>
      <c r="X9" s="171"/>
      <c r="Y9" s="171"/>
      <c r="Z9" s="171"/>
    </row>
    <row r="10" ht="15.0" customHeight="1">
      <c r="A10" s="178"/>
      <c r="B10" s="172" t="s">
        <v>311</v>
      </c>
      <c r="C10" s="18"/>
      <c r="D10" s="172" t="s">
        <v>312</v>
      </c>
      <c r="E10" s="17"/>
      <c r="F10" s="18"/>
      <c r="G10" s="171"/>
      <c r="H10" s="171"/>
      <c r="I10" s="171"/>
      <c r="J10" s="171"/>
      <c r="K10" s="171"/>
      <c r="L10" s="171"/>
      <c r="M10" s="171"/>
      <c r="N10" s="171"/>
      <c r="O10" s="171"/>
      <c r="P10" s="171"/>
      <c r="Q10" s="171"/>
      <c r="R10" s="171"/>
      <c r="S10" s="171"/>
      <c r="T10" s="171"/>
      <c r="U10" s="171"/>
      <c r="V10" s="171"/>
      <c r="W10" s="171"/>
      <c r="X10" s="171"/>
      <c r="Y10" s="171"/>
      <c r="Z10" s="171"/>
    </row>
    <row r="11" ht="15.0" customHeight="1">
      <c r="A11" s="171"/>
      <c r="B11" s="172" t="s">
        <v>313</v>
      </c>
      <c r="C11" s="17"/>
      <c r="D11" s="17"/>
      <c r="E11" s="17"/>
      <c r="F11" s="18"/>
      <c r="G11" s="171"/>
      <c r="H11" s="171"/>
      <c r="I11" s="171"/>
      <c r="J11" s="171"/>
      <c r="K11" s="171"/>
      <c r="L11" s="171"/>
      <c r="M11" s="171"/>
      <c r="N11" s="171"/>
      <c r="O11" s="171"/>
      <c r="P11" s="171"/>
      <c r="Q11" s="171"/>
      <c r="R11" s="171"/>
      <c r="S11" s="171"/>
      <c r="T11" s="171"/>
      <c r="U11" s="171"/>
      <c r="V11" s="171"/>
      <c r="W11" s="171"/>
      <c r="X11" s="171"/>
      <c r="Y11" s="171"/>
      <c r="Z11" s="171"/>
    </row>
    <row r="12">
      <c r="A12" s="178"/>
      <c r="B12" s="179" t="s">
        <v>314</v>
      </c>
      <c r="C12" s="179" t="s">
        <v>311</v>
      </c>
      <c r="D12" s="179" t="s">
        <v>312</v>
      </c>
      <c r="E12" s="179" t="s">
        <v>315</v>
      </c>
      <c r="F12" s="179" t="s">
        <v>316</v>
      </c>
      <c r="G12" s="171"/>
      <c r="H12" s="171"/>
      <c r="I12" s="171"/>
      <c r="J12" s="171"/>
      <c r="K12" s="171"/>
      <c r="L12" s="171"/>
      <c r="M12" s="171"/>
      <c r="N12" s="171"/>
      <c r="O12" s="171"/>
      <c r="P12" s="171"/>
      <c r="Q12" s="171"/>
      <c r="R12" s="171"/>
      <c r="S12" s="171"/>
      <c r="T12" s="171"/>
      <c r="U12" s="171"/>
      <c r="V12" s="171"/>
      <c r="W12" s="171"/>
      <c r="X12" s="171"/>
      <c r="Y12" s="171"/>
      <c r="Z12" s="171"/>
    </row>
    <row r="13" ht="75.0" customHeight="1">
      <c r="A13" s="180"/>
      <c r="B13" s="181" t="str">
        <f>'Torre admin'!D8</f>
        <v>PC GAMER AMD RYZEN 5 5600G A520M WIFI 16GB 512 M2 VEGA 7</v>
      </c>
      <c r="C13" s="182" t="s">
        <v>317</v>
      </c>
      <c r="D13" s="182" t="s">
        <v>318</v>
      </c>
      <c r="E13" s="182" t="s">
        <v>319</v>
      </c>
      <c r="F13" s="182" t="s">
        <v>320</v>
      </c>
      <c r="G13" s="171"/>
      <c r="H13" s="171"/>
      <c r="I13" s="171"/>
      <c r="J13" s="171"/>
      <c r="K13" s="171"/>
      <c r="L13" s="171"/>
      <c r="M13" s="171"/>
      <c r="N13" s="171"/>
      <c r="O13" s="171"/>
      <c r="P13" s="171"/>
      <c r="Q13" s="171"/>
      <c r="R13" s="171"/>
      <c r="S13" s="171"/>
      <c r="T13" s="171"/>
      <c r="U13" s="171"/>
      <c r="V13" s="171"/>
      <c r="W13" s="171"/>
      <c r="X13" s="171"/>
      <c r="Y13" s="171"/>
      <c r="Z13" s="171"/>
    </row>
    <row r="14" ht="46.5" customHeight="1">
      <c r="A14" s="180"/>
      <c r="B14" s="183" t="str">
        <f>'Monitor Admin'!D9</f>
        <v>MONITOR ACER 22" EK220Q 100Hz 1Ms 1920 X 1080 VA HDMI + VGA</v>
      </c>
      <c r="C14" s="182" t="str">
        <f>'Monitor Admin'!D9</f>
        <v>MONITOR ACER 22" EK220Q 100Hz 1Ms 1920 X 1080 VA HDMI + VGA</v>
      </c>
      <c r="D14" s="182" t="s">
        <v>321</v>
      </c>
      <c r="E14" s="182" t="s">
        <v>319</v>
      </c>
      <c r="F14" s="182" t="s">
        <v>322</v>
      </c>
      <c r="G14" s="171"/>
      <c r="H14" s="171"/>
      <c r="I14" s="171"/>
      <c r="J14" s="171"/>
      <c r="K14" s="171"/>
      <c r="L14" s="171"/>
      <c r="M14" s="171"/>
      <c r="N14" s="171"/>
      <c r="O14" s="171"/>
      <c r="P14" s="171"/>
      <c r="Q14" s="171"/>
      <c r="R14" s="171"/>
      <c r="S14" s="171"/>
      <c r="T14" s="171"/>
      <c r="U14" s="171"/>
      <c r="V14" s="171"/>
      <c r="W14" s="171"/>
      <c r="X14" s="171"/>
      <c r="Y14" s="171"/>
      <c r="Z14" s="171"/>
    </row>
    <row r="15" ht="57.75" customHeight="1">
      <c r="A15" s="180"/>
      <c r="B15" s="182" t="s">
        <v>77</v>
      </c>
      <c r="C15" s="182" t="s">
        <v>323</v>
      </c>
      <c r="D15" s="184" t="s">
        <v>324</v>
      </c>
      <c r="E15" s="182" t="s">
        <v>319</v>
      </c>
      <c r="F15" s="182" t="s">
        <v>325</v>
      </c>
      <c r="G15" s="171"/>
      <c r="H15" s="171"/>
      <c r="I15" s="171"/>
      <c r="J15" s="171"/>
      <c r="K15" s="171"/>
      <c r="L15" s="171"/>
      <c r="M15" s="171"/>
      <c r="N15" s="171"/>
      <c r="O15" s="171"/>
      <c r="P15" s="171"/>
      <c r="Q15" s="171"/>
      <c r="R15" s="171"/>
      <c r="S15" s="171"/>
      <c r="T15" s="171"/>
      <c r="U15" s="171"/>
      <c r="V15" s="171"/>
      <c r="W15" s="171"/>
      <c r="X15" s="171"/>
      <c r="Y15" s="171"/>
      <c r="Z15" s="171"/>
    </row>
    <row r="16" ht="41.25" customHeight="1">
      <c r="A16" s="180"/>
      <c r="B16" s="183" t="str">
        <f>'Disco duro interno Admin'!D8</f>
        <v>Unidad solida M2 Xpress Legend 710 de 512 Gb Adata</v>
      </c>
      <c r="C16" s="182" t="s">
        <v>326</v>
      </c>
      <c r="D16" s="182" t="s">
        <v>327</v>
      </c>
      <c r="E16" s="182" t="s">
        <v>319</v>
      </c>
      <c r="F16" s="182" t="s">
        <v>328</v>
      </c>
      <c r="G16" s="171"/>
      <c r="H16" s="171"/>
      <c r="I16" s="171"/>
      <c r="J16" s="171"/>
      <c r="K16" s="171"/>
      <c r="L16" s="171"/>
      <c r="M16" s="171"/>
      <c r="N16" s="171"/>
      <c r="O16" s="171"/>
      <c r="P16" s="171"/>
      <c r="Q16" s="171"/>
      <c r="R16" s="171"/>
      <c r="S16" s="171"/>
      <c r="T16" s="171"/>
      <c r="U16" s="171"/>
      <c r="V16" s="171"/>
      <c r="W16" s="171"/>
      <c r="X16" s="171"/>
      <c r="Y16" s="171"/>
      <c r="Z16" s="171"/>
    </row>
    <row r="17" ht="63.0" customHeight="1">
      <c r="A17" s="171"/>
      <c r="B17" s="185" t="s">
        <v>114</v>
      </c>
      <c r="C17" s="182" t="s">
        <v>326</v>
      </c>
      <c r="D17" s="186" t="s">
        <v>329</v>
      </c>
      <c r="E17" s="182" t="s">
        <v>319</v>
      </c>
      <c r="F17" s="182" t="s">
        <v>330</v>
      </c>
      <c r="G17" s="171"/>
      <c r="H17" s="171"/>
      <c r="I17" s="171"/>
      <c r="J17" s="171"/>
      <c r="K17" s="171"/>
      <c r="L17" s="171"/>
      <c r="M17" s="171"/>
      <c r="N17" s="171"/>
      <c r="O17" s="171"/>
      <c r="P17" s="171"/>
      <c r="Q17" s="171"/>
      <c r="R17" s="171"/>
      <c r="S17" s="171"/>
      <c r="T17" s="171"/>
      <c r="U17" s="171"/>
      <c r="V17" s="171"/>
      <c r="W17" s="171"/>
      <c r="X17" s="171"/>
      <c r="Y17" s="171"/>
      <c r="Z17" s="171"/>
    </row>
    <row r="18" ht="68.25" customHeight="1">
      <c r="A18" s="171"/>
      <c r="B18" s="185" t="s">
        <v>135</v>
      </c>
      <c r="C18" s="182" t="s">
        <v>133</v>
      </c>
      <c r="D18" s="182" t="s">
        <v>331</v>
      </c>
      <c r="E18" s="182" t="s">
        <v>319</v>
      </c>
      <c r="F18" s="182" t="s">
        <v>332</v>
      </c>
      <c r="G18" s="171"/>
      <c r="H18" s="171"/>
      <c r="I18" s="171"/>
      <c r="J18" s="171"/>
      <c r="K18" s="171"/>
      <c r="L18" s="171"/>
      <c r="M18" s="171"/>
      <c r="N18" s="171"/>
      <c r="O18" s="171"/>
      <c r="P18" s="171"/>
      <c r="Q18" s="171"/>
      <c r="R18" s="171"/>
      <c r="S18" s="171"/>
      <c r="T18" s="171"/>
      <c r="U18" s="171"/>
      <c r="V18" s="171"/>
      <c r="W18" s="171"/>
      <c r="X18" s="171"/>
      <c r="Y18" s="171"/>
      <c r="Z18" s="171"/>
    </row>
    <row r="19" ht="67.5" customHeight="1">
      <c r="A19" s="187"/>
      <c r="B19" s="182" t="s">
        <v>135</v>
      </c>
      <c r="C19" s="182" t="s">
        <v>140</v>
      </c>
      <c r="D19" s="182" t="s">
        <v>331</v>
      </c>
      <c r="E19" s="182" t="s">
        <v>333</v>
      </c>
      <c r="F19" s="182" t="s">
        <v>334</v>
      </c>
      <c r="G19" s="171"/>
      <c r="H19" s="171"/>
      <c r="I19" s="171"/>
      <c r="J19" s="171"/>
      <c r="K19" s="171"/>
      <c r="L19" s="171"/>
      <c r="M19" s="171"/>
      <c r="N19" s="171"/>
      <c r="O19" s="171"/>
      <c r="P19" s="171"/>
      <c r="Q19" s="171"/>
      <c r="R19" s="171"/>
      <c r="S19" s="171"/>
      <c r="T19" s="171"/>
      <c r="U19" s="171"/>
      <c r="V19" s="171"/>
      <c r="W19" s="171"/>
      <c r="X19" s="171"/>
      <c r="Y19" s="171"/>
      <c r="Z19" s="171"/>
    </row>
    <row r="20" ht="71.25" customHeight="1">
      <c r="A20" s="183"/>
      <c r="B20" s="182" t="s">
        <v>171</v>
      </c>
      <c r="C20" s="188" t="s">
        <v>335</v>
      </c>
      <c r="D20" s="188" t="s">
        <v>336</v>
      </c>
      <c r="E20" s="182" t="s">
        <v>319</v>
      </c>
      <c r="F20" s="182" t="s">
        <v>337</v>
      </c>
      <c r="G20" s="171"/>
      <c r="H20" s="171"/>
      <c r="I20" s="171"/>
      <c r="J20" s="171"/>
      <c r="K20" s="171"/>
      <c r="L20" s="171"/>
      <c r="M20" s="171"/>
      <c r="N20" s="171"/>
      <c r="O20" s="171"/>
      <c r="P20" s="171"/>
      <c r="Q20" s="171"/>
      <c r="R20" s="171"/>
      <c r="S20" s="171"/>
      <c r="T20" s="171"/>
      <c r="U20" s="171"/>
      <c r="V20" s="171"/>
      <c r="W20" s="171"/>
      <c r="X20" s="171"/>
      <c r="Y20" s="171"/>
      <c r="Z20" s="171"/>
    </row>
    <row r="21" ht="60.0" customHeight="1">
      <c r="A21" s="189"/>
      <c r="B21" s="182" t="s">
        <v>185</v>
      </c>
      <c r="C21" s="182" t="s">
        <v>338</v>
      </c>
      <c r="D21" s="182" t="s">
        <v>339</v>
      </c>
      <c r="E21" s="182" t="s">
        <v>319</v>
      </c>
      <c r="F21" s="182" t="s">
        <v>340</v>
      </c>
      <c r="G21" s="171"/>
      <c r="H21" s="190"/>
      <c r="I21" s="171"/>
      <c r="J21" s="171"/>
      <c r="K21" s="171"/>
      <c r="L21" s="171"/>
      <c r="M21" s="171"/>
      <c r="N21" s="171"/>
      <c r="O21" s="171"/>
      <c r="P21" s="171"/>
      <c r="Q21" s="171"/>
      <c r="R21" s="171"/>
      <c r="S21" s="171"/>
      <c r="T21" s="171"/>
      <c r="U21" s="171"/>
      <c r="V21" s="171"/>
      <c r="W21" s="171"/>
      <c r="X21" s="171"/>
      <c r="Y21" s="171"/>
      <c r="Z21" s="171"/>
    </row>
    <row r="22" ht="80.25" customHeight="1">
      <c r="A22" s="187"/>
      <c r="B22" s="182" t="s">
        <v>341</v>
      </c>
      <c r="C22" s="182" t="s">
        <v>342</v>
      </c>
      <c r="D22" s="182" t="s">
        <v>343</v>
      </c>
      <c r="E22" s="182" t="s">
        <v>319</v>
      </c>
      <c r="F22" s="182" t="s">
        <v>344</v>
      </c>
      <c r="G22" s="171"/>
      <c r="H22" s="171"/>
      <c r="I22" s="171"/>
      <c r="J22" s="171"/>
      <c r="K22" s="171"/>
      <c r="L22" s="171"/>
      <c r="M22" s="171"/>
      <c r="N22" s="171"/>
      <c r="O22" s="171"/>
      <c r="P22" s="171"/>
      <c r="Q22" s="171"/>
      <c r="R22" s="171"/>
      <c r="S22" s="171"/>
      <c r="T22" s="171"/>
      <c r="U22" s="171"/>
      <c r="V22" s="171"/>
      <c r="W22" s="171"/>
      <c r="X22" s="171"/>
      <c r="Y22" s="171"/>
      <c r="Z22" s="171"/>
    </row>
    <row r="23" ht="66.75" customHeight="1">
      <c r="A23" s="171"/>
      <c r="B23" s="185" t="s">
        <v>345</v>
      </c>
      <c r="C23" s="182" t="s">
        <v>342</v>
      </c>
      <c r="D23" s="182" t="s">
        <v>343</v>
      </c>
      <c r="E23" s="182" t="s">
        <v>319</v>
      </c>
      <c r="F23" s="182" t="s">
        <v>346</v>
      </c>
      <c r="G23" s="171"/>
      <c r="H23" s="171"/>
      <c r="I23" s="171"/>
      <c r="J23" s="171"/>
      <c r="K23" s="171"/>
      <c r="L23" s="171"/>
      <c r="M23" s="171"/>
      <c r="N23" s="171"/>
      <c r="O23" s="171"/>
      <c r="P23" s="171"/>
      <c r="Q23" s="171"/>
      <c r="R23" s="171"/>
      <c r="S23" s="171"/>
      <c r="T23" s="171"/>
      <c r="U23" s="171"/>
      <c r="V23" s="171"/>
      <c r="W23" s="171"/>
      <c r="X23" s="171"/>
      <c r="Y23" s="171"/>
      <c r="Z23" s="171"/>
    </row>
    <row r="24" ht="66.75" customHeight="1">
      <c r="A24" s="171"/>
      <c r="B24" s="182" t="s">
        <v>347</v>
      </c>
      <c r="C24" s="191" t="s">
        <v>348</v>
      </c>
      <c r="D24" s="182" t="s">
        <v>349</v>
      </c>
      <c r="E24" s="191" t="s">
        <v>350</v>
      </c>
      <c r="F24" s="192" t="s">
        <v>351</v>
      </c>
      <c r="G24" s="171"/>
      <c r="H24" s="171"/>
      <c r="I24" s="171"/>
      <c r="J24" s="171"/>
      <c r="K24" s="171"/>
      <c r="L24" s="171"/>
      <c r="M24" s="171"/>
      <c r="N24" s="171"/>
      <c r="O24" s="171"/>
      <c r="P24" s="171"/>
      <c r="Q24" s="171"/>
      <c r="R24" s="171"/>
      <c r="S24" s="171"/>
      <c r="T24" s="171"/>
      <c r="U24" s="171"/>
      <c r="V24" s="171"/>
      <c r="W24" s="171"/>
      <c r="X24" s="171"/>
      <c r="Y24" s="171"/>
      <c r="Z24" s="171"/>
    </row>
    <row r="25">
      <c r="A25" s="171"/>
      <c r="B25" s="171"/>
      <c r="C25" s="171"/>
      <c r="D25" s="171"/>
      <c r="E25" s="171"/>
      <c r="F25" s="171"/>
      <c r="G25" s="171"/>
      <c r="H25" s="171"/>
      <c r="I25" s="171"/>
      <c r="J25" s="171"/>
      <c r="K25" s="171"/>
      <c r="L25" s="171"/>
      <c r="M25" s="171"/>
      <c r="N25" s="171"/>
      <c r="O25" s="171"/>
      <c r="P25" s="171"/>
      <c r="Q25" s="171"/>
      <c r="R25" s="171"/>
      <c r="S25" s="171"/>
      <c r="T25" s="171"/>
      <c r="U25" s="171"/>
      <c r="V25" s="171"/>
      <c r="W25" s="171"/>
      <c r="X25" s="171"/>
      <c r="Y25" s="171"/>
      <c r="Z25" s="171"/>
    </row>
    <row r="26">
      <c r="A26" s="171"/>
      <c r="B26" s="171"/>
      <c r="C26" s="171"/>
      <c r="D26" s="171"/>
      <c r="E26" s="171"/>
      <c r="F26" s="171"/>
      <c r="G26" s="171"/>
      <c r="H26" s="171"/>
      <c r="I26" s="171"/>
      <c r="J26" s="171"/>
      <c r="K26" s="171"/>
      <c r="L26" s="171"/>
      <c r="M26" s="171"/>
      <c r="N26" s="171"/>
      <c r="O26" s="171"/>
      <c r="P26" s="171"/>
      <c r="Q26" s="171"/>
      <c r="R26" s="171"/>
      <c r="S26" s="171"/>
      <c r="T26" s="171"/>
      <c r="U26" s="171"/>
      <c r="V26" s="171"/>
      <c r="W26" s="171"/>
      <c r="X26" s="171"/>
      <c r="Y26" s="171"/>
      <c r="Z26" s="171"/>
    </row>
    <row r="27" ht="17.25" customHeight="1">
      <c r="A27" s="178"/>
      <c r="B27" s="193"/>
      <c r="C27" s="17"/>
      <c r="D27" s="17"/>
      <c r="E27" s="17"/>
      <c r="F27" s="18"/>
      <c r="G27" s="171"/>
      <c r="H27" s="171"/>
      <c r="I27" s="171"/>
      <c r="J27" s="171"/>
      <c r="K27" s="171"/>
      <c r="L27" s="171"/>
      <c r="M27" s="171"/>
      <c r="N27" s="171"/>
      <c r="O27" s="171"/>
      <c r="P27" s="171"/>
      <c r="Q27" s="171"/>
      <c r="R27" s="171"/>
      <c r="S27" s="171"/>
      <c r="T27" s="171"/>
      <c r="U27" s="171"/>
      <c r="V27" s="171"/>
      <c r="W27" s="171"/>
      <c r="X27" s="171"/>
      <c r="Y27" s="171"/>
      <c r="Z27" s="171"/>
    </row>
    <row r="28">
      <c r="A28" s="171"/>
      <c r="B28" s="170" t="s">
        <v>352</v>
      </c>
      <c r="C28" s="17"/>
      <c r="D28" s="17"/>
      <c r="E28" s="17"/>
      <c r="F28" s="18"/>
      <c r="G28" s="171"/>
      <c r="H28" s="171"/>
      <c r="I28" s="171"/>
      <c r="J28" s="171"/>
      <c r="K28" s="171"/>
      <c r="L28" s="171"/>
      <c r="M28" s="171"/>
      <c r="N28" s="171"/>
      <c r="O28" s="171"/>
      <c r="P28" s="171"/>
      <c r="Q28" s="171"/>
      <c r="R28" s="171"/>
      <c r="S28" s="171"/>
      <c r="T28" s="171"/>
      <c r="U28" s="171"/>
      <c r="V28" s="171"/>
      <c r="W28" s="171"/>
      <c r="X28" s="171"/>
      <c r="Y28" s="171"/>
      <c r="Z28" s="171"/>
    </row>
    <row r="29" ht="64.5" customHeight="1">
      <c r="A29" s="178"/>
      <c r="B29" s="193"/>
      <c r="C29" s="17"/>
      <c r="D29" s="17"/>
      <c r="E29" s="17"/>
      <c r="F29" s="18"/>
      <c r="G29" s="171"/>
      <c r="H29" s="171"/>
      <c r="I29" s="171"/>
      <c r="J29" s="171"/>
      <c r="K29" s="171"/>
      <c r="L29" s="171"/>
      <c r="M29" s="171"/>
      <c r="N29" s="171"/>
      <c r="O29" s="171"/>
      <c r="P29" s="171"/>
      <c r="Q29" s="171"/>
      <c r="R29" s="171"/>
      <c r="S29" s="171"/>
      <c r="T29" s="171"/>
      <c r="U29" s="171"/>
      <c r="V29" s="171"/>
      <c r="W29" s="171"/>
      <c r="X29" s="171"/>
      <c r="Y29" s="171"/>
      <c r="Z29" s="171"/>
    </row>
    <row r="30">
      <c r="A30" s="171"/>
      <c r="B30" s="170" t="s">
        <v>353</v>
      </c>
      <c r="C30" s="17"/>
      <c r="D30" s="17"/>
      <c r="E30" s="17"/>
      <c r="F30" s="18"/>
      <c r="G30" s="171"/>
      <c r="H30" s="171"/>
      <c r="I30" s="171"/>
      <c r="J30" s="171"/>
      <c r="K30" s="171"/>
      <c r="L30" s="171"/>
      <c r="M30" s="171"/>
      <c r="N30" s="171"/>
      <c r="O30" s="171"/>
      <c r="P30" s="171"/>
      <c r="Q30" s="171"/>
      <c r="R30" s="171"/>
      <c r="S30" s="171"/>
      <c r="T30" s="171"/>
      <c r="U30" s="171"/>
      <c r="V30" s="171"/>
      <c r="W30" s="171"/>
      <c r="X30" s="171"/>
      <c r="Y30" s="171"/>
      <c r="Z30" s="171"/>
    </row>
    <row r="31">
      <c r="A31" s="171"/>
      <c r="B31" s="172" t="s">
        <v>354</v>
      </c>
      <c r="C31" s="17"/>
      <c r="D31" s="18"/>
      <c r="E31" s="172" t="s">
        <v>355</v>
      </c>
      <c r="F31" s="18"/>
      <c r="G31" s="171"/>
      <c r="H31" s="171"/>
      <c r="I31" s="171"/>
      <c r="J31" s="171"/>
      <c r="K31" s="171"/>
      <c r="L31" s="171"/>
      <c r="M31" s="171"/>
      <c r="N31" s="171"/>
      <c r="O31" s="171"/>
      <c r="P31" s="171"/>
      <c r="Q31" s="171"/>
      <c r="R31" s="171"/>
      <c r="S31" s="171"/>
      <c r="T31" s="171"/>
      <c r="U31" s="171"/>
      <c r="V31" s="171"/>
      <c r="W31" s="171"/>
      <c r="X31" s="171"/>
      <c r="Y31" s="171"/>
      <c r="Z31" s="171"/>
    </row>
    <row r="32">
      <c r="A32" s="171"/>
      <c r="B32" s="194"/>
      <c r="C32" s="194"/>
      <c r="D32" s="194"/>
      <c r="E32" s="193"/>
      <c r="F32" s="18"/>
      <c r="G32" s="171"/>
      <c r="H32" s="171"/>
      <c r="I32" s="171"/>
      <c r="J32" s="171"/>
      <c r="K32" s="171"/>
      <c r="L32" s="171"/>
      <c r="M32" s="171"/>
      <c r="N32" s="171"/>
      <c r="O32" s="171"/>
      <c r="P32" s="171"/>
      <c r="Q32" s="171"/>
      <c r="R32" s="171"/>
      <c r="S32" s="171"/>
      <c r="T32" s="171"/>
      <c r="U32" s="171"/>
      <c r="V32" s="171"/>
      <c r="W32" s="171"/>
      <c r="X32" s="171"/>
      <c r="Y32" s="171"/>
      <c r="Z32" s="171"/>
    </row>
    <row r="33">
      <c r="A33" s="171"/>
      <c r="B33" s="171"/>
      <c r="C33" s="171"/>
      <c r="D33" s="171"/>
      <c r="E33" s="171"/>
      <c r="F33" s="171"/>
      <c r="G33" s="171"/>
      <c r="H33" s="171"/>
      <c r="I33" s="171"/>
      <c r="J33" s="171"/>
      <c r="K33" s="171"/>
      <c r="L33" s="171"/>
      <c r="M33" s="171"/>
      <c r="N33" s="171"/>
      <c r="O33" s="171"/>
      <c r="P33" s="171"/>
      <c r="Q33" s="171"/>
      <c r="R33" s="171"/>
      <c r="S33" s="171"/>
      <c r="T33" s="171"/>
      <c r="U33" s="171"/>
      <c r="V33" s="171"/>
      <c r="W33" s="171"/>
      <c r="X33" s="171"/>
      <c r="Y33" s="171"/>
      <c r="Z33" s="171"/>
    </row>
    <row r="34">
      <c r="A34" s="171"/>
      <c r="B34" s="171"/>
      <c r="C34" s="171"/>
      <c r="D34" s="171"/>
      <c r="E34" s="171"/>
      <c r="F34" s="171"/>
      <c r="G34" s="171"/>
      <c r="H34" s="171"/>
      <c r="I34" s="171"/>
      <c r="J34" s="171"/>
      <c r="K34" s="171"/>
      <c r="L34" s="171"/>
      <c r="M34" s="171"/>
      <c r="N34" s="171"/>
      <c r="O34" s="171"/>
      <c r="P34" s="171"/>
      <c r="Q34" s="171"/>
      <c r="R34" s="171"/>
      <c r="S34" s="171"/>
      <c r="T34" s="171"/>
      <c r="U34" s="171"/>
      <c r="V34" s="171"/>
      <c r="W34" s="171"/>
      <c r="X34" s="171"/>
      <c r="Y34" s="171"/>
      <c r="Z34" s="171"/>
    </row>
    <row r="35">
      <c r="A35" s="171"/>
      <c r="B35" s="171"/>
      <c r="C35" s="171"/>
      <c r="D35" s="171"/>
      <c r="E35" s="171"/>
      <c r="F35" s="171"/>
      <c r="G35" s="171"/>
      <c r="H35" s="171"/>
      <c r="I35" s="171"/>
      <c r="J35" s="171"/>
      <c r="K35" s="171"/>
      <c r="L35" s="171"/>
      <c r="M35" s="171"/>
      <c r="N35" s="171"/>
      <c r="O35" s="171"/>
      <c r="P35" s="171"/>
      <c r="Q35" s="171"/>
      <c r="R35" s="171"/>
      <c r="S35" s="171"/>
      <c r="T35" s="171"/>
      <c r="U35" s="171"/>
      <c r="V35" s="171"/>
      <c r="W35" s="171"/>
      <c r="X35" s="171"/>
      <c r="Y35" s="171"/>
      <c r="Z35" s="171"/>
    </row>
    <row r="36">
      <c r="A36" s="171"/>
      <c r="B36" s="171"/>
      <c r="C36" s="171"/>
      <c r="D36" s="171"/>
      <c r="E36" s="171"/>
      <c r="F36" s="171"/>
      <c r="G36" s="171"/>
      <c r="H36" s="171"/>
      <c r="I36" s="171"/>
      <c r="J36" s="171"/>
      <c r="K36" s="171"/>
      <c r="L36" s="171"/>
      <c r="M36" s="171"/>
      <c r="N36" s="171"/>
      <c r="O36" s="171"/>
      <c r="P36" s="171"/>
      <c r="Q36" s="171"/>
      <c r="R36" s="171"/>
      <c r="S36" s="171"/>
      <c r="T36" s="171"/>
      <c r="U36" s="171"/>
      <c r="V36" s="171"/>
      <c r="W36" s="171"/>
      <c r="X36" s="171"/>
      <c r="Y36" s="171"/>
      <c r="Z36" s="171"/>
    </row>
    <row r="37">
      <c r="A37" s="171"/>
      <c r="B37" s="171"/>
      <c r="C37" s="171"/>
      <c r="D37" s="171"/>
      <c r="E37" s="171"/>
      <c r="F37" s="171"/>
      <c r="G37" s="171"/>
      <c r="H37" s="171"/>
      <c r="I37" s="171"/>
      <c r="J37" s="171"/>
      <c r="K37" s="171"/>
      <c r="L37" s="171"/>
      <c r="M37" s="171"/>
      <c r="N37" s="171"/>
      <c r="O37" s="171"/>
      <c r="P37" s="171"/>
      <c r="Q37" s="171"/>
      <c r="R37" s="171"/>
      <c r="S37" s="171"/>
      <c r="T37" s="171"/>
      <c r="U37" s="171"/>
      <c r="V37" s="171"/>
      <c r="W37" s="171"/>
      <c r="X37" s="171"/>
      <c r="Y37" s="171"/>
      <c r="Z37" s="171"/>
    </row>
    <row r="38">
      <c r="A38" s="169"/>
      <c r="B38" s="171"/>
      <c r="C38" s="171"/>
      <c r="D38" s="171"/>
      <c r="E38" s="171"/>
      <c r="F38" s="171"/>
      <c r="G38" s="171"/>
      <c r="H38" s="171"/>
      <c r="I38" s="171"/>
      <c r="J38" s="171"/>
      <c r="K38" s="171"/>
      <c r="L38" s="171"/>
      <c r="M38" s="171"/>
      <c r="N38" s="171"/>
      <c r="O38" s="171"/>
      <c r="P38" s="171"/>
      <c r="Q38" s="171"/>
      <c r="R38" s="171"/>
      <c r="S38" s="171"/>
      <c r="T38" s="171"/>
      <c r="U38" s="171"/>
      <c r="V38" s="171"/>
      <c r="W38" s="171"/>
      <c r="X38" s="171"/>
      <c r="Y38" s="171"/>
      <c r="Z38" s="171"/>
    </row>
    <row r="39">
      <c r="A39" s="171"/>
      <c r="B39" s="171"/>
      <c r="C39" s="171"/>
      <c r="D39" s="171"/>
      <c r="E39" s="171"/>
      <c r="F39" s="171"/>
      <c r="G39" s="171"/>
      <c r="H39" s="171"/>
      <c r="I39" s="171"/>
      <c r="J39" s="171"/>
      <c r="K39" s="171"/>
      <c r="L39" s="171"/>
      <c r="M39" s="171"/>
      <c r="N39" s="171"/>
      <c r="O39" s="171"/>
      <c r="P39" s="171"/>
      <c r="Q39" s="171"/>
      <c r="R39" s="171"/>
      <c r="S39" s="171"/>
      <c r="T39" s="171"/>
      <c r="U39" s="171"/>
      <c r="V39" s="171"/>
      <c r="W39" s="171"/>
      <c r="X39" s="171"/>
      <c r="Y39" s="171"/>
      <c r="Z39" s="171"/>
    </row>
    <row r="40">
      <c r="A40" s="171"/>
      <c r="B40" s="171"/>
      <c r="C40" s="171"/>
      <c r="D40" s="171"/>
      <c r="E40" s="171"/>
      <c r="F40" s="171"/>
      <c r="G40" s="171"/>
      <c r="H40" s="171"/>
      <c r="I40" s="171"/>
      <c r="J40" s="171"/>
      <c r="K40" s="171"/>
      <c r="L40" s="171"/>
      <c r="M40" s="171"/>
      <c r="N40" s="171"/>
      <c r="O40" s="171"/>
      <c r="P40" s="171"/>
      <c r="Q40" s="171"/>
      <c r="R40" s="171"/>
      <c r="S40" s="171"/>
      <c r="T40" s="171"/>
      <c r="U40" s="171"/>
      <c r="V40" s="171"/>
      <c r="W40" s="171"/>
      <c r="X40" s="171"/>
      <c r="Y40" s="171"/>
      <c r="Z40" s="171"/>
    </row>
    <row r="41">
      <c r="A41" s="171"/>
      <c r="B41" s="171"/>
      <c r="C41" s="171"/>
      <c r="D41" s="171"/>
      <c r="E41" s="171"/>
      <c r="F41" s="171"/>
      <c r="G41" s="171"/>
      <c r="H41" s="171"/>
      <c r="I41" s="171"/>
      <c r="J41" s="171"/>
      <c r="K41" s="171"/>
      <c r="L41" s="171"/>
      <c r="M41" s="171"/>
      <c r="N41" s="171"/>
      <c r="O41" s="171"/>
      <c r="P41" s="171"/>
      <c r="Q41" s="171"/>
      <c r="R41" s="171"/>
      <c r="S41" s="171"/>
      <c r="T41" s="171"/>
      <c r="U41" s="171"/>
      <c r="V41" s="171"/>
      <c r="W41" s="171"/>
      <c r="X41" s="171"/>
      <c r="Y41" s="171"/>
      <c r="Z41" s="171"/>
    </row>
    <row r="42">
      <c r="A42" s="171"/>
      <c r="B42" s="171"/>
      <c r="C42" s="171"/>
      <c r="D42" s="171"/>
      <c r="E42" s="171"/>
      <c r="F42" s="171"/>
      <c r="G42" s="171"/>
      <c r="H42" s="171"/>
      <c r="I42" s="171"/>
      <c r="J42" s="171"/>
      <c r="K42" s="171"/>
      <c r="L42" s="171"/>
      <c r="M42" s="171"/>
      <c r="N42" s="171"/>
      <c r="O42" s="171"/>
      <c r="P42" s="171"/>
      <c r="Q42" s="171"/>
      <c r="R42" s="171"/>
      <c r="S42" s="171"/>
      <c r="T42" s="171"/>
      <c r="U42" s="171"/>
      <c r="V42" s="171"/>
      <c r="W42" s="171"/>
      <c r="X42" s="171"/>
      <c r="Y42" s="171"/>
      <c r="Z42" s="171"/>
    </row>
    <row r="43">
      <c r="A43" s="171"/>
      <c r="B43" s="171"/>
      <c r="C43" s="171"/>
      <c r="D43" s="171"/>
      <c r="E43" s="171"/>
      <c r="F43" s="171"/>
      <c r="G43" s="171"/>
      <c r="H43" s="171"/>
      <c r="I43" s="171"/>
      <c r="J43" s="171"/>
      <c r="K43" s="171"/>
      <c r="L43" s="171"/>
      <c r="M43" s="171"/>
      <c r="N43" s="171"/>
      <c r="O43" s="171"/>
      <c r="P43" s="171"/>
      <c r="Q43" s="171"/>
      <c r="R43" s="171"/>
      <c r="S43" s="171"/>
      <c r="T43" s="171"/>
      <c r="U43" s="171"/>
      <c r="V43" s="171"/>
      <c r="W43" s="171"/>
      <c r="X43" s="171"/>
      <c r="Y43" s="171"/>
      <c r="Z43" s="171"/>
    </row>
    <row r="44">
      <c r="A44" s="178"/>
      <c r="B44" s="171"/>
      <c r="C44" s="171"/>
      <c r="D44" s="171"/>
      <c r="E44" s="171"/>
      <c r="F44" s="171"/>
      <c r="G44" s="171"/>
      <c r="H44" s="171"/>
      <c r="I44" s="171"/>
      <c r="J44" s="171"/>
      <c r="K44" s="171"/>
      <c r="L44" s="171"/>
      <c r="M44" s="171"/>
      <c r="N44" s="171"/>
      <c r="O44" s="171"/>
      <c r="P44" s="171"/>
      <c r="Q44" s="171"/>
      <c r="R44" s="171"/>
      <c r="S44" s="171"/>
      <c r="T44" s="171"/>
      <c r="U44" s="171"/>
      <c r="V44" s="171"/>
      <c r="W44" s="171"/>
      <c r="X44" s="171"/>
      <c r="Y44" s="171"/>
      <c r="Z44" s="171"/>
    </row>
    <row r="45">
      <c r="A45" s="171"/>
      <c r="B45" s="171"/>
      <c r="C45" s="171"/>
      <c r="D45" s="171"/>
      <c r="E45" s="171"/>
      <c r="F45" s="171"/>
      <c r="G45" s="171"/>
      <c r="H45" s="171"/>
      <c r="I45" s="171"/>
      <c r="J45" s="171"/>
      <c r="K45" s="171"/>
      <c r="L45" s="171"/>
      <c r="M45" s="171"/>
      <c r="N45" s="171"/>
      <c r="O45" s="171"/>
      <c r="P45" s="171"/>
      <c r="Q45" s="171"/>
      <c r="R45" s="171"/>
      <c r="S45" s="171"/>
      <c r="T45" s="171"/>
      <c r="U45" s="171"/>
      <c r="V45" s="171"/>
      <c r="W45" s="171"/>
      <c r="X45" s="171"/>
      <c r="Y45" s="171"/>
      <c r="Z45" s="171"/>
    </row>
    <row r="46">
      <c r="A46" s="178"/>
      <c r="B46" s="171"/>
      <c r="C46" s="171"/>
      <c r="D46" s="171"/>
      <c r="E46" s="171"/>
      <c r="F46" s="171"/>
      <c r="G46" s="171"/>
      <c r="H46" s="171"/>
      <c r="I46" s="171"/>
      <c r="J46" s="171"/>
      <c r="K46" s="171"/>
      <c r="L46" s="171"/>
      <c r="M46" s="171"/>
      <c r="N46" s="171"/>
      <c r="O46" s="171"/>
      <c r="P46" s="171"/>
      <c r="Q46" s="171"/>
      <c r="R46" s="171"/>
      <c r="S46" s="171"/>
      <c r="T46" s="171"/>
      <c r="U46" s="171"/>
      <c r="V46" s="171"/>
      <c r="W46" s="171"/>
      <c r="X46" s="171"/>
      <c r="Y46" s="171"/>
      <c r="Z46" s="171"/>
    </row>
    <row r="47">
      <c r="A47" s="171"/>
      <c r="B47" s="171"/>
      <c r="C47" s="171"/>
      <c r="D47" s="171"/>
      <c r="E47" s="171"/>
      <c r="F47" s="171"/>
      <c r="G47" s="171"/>
      <c r="H47" s="171"/>
      <c r="I47" s="171"/>
      <c r="J47" s="171"/>
      <c r="K47" s="171"/>
      <c r="L47" s="171"/>
      <c r="M47" s="171"/>
      <c r="N47" s="171"/>
      <c r="O47" s="171"/>
      <c r="P47" s="171"/>
      <c r="Q47" s="171"/>
      <c r="R47" s="171"/>
      <c r="S47" s="171"/>
      <c r="T47" s="171"/>
      <c r="U47" s="171"/>
      <c r="V47" s="171"/>
      <c r="W47" s="171"/>
      <c r="X47" s="171"/>
      <c r="Y47" s="171"/>
      <c r="Z47" s="171"/>
    </row>
    <row r="48">
      <c r="A48" s="171"/>
      <c r="B48" s="171"/>
      <c r="C48" s="171"/>
      <c r="D48" s="171"/>
      <c r="E48" s="171"/>
      <c r="F48" s="171"/>
      <c r="G48" s="171"/>
      <c r="H48" s="171"/>
      <c r="I48" s="171"/>
      <c r="J48" s="171"/>
      <c r="K48" s="171"/>
      <c r="L48" s="171"/>
      <c r="M48" s="171"/>
      <c r="N48" s="171"/>
      <c r="O48" s="171"/>
      <c r="P48" s="171"/>
      <c r="Q48" s="171"/>
      <c r="R48" s="171"/>
      <c r="S48" s="171"/>
      <c r="T48" s="171"/>
      <c r="U48" s="171"/>
      <c r="V48" s="171"/>
      <c r="W48" s="171"/>
      <c r="X48" s="171"/>
      <c r="Y48" s="171"/>
      <c r="Z48" s="171"/>
    </row>
    <row r="49">
      <c r="A49" s="171"/>
      <c r="B49" s="171"/>
      <c r="C49" s="171"/>
      <c r="D49" s="171"/>
      <c r="E49" s="171"/>
      <c r="F49" s="171"/>
      <c r="G49" s="171"/>
      <c r="H49" s="171"/>
      <c r="I49" s="171"/>
      <c r="J49" s="171"/>
      <c r="K49" s="171"/>
      <c r="L49" s="171"/>
      <c r="M49" s="171"/>
      <c r="N49" s="171"/>
      <c r="O49" s="171"/>
      <c r="P49" s="171"/>
      <c r="Q49" s="171"/>
      <c r="R49" s="171"/>
      <c r="S49" s="171"/>
      <c r="T49" s="171"/>
      <c r="U49" s="171"/>
      <c r="V49" s="171"/>
      <c r="W49" s="171"/>
      <c r="X49" s="171"/>
      <c r="Y49" s="171"/>
      <c r="Z49" s="171"/>
    </row>
    <row r="50">
      <c r="A50" s="171"/>
      <c r="B50" s="171"/>
      <c r="C50" s="171"/>
      <c r="D50" s="171"/>
      <c r="E50" s="171"/>
      <c r="F50" s="171"/>
      <c r="G50" s="171"/>
      <c r="H50" s="171"/>
      <c r="I50" s="171"/>
      <c r="J50" s="171"/>
      <c r="K50" s="171"/>
      <c r="L50" s="171"/>
      <c r="M50" s="171"/>
      <c r="N50" s="171"/>
      <c r="O50" s="171"/>
      <c r="P50" s="171"/>
      <c r="Q50" s="171"/>
      <c r="R50" s="171"/>
      <c r="S50" s="171"/>
      <c r="T50" s="171"/>
      <c r="U50" s="171"/>
      <c r="V50" s="171"/>
      <c r="W50" s="171"/>
      <c r="X50" s="171"/>
      <c r="Y50" s="171"/>
      <c r="Z50" s="171"/>
    </row>
    <row r="51">
      <c r="A51" s="171"/>
      <c r="B51" s="171"/>
      <c r="C51" s="171"/>
      <c r="D51" s="171"/>
      <c r="E51" s="171"/>
      <c r="F51" s="171"/>
      <c r="G51" s="171"/>
      <c r="H51" s="171"/>
      <c r="I51" s="171"/>
      <c r="J51" s="171"/>
      <c r="K51" s="171"/>
      <c r="L51" s="171"/>
      <c r="M51" s="171"/>
      <c r="N51" s="171"/>
      <c r="O51" s="171"/>
      <c r="P51" s="171"/>
      <c r="Q51" s="171"/>
      <c r="R51" s="171"/>
      <c r="S51" s="171"/>
      <c r="T51" s="171"/>
      <c r="U51" s="171"/>
      <c r="V51" s="171"/>
      <c r="W51" s="171"/>
      <c r="X51" s="171"/>
      <c r="Y51" s="171"/>
      <c r="Z51" s="171"/>
    </row>
    <row r="52">
      <c r="A52" s="171"/>
      <c r="B52" s="171"/>
      <c r="C52" s="171"/>
      <c r="D52" s="171"/>
      <c r="E52" s="171"/>
      <c r="F52" s="171"/>
      <c r="G52" s="171"/>
      <c r="H52" s="171"/>
      <c r="I52" s="171"/>
      <c r="J52" s="171"/>
      <c r="K52" s="171"/>
      <c r="L52" s="171"/>
      <c r="M52" s="171"/>
      <c r="N52" s="171"/>
      <c r="O52" s="171"/>
      <c r="P52" s="171"/>
      <c r="Q52" s="171"/>
      <c r="R52" s="171"/>
      <c r="S52" s="171"/>
      <c r="T52" s="171"/>
      <c r="U52" s="171"/>
      <c r="V52" s="171"/>
      <c r="W52" s="171"/>
      <c r="X52" s="171"/>
      <c r="Y52" s="171"/>
      <c r="Z52" s="171"/>
    </row>
    <row r="53">
      <c r="A53" s="171"/>
      <c r="B53" s="171"/>
      <c r="C53" s="171"/>
      <c r="D53" s="171"/>
      <c r="E53" s="171"/>
      <c r="F53" s="171"/>
      <c r="G53" s="171"/>
      <c r="H53" s="171"/>
      <c r="I53" s="171"/>
      <c r="J53" s="171"/>
      <c r="K53" s="171"/>
      <c r="L53" s="171"/>
      <c r="M53" s="171"/>
      <c r="N53" s="171"/>
      <c r="O53" s="171"/>
      <c r="P53" s="171"/>
      <c r="Q53" s="171"/>
      <c r="R53" s="171"/>
      <c r="S53" s="171"/>
      <c r="T53" s="171"/>
      <c r="U53" s="171"/>
      <c r="V53" s="171"/>
      <c r="W53" s="171"/>
      <c r="X53" s="171"/>
      <c r="Y53" s="171"/>
      <c r="Z53" s="171"/>
    </row>
    <row r="54">
      <c r="A54" s="171"/>
      <c r="B54" s="171"/>
      <c r="C54" s="171"/>
      <c r="D54" s="171"/>
      <c r="E54" s="171"/>
      <c r="F54" s="171"/>
      <c r="G54" s="171"/>
      <c r="H54" s="171"/>
      <c r="I54" s="171"/>
      <c r="J54" s="171"/>
      <c r="K54" s="171"/>
      <c r="L54" s="171"/>
      <c r="M54" s="171"/>
      <c r="N54" s="171"/>
      <c r="O54" s="171"/>
      <c r="P54" s="171"/>
      <c r="Q54" s="171"/>
      <c r="R54" s="171"/>
      <c r="S54" s="171"/>
      <c r="T54" s="171"/>
      <c r="U54" s="171"/>
      <c r="V54" s="171"/>
      <c r="W54" s="171"/>
      <c r="X54" s="171"/>
      <c r="Y54" s="171"/>
      <c r="Z54" s="171"/>
    </row>
    <row r="55">
      <c r="A55" s="169"/>
      <c r="B55" s="171"/>
      <c r="C55" s="171"/>
      <c r="D55" s="171"/>
      <c r="E55" s="171"/>
      <c r="F55" s="171"/>
      <c r="G55" s="171"/>
      <c r="H55" s="171"/>
      <c r="I55" s="171"/>
      <c r="J55" s="171"/>
      <c r="K55" s="171"/>
      <c r="L55" s="171"/>
      <c r="M55" s="171"/>
      <c r="N55" s="171"/>
      <c r="O55" s="171"/>
      <c r="P55" s="171"/>
      <c r="Q55" s="171"/>
      <c r="R55" s="171"/>
      <c r="S55" s="171"/>
      <c r="T55" s="171"/>
      <c r="U55" s="171"/>
      <c r="V55" s="171"/>
      <c r="W55" s="171"/>
      <c r="X55" s="171"/>
      <c r="Y55" s="171"/>
      <c r="Z55" s="171"/>
    </row>
    <row r="56">
      <c r="A56" s="169"/>
      <c r="B56" s="171"/>
      <c r="C56" s="171"/>
      <c r="D56" s="171"/>
      <c r="E56" s="171"/>
      <c r="F56" s="171"/>
      <c r="G56" s="171"/>
      <c r="H56" s="171"/>
      <c r="I56" s="171"/>
      <c r="J56" s="171"/>
      <c r="K56" s="171"/>
      <c r="L56" s="171"/>
      <c r="M56" s="171"/>
      <c r="N56" s="171"/>
      <c r="O56" s="171"/>
      <c r="P56" s="171"/>
      <c r="Q56" s="171"/>
      <c r="R56" s="171"/>
      <c r="S56" s="171"/>
      <c r="T56" s="171"/>
      <c r="U56" s="171"/>
      <c r="V56" s="171"/>
      <c r="W56" s="171"/>
      <c r="X56" s="171"/>
      <c r="Y56" s="171"/>
      <c r="Z56" s="171"/>
    </row>
    <row r="57">
      <c r="A57" s="171"/>
      <c r="B57" s="171"/>
      <c r="C57" s="171"/>
      <c r="D57" s="171"/>
      <c r="E57" s="171"/>
      <c r="F57" s="171"/>
      <c r="G57" s="171"/>
      <c r="H57" s="171"/>
      <c r="I57" s="171"/>
      <c r="J57" s="171"/>
      <c r="K57" s="171"/>
      <c r="L57" s="171"/>
      <c r="M57" s="171"/>
      <c r="N57" s="171"/>
      <c r="O57" s="171"/>
      <c r="P57" s="171"/>
      <c r="Q57" s="171"/>
      <c r="R57" s="171"/>
      <c r="S57" s="171"/>
      <c r="T57" s="171"/>
      <c r="U57" s="171"/>
      <c r="V57" s="171"/>
      <c r="W57" s="171"/>
      <c r="X57" s="171"/>
      <c r="Y57" s="171"/>
      <c r="Z57" s="171"/>
    </row>
    <row r="58">
      <c r="A58" s="171"/>
      <c r="B58" s="171"/>
      <c r="C58" s="171"/>
      <c r="D58" s="171"/>
      <c r="E58" s="171"/>
      <c r="F58" s="171"/>
      <c r="G58" s="171"/>
      <c r="H58" s="171"/>
      <c r="I58" s="171"/>
      <c r="J58" s="171"/>
      <c r="K58" s="171"/>
      <c r="L58" s="171"/>
      <c r="M58" s="171"/>
      <c r="N58" s="171"/>
      <c r="O58" s="171"/>
      <c r="P58" s="171"/>
      <c r="Q58" s="171"/>
      <c r="R58" s="171"/>
      <c r="S58" s="171"/>
      <c r="T58" s="171"/>
      <c r="U58" s="171"/>
      <c r="V58" s="171"/>
      <c r="W58" s="171"/>
      <c r="X58" s="171"/>
      <c r="Y58" s="171"/>
      <c r="Z58" s="171"/>
    </row>
    <row r="59">
      <c r="A59" s="171"/>
      <c r="B59" s="171"/>
      <c r="C59" s="171"/>
      <c r="D59" s="171"/>
      <c r="E59" s="171"/>
      <c r="F59" s="171"/>
      <c r="G59" s="171"/>
      <c r="H59" s="171"/>
      <c r="I59" s="171"/>
      <c r="J59" s="171"/>
      <c r="K59" s="171"/>
      <c r="L59" s="171"/>
      <c r="M59" s="171"/>
      <c r="N59" s="171"/>
      <c r="O59" s="171"/>
      <c r="P59" s="171"/>
      <c r="Q59" s="171"/>
      <c r="R59" s="171"/>
      <c r="S59" s="171"/>
      <c r="T59" s="171"/>
      <c r="U59" s="171"/>
      <c r="V59" s="171"/>
      <c r="W59" s="171"/>
      <c r="X59" s="171"/>
      <c r="Y59" s="171"/>
      <c r="Z59" s="171"/>
    </row>
    <row r="60">
      <c r="A60" s="171"/>
      <c r="B60" s="171"/>
      <c r="C60" s="171"/>
      <c r="D60" s="171"/>
      <c r="E60" s="171"/>
      <c r="F60" s="171"/>
      <c r="G60" s="171"/>
      <c r="H60" s="171"/>
      <c r="I60" s="171"/>
      <c r="J60" s="171"/>
      <c r="K60" s="171"/>
      <c r="L60" s="171"/>
      <c r="M60" s="171"/>
      <c r="N60" s="171"/>
      <c r="O60" s="171"/>
      <c r="P60" s="171"/>
      <c r="Q60" s="171"/>
      <c r="R60" s="171"/>
      <c r="S60" s="171"/>
      <c r="T60" s="171"/>
      <c r="U60" s="171"/>
      <c r="V60" s="171"/>
      <c r="W60" s="171"/>
      <c r="X60" s="171"/>
      <c r="Y60" s="171"/>
      <c r="Z60" s="171"/>
    </row>
    <row r="61">
      <c r="A61" s="171"/>
      <c r="B61" s="171"/>
      <c r="C61" s="171"/>
      <c r="D61" s="171"/>
      <c r="E61" s="171"/>
      <c r="F61" s="171"/>
      <c r="G61" s="171"/>
      <c r="H61" s="171"/>
      <c r="I61" s="171"/>
      <c r="J61" s="171"/>
      <c r="K61" s="171"/>
      <c r="L61" s="171"/>
      <c r="M61" s="171"/>
      <c r="N61" s="171"/>
      <c r="O61" s="171"/>
      <c r="P61" s="171"/>
      <c r="Q61" s="171"/>
      <c r="R61" s="171"/>
      <c r="S61" s="171"/>
      <c r="T61" s="171"/>
      <c r="U61" s="171"/>
      <c r="V61" s="171"/>
      <c r="W61" s="171"/>
      <c r="X61" s="171"/>
      <c r="Y61" s="171"/>
      <c r="Z61" s="171"/>
    </row>
    <row r="62">
      <c r="A62" s="178"/>
      <c r="B62" s="171"/>
      <c r="C62" s="171"/>
      <c r="D62" s="171"/>
      <c r="E62" s="171"/>
      <c r="F62" s="171"/>
      <c r="G62" s="171"/>
      <c r="H62" s="171"/>
      <c r="I62" s="171"/>
      <c r="J62" s="171"/>
      <c r="K62" s="171"/>
      <c r="L62" s="171"/>
      <c r="M62" s="171"/>
      <c r="N62" s="171"/>
      <c r="O62" s="171"/>
      <c r="P62" s="171"/>
      <c r="Q62" s="171"/>
      <c r="R62" s="171"/>
      <c r="S62" s="171"/>
      <c r="T62" s="171"/>
      <c r="U62" s="171"/>
      <c r="V62" s="171"/>
      <c r="W62" s="171"/>
      <c r="X62" s="171"/>
      <c r="Y62" s="171"/>
      <c r="Z62" s="171"/>
    </row>
    <row r="63">
      <c r="A63" s="171"/>
      <c r="B63" s="171"/>
      <c r="C63" s="171"/>
      <c r="D63" s="171"/>
      <c r="E63" s="171"/>
      <c r="F63" s="171"/>
      <c r="G63" s="171"/>
      <c r="H63" s="171"/>
      <c r="I63" s="171"/>
      <c r="J63" s="171"/>
      <c r="K63" s="171"/>
      <c r="L63" s="171"/>
      <c r="M63" s="171"/>
      <c r="N63" s="171"/>
      <c r="O63" s="171"/>
      <c r="P63" s="171"/>
      <c r="Q63" s="171"/>
      <c r="R63" s="171"/>
      <c r="S63" s="171"/>
      <c r="T63" s="171"/>
      <c r="U63" s="171"/>
      <c r="V63" s="171"/>
      <c r="W63" s="171"/>
      <c r="X63" s="171"/>
      <c r="Y63" s="171"/>
      <c r="Z63" s="171"/>
    </row>
    <row r="64">
      <c r="A64" s="178"/>
      <c r="B64" s="171"/>
      <c r="C64" s="171"/>
      <c r="D64" s="171"/>
      <c r="E64" s="171"/>
      <c r="F64" s="171"/>
      <c r="G64" s="171"/>
      <c r="H64" s="171"/>
      <c r="I64" s="171"/>
      <c r="J64" s="171"/>
      <c r="K64" s="171"/>
      <c r="L64" s="171"/>
      <c r="M64" s="171"/>
      <c r="N64" s="171"/>
      <c r="O64" s="171"/>
      <c r="P64" s="171"/>
      <c r="Q64" s="171"/>
      <c r="R64" s="171"/>
      <c r="S64" s="171"/>
      <c r="T64" s="171"/>
      <c r="U64" s="171"/>
      <c r="V64" s="171"/>
      <c r="W64" s="171"/>
      <c r="X64" s="171"/>
      <c r="Y64" s="171"/>
      <c r="Z64" s="171"/>
    </row>
    <row r="65">
      <c r="A65" s="171"/>
      <c r="B65" s="171"/>
      <c r="C65" s="171"/>
      <c r="D65" s="171"/>
      <c r="E65" s="171"/>
      <c r="F65" s="171"/>
      <c r="G65" s="171"/>
      <c r="H65" s="171"/>
      <c r="I65" s="171"/>
      <c r="J65" s="171"/>
      <c r="K65" s="171"/>
      <c r="L65" s="171"/>
      <c r="M65" s="171"/>
      <c r="N65" s="171"/>
      <c r="O65" s="171"/>
      <c r="P65" s="171"/>
      <c r="Q65" s="171"/>
      <c r="R65" s="171"/>
      <c r="S65" s="171"/>
      <c r="T65" s="171"/>
      <c r="U65" s="171"/>
      <c r="V65" s="171"/>
      <c r="W65" s="171"/>
      <c r="X65" s="171"/>
      <c r="Y65" s="171"/>
      <c r="Z65" s="171"/>
    </row>
    <row r="66">
      <c r="A66" s="171"/>
      <c r="B66" s="171"/>
      <c r="C66" s="171"/>
      <c r="D66" s="171"/>
      <c r="E66" s="171"/>
      <c r="F66" s="171"/>
      <c r="G66" s="171"/>
      <c r="H66" s="171"/>
      <c r="I66" s="171"/>
      <c r="J66" s="171"/>
      <c r="K66" s="171"/>
      <c r="L66" s="171"/>
      <c r="M66" s="171"/>
      <c r="N66" s="171"/>
      <c r="O66" s="171"/>
      <c r="P66" s="171"/>
      <c r="Q66" s="171"/>
      <c r="R66" s="171"/>
      <c r="S66" s="171"/>
      <c r="T66" s="171"/>
      <c r="U66" s="171"/>
      <c r="V66" s="171"/>
      <c r="W66" s="171"/>
      <c r="X66" s="171"/>
      <c r="Y66" s="171"/>
      <c r="Z66" s="171"/>
    </row>
    <row r="67">
      <c r="A67" s="171"/>
      <c r="B67" s="171"/>
      <c r="C67" s="171"/>
      <c r="D67" s="171"/>
      <c r="E67" s="171"/>
      <c r="F67" s="171"/>
      <c r="G67" s="171"/>
      <c r="H67" s="171"/>
      <c r="I67" s="171"/>
      <c r="J67" s="171"/>
      <c r="K67" s="171"/>
      <c r="L67" s="171"/>
      <c r="M67" s="171"/>
      <c r="N67" s="171"/>
      <c r="O67" s="171"/>
      <c r="P67" s="171"/>
      <c r="Q67" s="171"/>
      <c r="R67" s="171"/>
      <c r="S67" s="171"/>
      <c r="T67" s="171"/>
      <c r="U67" s="171"/>
      <c r="V67" s="171"/>
      <c r="W67" s="171"/>
      <c r="X67" s="171"/>
      <c r="Y67" s="171"/>
      <c r="Z67" s="171"/>
    </row>
    <row r="68">
      <c r="A68" s="171"/>
      <c r="B68" s="171"/>
      <c r="C68" s="171"/>
      <c r="D68" s="171"/>
      <c r="E68" s="171"/>
      <c r="F68" s="171"/>
      <c r="G68" s="171"/>
      <c r="H68" s="171"/>
      <c r="I68" s="171"/>
      <c r="J68" s="171"/>
      <c r="K68" s="171"/>
      <c r="L68" s="171"/>
      <c r="M68" s="171"/>
      <c r="N68" s="171"/>
      <c r="O68" s="171"/>
      <c r="P68" s="171"/>
      <c r="Q68" s="171"/>
      <c r="R68" s="171"/>
      <c r="S68" s="171"/>
      <c r="T68" s="171"/>
      <c r="U68" s="171"/>
      <c r="V68" s="171"/>
      <c r="W68" s="171"/>
      <c r="X68" s="171"/>
      <c r="Y68" s="171"/>
      <c r="Z68" s="171"/>
    </row>
    <row r="69">
      <c r="A69" s="171"/>
      <c r="B69" s="171"/>
      <c r="C69" s="171"/>
      <c r="D69" s="171"/>
      <c r="E69" s="171"/>
      <c r="F69" s="171"/>
      <c r="G69" s="171"/>
      <c r="H69" s="171"/>
      <c r="I69" s="171"/>
      <c r="J69" s="171"/>
      <c r="K69" s="171"/>
      <c r="L69" s="171"/>
      <c r="M69" s="171"/>
      <c r="N69" s="171"/>
      <c r="O69" s="171"/>
      <c r="P69" s="171"/>
      <c r="Q69" s="171"/>
      <c r="R69" s="171"/>
      <c r="S69" s="171"/>
      <c r="T69" s="171"/>
      <c r="U69" s="171"/>
      <c r="V69" s="171"/>
      <c r="W69" s="171"/>
      <c r="X69" s="171"/>
      <c r="Y69" s="171"/>
      <c r="Z69" s="171"/>
    </row>
    <row r="70">
      <c r="A70" s="171"/>
      <c r="B70" s="171"/>
      <c r="C70" s="171"/>
      <c r="D70" s="171"/>
      <c r="E70" s="171"/>
      <c r="F70" s="171"/>
      <c r="G70" s="171"/>
      <c r="H70" s="171"/>
      <c r="I70" s="171"/>
      <c r="J70" s="171"/>
      <c r="K70" s="171"/>
      <c r="L70" s="171"/>
      <c r="M70" s="171"/>
      <c r="N70" s="171"/>
      <c r="O70" s="171"/>
      <c r="P70" s="171"/>
      <c r="Q70" s="171"/>
      <c r="R70" s="171"/>
      <c r="S70" s="171"/>
      <c r="T70" s="171"/>
      <c r="U70" s="171"/>
      <c r="V70" s="171"/>
      <c r="W70" s="171"/>
      <c r="X70" s="171"/>
      <c r="Y70" s="171"/>
      <c r="Z70" s="171"/>
    </row>
    <row r="71">
      <c r="A71" s="171"/>
      <c r="B71" s="171"/>
      <c r="C71" s="171"/>
      <c r="D71" s="171"/>
      <c r="E71" s="171"/>
      <c r="F71" s="171"/>
      <c r="G71" s="171"/>
      <c r="H71" s="171"/>
      <c r="I71" s="171"/>
      <c r="J71" s="171"/>
      <c r="K71" s="171"/>
      <c r="L71" s="171"/>
      <c r="M71" s="171"/>
      <c r="N71" s="171"/>
      <c r="O71" s="171"/>
      <c r="P71" s="171"/>
      <c r="Q71" s="171"/>
      <c r="R71" s="171"/>
      <c r="S71" s="171"/>
      <c r="T71" s="171"/>
      <c r="U71" s="171"/>
      <c r="V71" s="171"/>
      <c r="W71" s="171"/>
      <c r="X71" s="171"/>
      <c r="Y71" s="171"/>
      <c r="Z71" s="171"/>
    </row>
    <row r="72">
      <c r="A72" s="171"/>
      <c r="B72" s="171"/>
      <c r="C72" s="171"/>
      <c r="D72" s="171"/>
      <c r="E72" s="171"/>
      <c r="F72" s="171"/>
      <c r="G72" s="171"/>
      <c r="H72" s="171"/>
      <c r="I72" s="171"/>
      <c r="J72" s="171"/>
      <c r="K72" s="171"/>
      <c r="L72" s="171"/>
      <c r="M72" s="171"/>
      <c r="N72" s="171"/>
      <c r="O72" s="171"/>
      <c r="P72" s="171"/>
      <c r="Q72" s="171"/>
      <c r="R72" s="171"/>
      <c r="S72" s="171"/>
      <c r="T72" s="171"/>
      <c r="U72" s="171"/>
      <c r="V72" s="171"/>
      <c r="W72" s="171"/>
      <c r="X72" s="171"/>
      <c r="Y72" s="171"/>
      <c r="Z72" s="171"/>
    </row>
    <row r="73">
      <c r="A73" s="169"/>
      <c r="B73" s="171"/>
      <c r="C73" s="171"/>
      <c r="D73" s="171"/>
      <c r="E73" s="171"/>
      <c r="F73" s="171"/>
      <c r="G73" s="171"/>
      <c r="H73" s="171"/>
      <c r="I73" s="171"/>
      <c r="J73" s="171"/>
      <c r="K73" s="171"/>
      <c r="L73" s="171"/>
      <c r="M73" s="171"/>
      <c r="N73" s="171"/>
      <c r="O73" s="171"/>
      <c r="P73" s="171"/>
      <c r="Q73" s="171"/>
      <c r="R73" s="171"/>
      <c r="S73" s="171"/>
      <c r="T73" s="171"/>
      <c r="U73" s="171"/>
      <c r="V73" s="171"/>
      <c r="W73" s="171"/>
      <c r="X73" s="171"/>
      <c r="Y73" s="171"/>
      <c r="Z73" s="171"/>
    </row>
    <row r="74">
      <c r="A74" s="171"/>
      <c r="B74" s="171"/>
      <c r="C74" s="171"/>
      <c r="D74" s="171"/>
      <c r="E74" s="171"/>
      <c r="F74" s="171"/>
      <c r="G74" s="171"/>
      <c r="H74" s="171"/>
      <c r="I74" s="171"/>
      <c r="J74" s="171"/>
      <c r="K74" s="171"/>
      <c r="L74" s="171"/>
      <c r="M74" s="171"/>
      <c r="N74" s="171"/>
      <c r="O74" s="171"/>
      <c r="P74" s="171"/>
      <c r="Q74" s="171"/>
      <c r="R74" s="171"/>
      <c r="S74" s="171"/>
      <c r="T74" s="171"/>
      <c r="U74" s="171"/>
      <c r="V74" s="171"/>
      <c r="W74" s="171"/>
      <c r="X74" s="171"/>
      <c r="Y74" s="171"/>
      <c r="Z74" s="171"/>
    </row>
    <row r="75">
      <c r="A75" s="171"/>
      <c r="B75" s="171"/>
      <c r="C75" s="171"/>
      <c r="D75" s="171"/>
      <c r="E75" s="171"/>
      <c r="F75" s="171"/>
      <c r="G75" s="171"/>
      <c r="H75" s="171"/>
      <c r="I75" s="171"/>
      <c r="J75" s="171"/>
      <c r="K75" s="171"/>
      <c r="L75" s="171"/>
      <c r="M75" s="171"/>
      <c r="N75" s="171"/>
      <c r="O75" s="171"/>
      <c r="P75" s="171"/>
      <c r="Q75" s="171"/>
      <c r="R75" s="171"/>
      <c r="S75" s="171"/>
      <c r="T75" s="171"/>
      <c r="U75" s="171"/>
      <c r="V75" s="171"/>
      <c r="W75" s="171"/>
      <c r="X75" s="171"/>
      <c r="Y75" s="171"/>
      <c r="Z75" s="171"/>
    </row>
    <row r="76">
      <c r="A76" s="171"/>
      <c r="B76" s="171"/>
      <c r="C76" s="171"/>
      <c r="D76" s="171"/>
      <c r="E76" s="171"/>
      <c r="F76" s="171"/>
      <c r="G76" s="171"/>
      <c r="H76" s="171"/>
      <c r="I76" s="171"/>
      <c r="J76" s="171"/>
      <c r="K76" s="171"/>
      <c r="L76" s="171"/>
      <c r="M76" s="171"/>
      <c r="N76" s="171"/>
      <c r="O76" s="171"/>
      <c r="P76" s="171"/>
      <c r="Q76" s="171"/>
      <c r="R76" s="171"/>
      <c r="S76" s="171"/>
      <c r="T76" s="171"/>
      <c r="U76" s="171"/>
      <c r="V76" s="171"/>
      <c r="W76" s="171"/>
      <c r="X76" s="171"/>
      <c r="Y76" s="171"/>
      <c r="Z76" s="171"/>
    </row>
    <row r="77">
      <c r="A77" s="171"/>
      <c r="B77" s="171"/>
      <c r="C77" s="171"/>
      <c r="D77" s="171"/>
      <c r="E77" s="171"/>
      <c r="F77" s="171"/>
      <c r="G77" s="171"/>
      <c r="H77" s="171"/>
      <c r="I77" s="171"/>
      <c r="J77" s="171"/>
      <c r="K77" s="171"/>
      <c r="L77" s="171"/>
      <c r="M77" s="171"/>
      <c r="N77" s="171"/>
      <c r="O77" s="171"/>
      <c r="P77" s="171"/>
      <c r="Q77" s="171"/>
      <c r="R77" s="171"/>
      <c r="S77" s="171"/>
      <c r="T77" s="171"/>
      <c r="U77" s="171"/>
      <c r="V77" s="171"/>
      <c r="W77" s="171"/>
      <c r="X77" s="171"/>
      <c r="Y77" s="171"/>
      <c r="Z77" s="171"/>
    </row>
    <row r="78">
      <c r="A78" s="171"/>
      <c r="B78" s="171"/>
      <c r="C78" s="171"/>
      <c r="D78" s="171"/>
      <c r="E78" s="171"/>
      <c r="F78" s="171"/>
      <c r="G78" s="171"/>
      <c r="H78" s="171"/>
      <c r="I78" s="171"/>
      <c r="J78" s="171"/>
      <c r="K78" s="171"/>
      <c r="L78" s="171"/>
      <c r="M78" s="171"/>
      <c r="N78" s="171"/>
      <c r="O78" s="171"/>
      <c r="P78" s="171"/>
      <c r="Q78" s="171"/>
      <c r="R78" s="171"/>
      <c r="S78" s="171"/>
      <c r="T78" s="171"/>
      <c r="U78" s="171"/>
      <c r="V78" s="171"/>
      <c r="W78" s="171"/>
      <c r="X78" s="171"/>
      <c r="Y78" s="171"/>
      <c r="Z78" s="171"/>
    </row>
    <row r="79">
      <c r="A79" s="178"/>
      <c r="B79" s="171"/>
      <c r="C79" s="171"/>
      <c r="D79" s="171"/>
      <c r="E79" s="171"/>
      <c r="F79" s="171"/>
      <c r="G79" s="171"/>
      <c r="H79" s="171"/>
      <c r="I79" s="171"/>
      <c r="J79" s="171"/>
      <c r="K79" s="171"/>
      <c r="L79" s="171"/>
      <c r="M79" s="171"/>
      <c r="N79" s="171"/>
      <c r="O79" s="171"/>
      <c r="P79" s="171"/>
      <c r="Q79" s="171"/>
      <c r="R79" s="171"/>
      <c r="S79" s="171"/>
      <c r="T79" s="171"/>
      <c r="U79" s="171"/>
      <c r="V79" s="171"/>
      <c r="W79" s="171"/>
      <c r="X79" s="171"/>
      <c r="Y79" s="171"/>
      <c r="Z79" s="171"/>
    </row>
    <row r="80">
      <c r="A80" s="171"/>
      <c r="B80" s="171"/>
      <c r="C80" s="171"/>
      <c r="D80" s="171"/>
      <c r="E80" s="171"/>
      <c r="F80" s="171"/>
      <c r="G80" s="171"/>
      <c r="H80" s="171"/>
      <c r="I80" s="171"/>
      <c r="J80" s="171"/>
      <c r="K80" s="171"/>
      <c r="L80" s="171"/>
      <c r="M80" s="171"/>
      <c r="N80" s="171"/>
      <c r="O80" s="171"/>
      <c r="P80" s="171"/>
      <c r="Q80" s="171"/>
      <c r="R80" s="171"/>
      <c r="S80" s="171"/>
      <c r="T80" s="171"/>
      <c r="U80" s="171"/>
      <c r="V80" s="171"/>
      <c r="W80" s="171"/>
      <c r="X80" s="171"/>
      <c r="Y80" s="171"/>
      <c r="Z80" s="171"/>
    </row>
    <row r="81">
      <c r="A81" s="178"/>
      <c r="B81" s="171"/>
      <c r="C81" s="171"/>
      <c r="D81" s="171"/>
      <c r="E81" s="171"/>
      <c r="F81" s="171"/>
      <c r="G81" s="171"/>
      <c r="H81" s="171"/>
      <c r="I81" s="171"/>
      <c r="J81" s="171"/>
      <c r="K81" s="171"/>
      <c r="L81" s="171"/>
      <c r="M81" s="171"/>
      <c r="N81" s="171"/>
      <c r="O81" s="171"/>
      <c r="P81" s="171"/>
      <c r="Q81" s="171"/>
      <c r="R81" s="171"/>
      <c r="S81" s="171"/>
      <c r="T81" s="171"/>
      <c r="U81" s="171"/>
      <c r="V81" s="171"/>
      <c r="W81" s="171"/>
      <c r="X81" s="171"/>
      <c r="Y81" s="171"/>
      <c r="Z81" s="171"/>
    </row>
    <row r="82">
      <c r="A82" s="171"/>
      <c r="B82" s="171"/>
      <c r="C82" s="171"/>
      <c r="D82" s="171"/>
      <c r="E82" s="171"/>
      <c r="F82" s="171"/>
      <c r="G82" s="171"/>
      <c r="H82" s="171"/>
      <c r="I82" s="171"/>
      <c r="J82" s="171"/>
      <c r="K82" s="171"/>
      <c r="L82" s="171"/>
      <c r="M82" s="171"/>
      <c r="N82" s="171"/>
      <c r="O82" s="171"/>
      <c r="P82" s="171"/>
      <c r="Q82" s="171"/>
      <c r="R82" s="171"/>
      <c r="S82" s="171"/>
      <c r="T82" s="171"/>
      <c r="U82" s="171"/>
      <c r="V82" s="171"/>
      <c r="W82" s="171"/>
      <c r="X82" s="171"/>
      <c r="Y82" s="171"/>
      <c r="Z82" s="171"/>
    </row>
    <row r="83">
      <c r="A83" s="171"/>
      <c r="B83" s="171"/>
      <c r="C83" s="171"/>
      <c r="D83" s="171"/>
      <c r="E83" s="171"/>
      <c r="F83" s="171"/>
      <c r="G83" s="171"/>
      <c r="H83" s="171"/>
      <c r="I83" s="171"/>
      <c r="J83" s="171"/>
      <c r="K83" s="171"/>
      <c r="L83" s="171"/>
      <c r="M83" s="171"/>
      <c r="N83" s="171"/>
      <c r="O83" s="171"/>
      <c r="P83" s="171"/>
      <c r="Q83" s="171"/>
      <c r="R83" s="171"/>
      <c r="S83" s="171"/>
      <c r="T83" s="171"/>
      <c r="U83" s="171"/>
      <c r="V83" s="171"/>
      <c r="W83" s="171"/>
      <c r="X83" s="171"/>
      <c r="Y83" s="171"/>
      <c r="Z83" s="171"/>
    </row>
    <row r="84">
      <c r="A84" s="171"/>
      <c r="B84" s="171"/>
      <c r="C84" s="171"/>
      <c r="D84" s="171"/>
      <c r="E84" s="171"/>
      <c r="F84" s="171"/>
      <c r="G84" s="171"/>
      <c r="H84" s="171"/>
      <c r="I84" s="171"/>
      <c r="J84" s="171"/>
      <c r="K84" s="171"/>
      <c r="L84" s="171"/>
      <c r="M84" s="171"/>
      <c r="N84" s="171"/>
      <c r="O84" s="171"/>
      <c r="P84" s="171"/>
      <c r="Q84" s="171"/>
      <c r="R84" s="171"/>
      <c r="S84" s="171"/>
      <c r="T84" s="171"/>
      <c r="U84" s="171"/>
      <c r="V84" s="171"/>
      <c r="W84" s="171"/>
      <c r="X84" s="171"/>
      <c r="Y84" s="171"/>
      <c r="Z84" s="171"/>
    </row>
    <row r="85">
      <c r="A85" s="171"/>
      <c r="B85" s="171"/>
      <c r="C85" s="171"/>
      <c r="D85" s="171"/>
      <c r="E85" s="171"/>
      <c r="F85" s="171"/>
      <c r="G85" s="171"/>
      <c r="H85" s="171"/>
      <c r="I85" s="171"/>
      <c r="J85" s="171"/>
      <c r="K85" s="171"/>
      <c r="L85" s="171"/>
      <c r="M85" s="171"/>
      <c r="N85" s="171"/>
      <c r="O85" s="171"/>
      <c r="P85" s="171"/>
      <c r="Q85" s="171"/>
      <c r="R85" s="171"/>
      <c r="S85" s="171"/>
      <c r="T85" s="171"/>
      <c r="U85" s="171"/>
      <c r="V85" s="171"/>
      <c r="W85" s="171"/>
      <c r="X85" s="171"/>
      <c r="Y85" s="171"/>
      <c r="Z85" s="171"/>
    </row>
    <row r="86">
      <c r="A86" s="171"/>
      <c r="B86" s="171"/>
      <c r="C86" s="171"/>
      <c r="D86" s="171"/>
      <c r="E86" s="171"/>
      <c r="F86" s="171"/>
      <c r="G86" s="171"/>
      <c r="H86" s="171"/>
      <c r="I86" s="171"/>
      <c r="J86" s="171"/>
      <c r="K86" s="171"/>
      <c r="L86" s="171"/>
      <c r="M86" s="171"/>
      <c r="N86" s="171"/>
      <c r="O86" s="171"/>
      <c r="P86" s="171"/>
      <c r="Q86" s="171"/>
      <c r="R86" s="171"/>
      <c r="S86" s="171"/>
      <c r="T86" s="171"/>
      <c r="U86" s="171"/>
      <c r="V86" s="171"/>
      <c r="W86" s="171"/>
      <c r="X86" s="171"/>
      <c r="Y86" s="171"/>
      <c r="Z86" s="171"/>
    </row>
    <row r="87">
      <c r="A87" s="171"/>
      <c r="B87" s="171"/>
      <c r="C87" s="171"/>
      <c r="D87" s="171"/>
      <c r="E87" s="171"/>
      <c r="F87" s="171"/>
      <c r="G87" s="171"/>
      <c r="H87" s="171"/>
      <c r="I87" s="171"/>
      <c r="J87" s="171"/>
      <c r="K87" s="171"/>
      <c r="L87" s="171"/>
      <c r="M87" s="171"/>
      <c r="N87" s="171"/>
      <c r="O87" s="171"/>
      <c r="P87" s="171"/>
      <c r="Q87" s="171"/>
      <c r="R87" s="171"/>
      <c r="S87" s="171"/>
      <c r="T87" s="171"/>
      <c r="U87" s="171"/>
      <c r="V87" s="171"/>
      <c r="W87" s="171"/>
      <c r="X87" s="171"/>
      <c r="Y87" s="171"/>
      <c r="Z87" s="171"/>
    </row>
    <row r="88">
      <c r="A88" s="171"/>
      <c r="B88" s="171"/>
      <c r="C88" s="171"/>
      <c r="D88" s="171"/>
      <c r="E88" s="171"/>
      <c r="F88" s="171"/>
      <c r="G88" s="171"/>
      <c r="H88" s="171"/>
      <c r="I88" s="171"/>
      <c r="J88" s="171"/>
      <c r="K88" s="171"/>
      <c r="L88" s="171"/>
      <c r="M88" s="171"/>
      <c r="N88" s="171"/>
      <c r="O88" s="171"/>
      <c r="P88" s="171"/>
      <c r="Q88" s="171"/>
      <c r="R88" s="171"/>
      <c r="S88" s="171"/>
      <c r="T88" s="171"/>
      <c r="U88" s="171"/>
      <c r="V88" s="171"/>
      <c r="W88" s="171"/>
      <c r="X88" s="171"/>
      <c r="Y88" s="171"/>
      <c r="Z88" s="171"/>
    </row>
    <row r="89">
      <c r="A89" s="171"/>
      <c r="B89" s="171"/>
      <c r="C89" s="171"/>
      <c r="D89" s="171"/>
      <c r="E89" s="171"/>
      <c r="F89" s="171"/>
      <c r="G89" s="171"/>
      <c r="H89" s="171"/>
      <c r="I89" s="171"/>
      <c r="J89" s="171"/>
      <c r="K89" s="171"/>
      <c r="L89" s="171"/>
      <c r="M89" s="171"/>
      <c r="N89" s="171"/>
      <c r="O89" s="171"/>
      <c r="P89" s="171"/>
      <c r="Q89" s="171"/>
      <c r="R89" s="171"/>
      <c r="S89" s="171"/>
      <c r="T89" s="171"/>
      <c r="U89" s="171"/>
      <c r="V89" s="171"/>
      <c r="W89" s="171"/>
      <c r="X89" s="171"/>
      <c r="Y89" s="171"/>
      <c r="Z89" s="171"/>
    </row>
    <row r="90">
      <c r="A90" s="169"/>
      <c r="B90" s="171"/>
      <c r="C90" s="171"/>
      <c r="D90" s="171"/>
      <c r="E90" s="171"/>
      <c r="F90" s="171"/>
      <c r="G90" s="171"/>
      <c r="H90" s="171"/>
      <c r="I90" s="171"/>
      <c r="J90" s="171"/>
      <c r="K90" s="171"/>
      <c r="L90" s="171"/>
      <c r="M90" s="171"/>
      <c r="N90" s="171"/>
      <c r="O90" s="171"/>
      <c r="P90" s="171"/>
      <c r="Q90" s="171"/>
      <c r="R90" s="171"/>
      <c r="S90" s="171"/>
      <c r="T90" s="171"/>
      <c r="U90" s="171"/>
      <c r="V90" s="171"/>
      <c r="W90" s="171"/>
      <c r="X90" s="171"/>
      <c r="Y90" s="171"/>
      <c r="Z90" s="171"/>
    </row>
    <row r="91">
      <c r="A91" s="171"/>
      <c r="B91" s="171"/>
      <c r="C91" s="171"/>
      <c r="D91" s="171"/>
      <c r="E91" s="171"/>
      <c r="F91" s="171"/>
      <c r="G91" s="171"/>
      <c r="H91" s="171"/>
      <c r="I91" s="171"/>
      <c r="J91" s="171"/>
      <c r="K91" s="171"/>
      <c r="L91" s="171"/>
      <c r="M91" s="171"/>
      <c r="N91" s="171"/>
      <c r="O91" s="171"/>
      <c r="P91" s="171"/>
      <c r="Q91" s="171"/>
      <c r="R91" s="171"/>
      <c r="S91" s="171"/>
      <c r="T91" s="171"/>
      <c r="U91" s="171"/>
      <c r="V91" s="171"/>
      <c r="W91" s="171"/>
      <c r="X91" s="171"/>
      <c r="Y91" s="171"/>
      <c r="Z91" s="171"/>
    </row>
    <row r="92">
      <c r="A92" s="171"/>
      <c r="B92" s="171"/>
      <c r="C92" s="171"/>
      <c r="D92" s="171"/>
      <c r="E92" s="171"/>
      <c r="F92" s="171"/>
      <c r="G92" s="171"/>
      <c r="H92" s="171"/>
      <c r="I92" s="171"/>
      <c r="J92" s="171"/>
      <c r="K92" s="171"/>
      <c r="L92" s="171"/>
      <c r="M92" s="171"/>
      <c r="N92" s="171"/>
      <c r="O92" s="171"/>
      <c r="P92" s="171"/>
      <c r="Q92" s="171"/>
      <c r="R92" s="171"/>
      <c r="S92" s="171"/>
      <c r="T92" s="171"/>
      <c r="U92" s="171"/>
      <c r="V92" s="171"/>
      <c r="W92" s="171"/>
      <c r="X92" s="171"/>
      <c r="Y92" s="171"/>
      <c r="Z92" s="171"/>
    </row>
    <row r="93">
      <c r="A93" s="171"/>
      <c r="B93" s="171"/>
      <c r="C93" s="171"/>
      <c r="D93" s="171"/>
      <c r="E93" s="171"/>
      <c r="F93" s="171"/>
      <c r="G93" s="171"/>
      <c r="H93" s="171"/>
      <c r="I93" s="171"/>
      <c r="J93" s="171"/>
      <c r="K93" s="171"/>
      <c r="L93" s="171"/>
      <c r="M93" s="171"/>
      <c r="N93" s="171"/>
      <c r="O93" s="171"/>
      <c r="P93" s="171"/>
      <c r="Q93" s="171"/>
      <c r="R93" s="171"/>
      <c r="S93" s="171"/>
      <c r="T93" s="171"/>
      <c r="U93" s="171"/>
      <c r="V93" s="171"/>
      <c r="W93" s="171"/>
      <c r="X93" s="171"/>
      <c r="Y93" s="171"/>
      <c r="Z93" s="171"/>
    </row>
    <row r="94">
      <c r="A94" s="171"/>
      <c r="B94" s="171"/>
      <c r="C94" s="171"/>
      <c r="D94" s="171"/>
      <c r="E94" s="171"/>
      <c r="F94" s="171"/>
      <c r="G94" s="171"/>
      <c r="H94" s="171"/>
      <c r="I94" s="171"/>
      <c r="J94" s="171"/>
      <c r="K94" s="171"/>
      <c r="L94" s="171"/>
      <c r="M94" s="171"/>
      <c r="N94" s="171"/>
      <c r="O94" s="171"/>
      <c r="P94" s="171"/>
      <c r="Q94" s="171"/>
      <c r="R94" s="171"/>
      <c r="S94" s="171"/>
      <c r="T94" s="171"/>
      <c r="U94" s="171"/>
      <c r="V94" s="171"/>
      <c r="W94" s="171"/>
      <c r="X94" s="171"/>
      <c r="Y94" s="171"/>
      <c r="Z94" s="171"/>
    </row>
    <row r="95">
      <c r="A95" s="171"/>
      <c r="B95" s="171"/>
      <c r="C95" s="171"/>
      <c r="D95" s="171"/>
      <c r="E95" s="171"/>
      <c r="F95" s="171"/>
      <c r="G95" s="171"/>
      <c r="H95" s="171"/>
      <c r="I95" s="171"/>
      <c r="J95" s="171"/>
      <c r="K95" s="171"/>
      <c r="L95" s="171"/>
      <c r="M95" s="171"/>
      <c r="N95" s="171"/>
      <c r="O95" s="171"/>
      <c r="P95" s="171"/>
      <c r="Q95" s="171"/>
      <c r="R95" s="171"/>
      <c r="S95" s="171"/>
      <c r="T95" s="171"/>
      <c r="U95" s="171"/>
      <c r="V95" s="171"/>
      <c r="W95" s="171"/>
      <c r="X95" s="171"/>
      <c r="Y95" s="171"/>
      <c r="Z95" s="171"/>
    </row>
    <row r="96">
      <c r="A96" s="178"/>
      <c r="B96" s="171"/>
      <c r="C96" s="171"/>
      <c r="D96" s="171"/>
      <c r="E96" s="171"/>
      <c r="F96" s="171"/>
      <c r="G96" s="171"/>
      <c r="H96" s="171"/>
      <c r="I96" s="171"/>
      <c r="J96" s="171"/>
      <c r="K96" s="171"/>
      <c r="L96" s="171"/>
      <c r="M96" s="171"/>
      <c r="N96" s="171"/>
      <c r="O96" s="171"/>
      <c r="P96" s="171"/>
      <c r="Q96" s="171"/>
      <c r="R96" s="171"/>
      <c r="S96" s="171"/>
      <c r="T96" s="171"/>
      <c r="U96" s="171"/>
      <c r="V96" s="171"/>
      <c r="W96" s="171"/>
      <c r="X96" s="171"/>
      <c r="Y96" s="171"/>
      <c r="Z96" s="171"/>
    </row>
    <row r="97">
      <c r="A97" s="171"/>
      <c r="B97" s="171"/>
      <c r="C97" s="171"/>
      <c r="D97" s="171"/>
      <c r="E97" s="171"/>
      <c r="F97" s="171"/>
      <c r="G97" s="171"/>
      <c r="H97" s="171"/>
      <c r="I97" s="171"/>
      <c r="J97" s="171"/>
      <c r="K97" s="171"/>
      <c r="L97" s="171"/>
      <c r="M97" s="171"/>
      <c r="N97" s="171"/>
      <c r="O97" s="171"/>
      <c r="P97" s="171"/>
      <c r="Q97" s="171"/>
      <c r="R97" s="171"/>
      <c r="S97" s="171"/>
      <c r="T97" s="171"/>
      <c r="U97" s="171"/>
      <c r="V97" s="171"/>
      <c r="W97" s="171"/>
      <c r="X97" s="171"/>
      <c r="Y97" s="171"/>
      <c r="Z97" s="171"/>
    </row>
    <row r="98">
      <c r="A98" s="178"/>
      <c r="B98" s="171"/>
      <c r="C98" s="171"/>
      <c r="D98" s="171"/>
      <c r="E98" s="171"/>
      <c r="F98" s="171"/>
      <c r="G98" s="171"/>
      <c r="H98" s="171"/>
      <c r="I98" s="171"/>
      <c r="J98" s="171"/>
      <c r="K98" s="171"/>
      <c r="L98" s="171"/>
      <c r="M98" s="171"/>
      <c r="N98" s="171"/>
      <c r="O98" s="171"/>
      <c r="P98" s="171"/>
      <c r="Q98" s="171"/>
      <c r="R98" s="171"/>
      <c r="S98" s="171"/>
      <c r="T98" s="171"/>
      <c r="U98" s="171"/>
      <c r="V98" s="171"/>
      <c r="W98" s="171"/>
      <c r="X98" s="171"/>
      <c r="Y98" s="171"/>
      <c r="Z98" s="171"/>
    </row>
    <row r="99">
      <c r="A99" s="171"/>
      <c r="B99" s="171"/>
      <c r="C99" s="171"/>
      <c r="D99" s="171"/>
      <c r="E99" s="171"/>
      <c r="F99" s="171"/>
      <c r="G99" s="171"/>
      <c r="H99" s="171"/>
      <c r="I99" s="171"/>
      <c r="J99" s="171"/>
      <c r="K99" s="171"/>
      <c r="L99" s="171"/>
      <c r="M99" s="171"/>
      <c r="N99" s="171"/>
      <c r="O99" s="171"/>
      <c r="P99" s="171"/>
      <c r="Q99" s="171"/>
      <c r="R99" s="171"/>
      <c r="S99" s="171"/>
      <c r="T99" s="171"/>
      <c r="U99" s="171"/>
      <c r="V99" s="171"/>
      <c r="W99" s="171"/>
      <c r="X99" s="171"/>
      <c r="Y99" s="171"/>
      <c r="Z99" s="171"/>
    </row>
    <row r="100">
      <c r="A100" s="171"/>
      <c r="B100" s="171"/>
      <c r="C100" s="171"/>
      <c r="D100" s="171"/>
      <c r="E100" s="171"/>
      <c r="F100" s="171"/>
      <c r="G100" s="171"/>
      <c r="H100" s="171"/>
      <c r="I100" s="171"/>
      <c r="J100" s="171"/>
      <c r="K100" s="171"/>
      <c r="L100" s="171"/>
      <c r="M100" s="171"/>
      <c r="N100" s="171"/>
      <c r="O100" s="171"/>
      <c r="P100" s="171"/>
      <c r="Q100" s="171"/>
      <c r="R100" s="171"/>
      <c r="S100" s="171"/>
      <c r="T100" s="171"/>
      <c r="U100" s="171"/>
      <c r="V100" s="171"/>
      <c r="W100" s="171"/>
      <c r="X100" s="171"/>
      <c r="Y100" s="171"/>
      <c r="Z100" s="171"/>
    </row>
    <row r="101">
      <c r="A101" s="171"/>
      <c r="B101" s="171"/>
      <c r="C101" s="171"/>
      <c r="D101" s="171"/>
      <c r="E101" s="171"/>
      <c r="F101" s="171"/>
      <c r="G101" s="171"/>
      <c r="H101" s="171"/>
      <c r="I101" s="171"/>
      <c r="J101" s="171"/>
      <c r="K101" s="171"/>
      <c r="L101" s="171"/>
      <c r="M101" s="171"/>
      <c r="N101" s="171"/>
      <c r="O101" s="171"/>
      <c r="P101" s="171"/>
      <c r="Q101" s="171"/>
      <c r="R101" s="171"/>
      <c r="S101" s="171"/>
      <c r="T101" s="171"/>
      <c r="U101" s="171"/>
      <c r="V101" s="171"/>
      <c r="W101" s="171"/>
      <c r="X101" s="171"/>
      <c r="Y101" s="171"/>
      <c r="Z101" s="171"/>
    </row>
    <row r="102">
      <c r="A102" s="171"/>
      <c r="B102" s="171"/>
      <c r="C102" s="171"/>
      <c r="D102" s="171"/>
      <c r="E102" s="171"/>
      <c r="F102" s="171"/>
      <c r="G102" s="171"/>
      <c r="H102" s="171"/>
      <c r="I102" s="171"/>
      <c r="J102" s="171"/>
      <c r="K102" s="171"/>
      <c r="L102" s="171"/>
      <c r="M102" s="171"/>
      <c r="N102" s="171"/>
      <c r="O102" s="171"/>
      <c r="P102" s="171"/>
      <c r="Q102" s="171"/>
      <c r="R102" s="171"/>
      <c r="S102" s="171"/>
      <c r="T102" s="171"/>
      <c r="U102" s="171"/>
      <c r="V102" s="171"/>
      <c r="W102" s="171"/>
      <c r="X102" s="171"/>
      <c r="Y102" s="171"/>
      <c r="Z102" s="171"/>
    </row>
    <row r="103">
      <c r="A103" s="171"/>
      <c r="B103" s="171"/>
      <c r="C103" s="171"/>
      <c r="D103" s="171"/>
      <c r="E103" s="171"/>
      <c r="F103" s="171"/>
      <c r="G103" s="171"/>
      <c r="H103" s="171"/>
      <c r="I103" s="171"/>
      <c r="J103" s="171"/>
      <c r="K103" s="171"/>
      <c r="L103" s="171"/>
      <c r="M103" s="171"/>
      <c r="N103" s="171"/>
      <c r="O103" s="171"/>
      <c r="P103" s="171"/>
      <c r="Q103" s="171"/>
      <c r="R103" s="171"/>
      <c r="S103" s="171"/>
      <c r="T103" s="171"/>
      <c r="U103" s="171"/>
      <c r="V103" s="171"/>
      <c r="W103" s="171"/>
      <c r="X103" s="171"/>
      <c r="Y103" s="171"/>
      <c r="Z103" s="171"/>
    </row>
    <row r="104">
      <c r="A104" s="171"/>
      <c r="B104" s="171"/>
      <c r="C104" s="171"/>
      <c r="D104" s="171"/>
      <c r="E104" s="171"/>
      <c r="F104" s="171"/>
      <c r="G104" s="171"/>
      <c r="H104" s="171"/>
      <c r="I104" s="171"/>
      <c r="J104" s="171"/>
      <c r="K104" s="171"/>
      <c r="L104" s="171"/>
      <c r="M104" s="171"/>
      <c r="N104" s="171"/>
      <c r="O104" s="171"/>
      <c r="P104" s="171"/>
      <c r="Q104" s="171"/>
      <c r="R104" s="171"/>
      <c r="S104" s="171"/>
      <c r="T104" s="171"/>
      <c r="U104" s="171"/>
      <c r="V104" s="171"/>
      <c r="W104" s="171"/>
      <c r="X104" s="171"/>
      <c r="Y104" s="171"/>
      <c r="Z104" s="171"/>
    </row>
    <row r="105">
      <c r="A105" s="171"/>
      <c r="B105" s="171"/>
      <c r="C105" s="171"/>
      <c r="D105" s="171"/>
      <c r="E105" s="171"/>
      <c r="F105" s="171"/>
      <c r="G105" s="171"/>
      <c r="H105" s="171"/>
      <c r="I105" s="171"/>
      <c r="J105" s="171"/>
      <c r="K105" s="171"/>
      <c r="L105" s="171"/>
      <c r="M105" s="171"/>
      <c r="N105" s="171"/>
      <c r="O105" s="171"/>
      <c r="P105" s="171"/>
      <c r="Q105" s="171"/>
      <c r="R105" s="171"/>
      <c r="S105" s="171"/>
      <c r="T105" s="171"/>
      <c r="U105" s="171"/>
      <c r="V105" s="171"/>
      <c r="W105" s="171"/>
      <c r="X105" s="171"/>
      <c r="Y105" s="171"/>
      <c r="Z105" s="171"/>
    </row>
    <row r="106">
      <c r="A106" s="171"/>
      <c r="B106" s="171"/>
      <c r="C106" s="171"/>
      <c r="D106" s="171"/>
      <c r="E106" s="171"/>
      <c r="F106" s="171"/>
      <c r="G106" s="171"/>
      <c r="H106" s="171"/>
      <c r="I106" s="171"/>
      <c r="J106" s="171"/>
      <c r="K106" s="171"/>
      <c r="L106" s="171"/>
      <c r="M106" s="171"/>
      <c r="N106" s="171"/>
      <c r="O106" s="171"/>
      <c r="P106" s="171"/>
      <c r="Q106" s="171"/>
      <c r="R106" s="171"/>
      <c r="S106" s="171"/>
      <c r="T106" s="171"/>
      <c r="U106" s="171"/>
      <c r="V106" s="171"/>
      <c r="W106" s="171"/>
      <c r="X106" s="171"/>
      <c r="Y106" s="171"/>
      <c r="Z106" s="171"/>
    </row>
    <row r="107">
      <c r="A107" s="169"/>
      <c r="B107" s="171"/>
      <c r="C107" s="171"/>
      <c r="D107" s="171"/>
      <c r="E107" s="171"/>
      <c r="F107" s="171"/>
      <c r="G107" s="171"/>
      <c r="H107" s="171"/>
      <c r="I107" s="171"/>
      <c r="J107" s="171"/>
      <c r="K107" s="171"/>
      <c r="L107" s="171"/>
      <c r="M107" s="171"/>
      <c r="N107" s="171"/>
      <c r="O107" s="171"/>
      <c r="P107" s="171"/>
      <c r="Q107" s="171"/>
      <c r="R107" s="171"/>
      <c r="S107" s="171"/>
      <c r="T107" s="171"/>
      <c r="U107" s="171"/>
      <c r="V107" s="171"/>
      <c r="W107" s="171"/>
      <c r="X107" s="171"/>
      <c r="Y107" s="171"/>
      <c r="Z107" s="171"/>
    </row>
    <row r="108">
      <c r="A108" s="169"/>
      <c r="B108" s="171"/>
      <c r="C108" s="171"/>
      <c r="D108" s="171"/>
      <c r="E108" s="171"/>
      <c r="F108" s="171"/>
      <c r="G108" s="171"/>
      <c r="H108" s="171"/>
      <c r="I108" s="171"/>
      <c r="J108" s="171"/>
      <c r="K108" s="171"/>
      <c r="L108" s="171"/>
      <c r="M108" s="171"/>
      <c r="N108" s="171"/>
      <c r="O108" s="171"/>
      <c r="P108" s="171"/>
      <c r="Q108" s="171"/>
      <c r="R108" s="171"/>
      <c r="S108" s="171"/>
      <c r="T108" s="171"/>
      <c r="U108" s="171"/>
      <c r="V108" s="171"/>
      <c r="W108" s="171"/>
      <c r="X108" s="171"/>
      <c r="Y108" s="171"/>
      <c r="Z108" s="171"/>
    </row>
    <row r="109">
      <c r="A109" s="171"/>
      <c r="B109" s="171"/>
      <c r="C109" s="171"/>
      <c r="D109" s="171"/>
      <c r="E109" s="171"/>
      <c r="F109" s="171"/>
      <c r="G109" s="171"/>
      <c r="H109" s="171"/>
      <c r="I109" s="171"/>
      <c r="J109" s="171"/>
      <c r="K109" s="171"/>
      <c r="L109" s="171"/>
      <c r="M109" s="171"/>
      <c r="N109" s="171"/>
      <c r="O109" s="171"/>
      <c r="P109" s="171"/>
      <c r="Q109" s="171"/>
      <c r="R109" s="171"/>
      <c r="S109" s="171"/>
      <c r="T109" s="171"/>
      <c r="U109" s="171"/>
      <c r="V109" s="171"/>
      <c r="W109" s="171"/>
      <c r="X109" s="171"/>
      <c r="Y109" s="171"/>
      <c r="Z109" s="171"/>
    </row>
    <row r="110">
      <c r="A110" s="171"/>
      <c r="B110" s="171"/>
      <c r="C110" s="171"/>
      <c r="D110" s="171"/>
      <c r="E110" s="171"/>
      <c r="F110" s="171"/>
      <c r="G110" s="171"/>
      <c r="H110" s="171"/>
      <c r="I110" s="171"/>
      <c r="J110" s="171"/>
      <c r="K110" s="171"/>
      <c r="L110" s="171"/>
      <c r="M110" s="171"/>
      <c r="N110" s="171"/>
      <c r="O110" s="171"/>
      <c r="P110" s="171"/>
      <c r="Q110" s="171"/>
      <c r="R110" s="171"/>
      <c r="S110" s="171"/>
      <c r="T110" s="171"/>
      <c r="U110" s="171"/>
      <c r="V110" s="171"/>
      <c r="W110" s="171"/>
      <c r="X110" s="171"/>
      <c r="Y110" s="171"/>
      <c r="Z110" s="171"/>
    </row>
    <row r="111">
      <c r="A111" s="171"/>
      <c r="B111" s="171"/>
      <c r="C111" s="171"/>
      <c r="D111" s="171"/>
      <c r="E111" s="171"/>
      <c r="F111" s="171"/>
      <c r="G111" s="171"/>
      <c r="H111" s="171"/>
      <c r="I111" s="171"/>
      <c r="J111" s="171"/>
      <c r="K111" s="171"/>
      <c r="L111" s="171"/>
      <c r="M111" s="171"/>
      <c r="N111" s="171"/>
      <c r="O111" s="171"/>
      <c r="P111" s="171"/>
      <c r="Q111" s="171"/>
      <c r="R111" s="171"/>
      <c r="S111" s="171"/>
      <c r="T111" s="171"/>
      <c r="U111" s="171"/>
      <c r="V111" s="171"/>
      <c r="W111" s="171"/>
      <c r="X111" s="171"/>
      <c r="Y111" s="171"/>
      <c r="Z111" s="171"/>
    </row>
    <row r="112">
      <c r="A112" s="171"/>
      <c r="B112" s="171"/>
      <c r="C112" s="171"/>
      <c r="D112" s="171"/>
      <c r="E112" s="171"/>
      <c r="F112" s="171"/>
      <c r="G112" s="171"/>
      <c r="H112" s="171"/>
      <c r="I112" s="171"/>
      <c r="J112" s="171"/>
      <c r="K112" s="171"/>
      <c r="L112" s="171"/>
      <c r="M112" s="171"/>
      <c r="N112" s="171"/>
      <c r="O112" s="171"/>
      <c r="P112" s="171"/>
      <c r="Q112" s="171"/>
      <c r="R112" s="171"/>
      <c r="S112" s="171"/>
      <c r="T112" s="171"/>
      <c r="U112" s="171"/>
      <c r="V112" s="171"/>
      <c r="W112" s="171"/>
      <c r="X112" s="171"/>
      <c r="Y112" s="171"/>
      <c r="Z112" s="171"/>
    </row>
    <row r="113">
      <c r="A113" s="171"/>
      <c r="B113" s="171"/>
      <c r="C113" s="171"/>
      <c r="D113" s="171"/>
      <c r="E113" s="171"/>
      <c r="F113" s="171"/>
      <c r="G113" s="171"/>
      <c r="H113" s="171"/>
      <c r="I113" s="171"/>
      <c r="J113" s="171"/>
      <c r="K113" s="171"/>
      <c r="L113" s="171"/>
      <c r="M113" s="171"/>
      <c r="N113" s="171"/>
      <c r="O113" s="171"/>
      <c r="P113" s="171"/>
      <c r="Q113" s="171"/>
      <c r="R113" s="171"/>
      <c r="S113" s="171"/>
      <c r="T113" s="171"/>
      <c r="U113" s="171"/>
      <c r="V113" s="171"/>
      <c r="W113" s="171"/>
      <c r="X113" s="171"/>
      <c r="Y113" s="171"/>
      <c r="Z113" s="171"/>
    </row>
    <row r="114">
      <c r="A114" s="178"/>
      <c r="B114" s="171"/>
      <c r="C114" s="171"/>
      <c r="D114" s="171"/>
      <c r="E114" s="171"/>
      <c r="F114" s="171"/>
      <c r="G114" s="171"/>
      <c r="H114" s="171"/>
      <c r="I114" s="171"/>
      <c r="J114" s="171"/>
      <c r="K114" s="171"/>
      <c r="L114" s="171"/>
      <c r="M114" s="171"/>
      <c r="N114" s="171"/>
      <c r="O114" s="171"/>
      <c r="P114" s="171"/>
      <c r="Q114" s="171"/>
      <c r="R114" s="171"/>
      <c r="S114" s="171"/>
      <c r="T114" s="171"/>
      <c r="U114" s="171"/>
      <c r="V114" s="171"/>
      <c r="W114" s="171"/>
      <c r="X114" s="171"/>
      <c r="Y114" s="171"/>
      <c r="Z114" s="171"/>
    </row>
    <row r="115">
      <c r="A115" s="171"/>
      <c r="B115" s="171"/>
      <c r="C115" s="171"/>
      <c r="D115" s="171"/>
      <c r="E115" s="171"/>
      <c r="F115" s="171"/>
      <c r="G115" s="171"/>
      <c r="H115" s="171"/>
      <c r="I115" s="171"/>
      <c r="J115" s="171"/>
      <c r="K115" s="171"/>
      <c r="L115" s="171"/>
      <c r="M115" s="171"/>
      <c r="N115" s="171"/>
      <c r="O115" s="171"/>
      <c r="P115" s="171"/>
      <c r="Q115" s="171"/>
      <c r="R115" s="171"/>
      <c r="S115" s="171"/>
      <c r="T115" s="171"/>
      <c r="U115" s="171"/>
      <c r="V115" s="171"/>
      <c r="W115" s="171"/>
      <c r="X115" s="171"/>
      <c r="Y115" s="171"/>
      <c r="Z115" s="171"/>
    </row>
    <row r="116">
      <c r="A116" s="178"/>
      <c r="B116" s="171"/>
      <c r="C116" s="171"/>
      <c r="D116" s="171"/>
      <c r="E116" s="171"/>
      <c r="F116" s="171"/>
      <c r="G116" s="171"/>
      <c r="H116" s="171"/>
      <c r="I116" s="171"/>
      <c r="J116" s="171"/>
      <c r="K116" s="171"/>
      <c r="L116" s="171"/>
      <c r="M116" s="171"/>
      <c r="N116" s="171"/>
      <c r="O116" s="171"/>
      <c r="P116" s="171"/>
      <c r="Q116" s="171"/>
      <c r="R116" s="171"/>
      <c r="S116" s="171"/>
      <c r="T116" s="171"/>
      <c r="U116" s="171"/>
      <c r="V116" s="171"/>
      <c r="W116" s="171"/>
      <c r="X116" s="171"/>
      <c r="Y116" s="171"/>
      <c r="Z116" s="171"/>
    </row>
    <row r="117">
      <c r="A117" s="171"/>
      <c r="B117" s="171"/>
      <c r="C117" s="171"/>
      <c r="D117" s="171"/>
      <c r="E117" s="171"/>
      <c r="F117" s="171"/>
      <c r="G117" s="171"/>
      <c r="H117" s="171"/>
      <c r="I117" s="171"/>
      <c r="J117" s="171"/>
      <c r="K117" s="171"/>
      <c r="L117" s="171"/>
      <c r="M117" s="171"/>
      <c r="N117" s="171"/>
      <c r="O117" s="171"/>
      <c r="P117" s="171"/>
      <c r="Q117" s="171"/>
      <c r="R117" s="171"/>
      <c r="S117" s="171"/>
      <c r="T117" s="171"/>
      <c r="U117" s="171"/>
      <c r="V117" s="171"/>
      <c r="W117" s="171"/>
      <c r="X117" s="171"/>
      <c r="Y117" s="171"/>
      <c r="Z117" s="171"/>
    </row>
    <row r="118">
      <c r="A118" s="171"/>
      <c r="B118" s="171"/>
      <c r="C118" s="171"/>
      <c r="D118" s="171"/>
      <c r="E118" s="171"/>
      <c r="F118" s="171"/>
      <c r="G118" s="171"/>
      <c r="H118" s="171"/>
      <c r="I118" s="171"/>
      <c r="J118" s="171"/>
      <c r="K118" s="171"/>
      <c r="L118" s="171"/>
      <c r="M118" s="171"/>
      <c r="N118" s="171"/>
      <c r="O118" s="171"/>
      <c r="P118" s="171"/>
      <c r="Q118" s="171"/>
      <c r="R118" s="171"/>
      <c r="S118" s="171"/>
      <c r="T118" s="171"/>
      <c r="U118" s="171"/>
      <c r="V118" s="171"/>
      <c r="W118" s="171"/>
      <c r="X118" s="171"/>
      <c r="Y118" s="171"/>
      <c r="Z118" s="171"/>
    </row>
    <row r="119">
      <c r="A119" s="171"/>
      <c r="B119" s="171"/>
      <c r="C119" s="171"/>
      <c r="D119" s="171"/>
      <c r="E119" s="171"/>
      <c r="F119" s="171"/>
      <c r="G119" s="171"/>
      <c r="H119" s="171"/>
      <c r="I119" s="171"/>
      <c r="J119" s="171"/>
      <c r="K119" s="171"/>
      <c r="L119" s="171"/>
      <c r="M119" s="171"/>
      <c r="N119" s="171"/>
      <c r="O119" s="171"/>
      <c r="P119" s="171"/>
      <c r="Q119" s="171"/>
      <c r="R119" s="171"/>
      <c r="S119" s="171"/>
      <c r="T119" s="171"/>
      <c r="U119" s="171"/>
      <c r="V119" s="171"/>
      <c r="W119" s="171"/>
      <c r="X119" s="171"/>
      <c r="Y119" s="171"/>
      <c r="Z119" s="171"/>
    </row>
    <row r="120">
      <c r="A120" s="171"/>
      <c r="B120" s="171"/>
      <c r="C120" s="171"/>
      <c r="D120" s="171"/>
      <c r="E120" s="171"/>
      <c r="F120" s="171"/>
      <c r="G120" s="171"/>
      <c r="H120" s="171"/>
      <c r="I120" s="171"/>
      <c r="J120" s="171"/>
      <c r="K120" s="171"/>
      <c r="L120" s="171"/>
      <c r="M120" s="171"/>
      <c r="N120" s="171"/>
      <c r="O120" s="171"/>
      <c r="P120" s="171"/>
      <c r="Q120" s="171"/>
      <c r="R120" s="171"/>
      <c r="S120" s="171"/>
      <c r="T120" s="171"/>
      <c r="U120" s="171"/>
      <c r="V120" s="171"/>
      <c r="W120" s="171"/>
      <c r="X120" s="171"/>
      <c r="Y120" s="171"/>
      <c r="Z120" s="171"/>
    </row>
    <row r="121">
      <c r="A121" s="171"/>
      <c r="B121" s="171"/>
      <c r="C121" s="171"/>
      <c r="D121" s="171"/>
      <c r="E121" s="171"/>
      <c r="F121" s="171"/>
      <c r="G121" s="171"/>
      <c r="H121" s="171"/>
      <c r="I121" s="171"/>
      <c r="J121" s="171"/>
      <c r="K121" s="171"/>
      <c r="L121" s="171"/>
      <c r="M121" s="171"/>
      <c r="N121" s="171"/>
      <c r="O121" s="171"/>
      <c r="P121" s="171"/>
      <c r="Q121" s="171"/>
      <c r="R121" s="171"/>
      <c r="S121" s="171"/>
      <c r="T121" s="171"/>
      <c r="U121" s="171"/>
      <c r="V121" s="171"/>
      <c r="W121" s="171"/>
      <c r="X121" s="171"/>
      <c r="Y121" s="171"/>
      <c r="Z121" s="171"/>
    </row>
    <row r="122">
      <c r="A122" s="171"/>
      <c r="B122" s="171"/>
      <c r="C122" s="171"/>
      <c r="D122" s="171"/>
      <c r="E122" s="171"/>
      <c r="F122" s="171"/>
      <c r="G122" s="171"/>
      <c r="H122" s="171"/>
      <c r="I122" s="171"/>
      <c r="J122" s="171"/>
      <c r="K122" s="171"/>
      <c r="L122" s="171"/>
      <c r="M122" s="171"/>
      <c r="N122" s="171"/>
      <c r="O122" s="171"/>
      <c r="P122" s="171"/>
      <c r="Q122" s="171"/>
      <c r="R122" s="171"/>
      <c r="S122" s="171"/>
      <c r="T122" s="171"/>
      <c r="U122" s="171"/>
      <c r="V122" s="171"/>
      <c r="W122" s="171"/>
      <c r="X122" s="171"/>
      <c r="Y122" s="171"/>
      <c r="Z122" s="171"/>
    </row>
    <row r="123">
      <c r="A123" s="171"/>
      <c r="B123" s="171"/>
      <c r="C123" s="171"/>
      <c r="D123" s="171"/>
      <c r="E123" s="171"/>
      <c r="F123" s="171"/>
      <c r="G123" s="171"/>
      <c r="H123" s="171"/>
      <c r="I123" s="171"/>
      <c r="J123" s="171"/>
      <c r="K123" s="171"/>
      <c r="L123" s="171"/>
      <c r="M123" s="171"/>
      <c r="N123" s="171"/>
      <c r="O123" s="171"/>
      <c r="P123" s="171"/>
      <c r="Q123" s="171"/>
      <c r="R123" s="171"/>
      <c r="S123" s="171"/>
      <c r="T123" s="171"/>
      <c r="U123" s="171"/>
      <c r="V123" s="171"/>
      <c r="W123" s="171"/>
      <c r="X123" s="171"/>
      <c r="Y123" s="171"/>
      <c r="Z123" s="171"/>
    </row>
    <row r="124">
      <c r="A124" s="171"/>
      <c r="B124" s="171"/>
      <c r="C124" s="171"/>
      <c r="D124" s="171"/>
      <c r="E124" s="171"/>
      <c r="F124" s="171"/>
      <c r="G124" s="171"/>
      <c r="H124" s="171"/>
      <c r="I124" s="171"/>
      <c r="J124" s="171"/>
      <c r="K124" s="171"/>
      <c r="L124" s="171"/>
      <c r="M124" s="171"/>
      <c r="N124" s="171"/>
      <c r="O124" s="171"/>
      <c r="P124" s="171"/>
      <c r="Q124" s="171"/>
      <c r="R124" s="171"/>
      <c r="S124" s="171"/>
      <c r="T124" s="171"/>
      <c r="U124" s="171"/>
      <c r="V124" s="171"/>
      <c r="W124" s="171"/>
      <c r="X124" s="171"/>
      <c r="Y124" s="171"/>
      <c r="Z124" s="171"/>
    </row>
    <row r="125">
      <c r="A125" s="169"/>
      <c r="B125" s="171"/>
      <c r="C125" s="171"/>
      <c r="D125" s="171"/>
      <c r="E125" s="171"/>
      <c r="F125" s="171"/>
      <c r="G125" s="171"/>
      <c r="H125" s="171"/>
      <c r="I125" s="171"/>
      <c r="J125" s="171"/>
      <c r="K125" s="171"/>
      <c r="L125" s="171"/>
      <c r="M125" s="171"/>
      <c r="N125" s="171"/>
      <c r="O125" s="171"/>
      <c r="P125" s="171"/>
      <c r="Q125" s="171"/>
      <c r="R125" s="171"/>
      <c r="S125" s="171"/>
      <c r="T125" s="171"/>
      <c r="U125" s="171"/>
      <c r="V125" s="171"/>
      <c r="W125" s="171"/>
      <c r="X125" s="171"/>
      <c r="Y125" s="171"/>
      <c r="Z125" s="171"/>
    </row>
    <row r="126">
      <c r="A126" s="171"/>
      <c r="B126" s="171"/>
      <c r="C126" s="171"/>
      <c r="D126" s="171"/>
      <c r="E126" s="171"/>
      <c r="F126" s="171"/>
      <c r="G126" s="171"/>
      <c r="H126" s="171"/>
      <c r="I126" s="171"/>
      <c r="J126" s="171"/>
      <c r="K126" s="171"/>
      <c r="L126" s="171"/>
      <c r="M126" s="171"/>
      <c r="N126" s="171"/>
      <c r="O126" s="171"/>
      <c r="P126" s="171"/>
      <c r="Q126" s="171"/>
      <c r="R126" s="171"/>
      <c r="S126" s="171"/>
      <c r="T126" s="171"/>
      <c r="U126" s="171"/>
      <c r="V126" s="171"/>
      <c r="W126" s="171"/>
      <c r="X126" s="171"/>
      <c r="Y126" s="171"/>
      <c r="Z126" s="171"/>
    </row>
    <row r="127">
      <c r="A127" s="171"/>
      <c r="B127" s="171"/>
      <c r="C127" s="171"/>
      <c r="D127" s="171"/>
      <c r="E127" s="171"/>
      <c r="F127" s="171"/>
      <c r="G127" s="171"/>
      <c r="H127" s="171"/>
      <c r="I127" s="171"/>
      <c r="J127" s="171"/>
      <c r="K127" s="171"/>
      <c r="L127" s="171"/>
      <c r="M127" s="171"/>
      <c r="N127" s="171"/>
      <c r="O127" s="171"/>
      <c r="P127" s="171"/>
      <c r="Q127" s="171"/>
      <c r="R127" s="171"/>
      <c r="S127" s="171"/>
      <c r="T127" s="171"/>
      <c r="U127" s="171"/>
      <c r="V127" s="171"/>
      <c r="W127" s="171"/>
      <c r="X127" s="171"/>
      <c r="Y127" s="171"/>
      <c r="Z127" s="171"/>
    </row>
    <row r="128">
      <c r="A128" s="171"/>
      <c r="B128" s="171"/>
      <c r="C128" s="171"/>
      <c r="D128" s="171"/>
      <c r="E128" s="171"/>
      <c r="F128" s="171"/>
      <c r="G128" s="171"/>
      <c r="H128" s="171"/>
      <c r="I128" s="171"/>
      <c r="J128" s="171"/>
      <c r="K128" s="171"/>
      <c r="L128" s="171"/>
      <c r="M128" s="171"/>
      <c r="N128" s="171"/>
      <c r="O128" s="171"/>
      <c r="P128" s="171"/>
      <c r="Q128" s="171"/>
      <c r="R128" s="171"/>
      <c r="S128" s="171"/>
      <c r="T128" s="171"/>
      <c r="U128" s="171"/>
      <c r="V128" s="171"/>
      <c r="W128" s="171"/>
      <c r="X128" s="171"/>
      <c r="Y128" s="171"/>
      <c r="Z128" s="171"/>
    </row>
    <row r="129">
      <c r="A129" s="171"/>
      <c r="B129" s="171"/>
      <c r="C129" s="171"/>
      <c r="D129" s="171"/>
      <c r="E129" s="171"/>
      <c r="F129" s="171"/>
      <c r="G129" s="171"/>
      <c r="H129" s="171"/>
      <c r="I129" s="171"/>
      <c r="J129" s="171"/>
      <c r="K129" s="171"/>
      <c r="L129" s="171"/>
      <c r="M129" s="171"/>
      <c r="N129" s="171"/>
      <c r="O129" s="171"/>
      <c r="P129" s="171"/>
      <c r="Q129" s="171"/>
      <c r="R129" s="171"/>
      <c r="S129" s="171"/>
      <c r="T129" s="171"/>
      <c r="U129" s="171"/>
      <c r="V129" s="171"/>
      <c r="W129" s="171"/>
      <c r="X129" s="171"/>
      <c r="Y129" s="171"/>
      <c r="Z129" s="171"/>
    </row>
    <row r="130">
      <c r="A130" s="171"/>
      <c r="B130" s="171"/>
      <c r="C130" s="171"/>
      <c r="D130" s="171"/>
      <c r="E130" s="171"/>
      <c r="F130" s="171"/>
      <c r="G130" s="171"/>
      <c r="H130" s="171"/>
      <c r="I130" s="171"/>
      <c r="J130" s="171"/>
      <c r="K130" s="171"/>
      <c r="L130" s="171"/>
      <c r="M130" s="171"/>
      <c r="N130" s="171"/>
      <c r="O130" s="171"/>
      <c r="P130" s="171"/>
      <c r="Q130" s="171"/>
      <c r="R130" s="171"/>
      <c r="S130" s="171"/>
      <c r="T130" s="171"/>
      <c r="U130" s="171"/>
      <c r="V130" s="171"/>
      <c r="W130" s="171"/>
      <c r="X130" s="171"/>
      <c r="Y130" s="171"/>
      <c r="Z130" s="171"/>
    </row>
    <row r="131">
      <c r="A131" s="178"/>
      <c r="B131" s="171"/>
      <c r="C131" s="171"/>
      <c r="D131" s="171"/>
      <c r="E131" s="171"/>
      <c r="F131" s="171"/>
      <c r="G131" s="171"/>
      <c r="H131" s="171"/>
      <c r="I131" s="171"/>
      <c r="J131" s="171"/>
      <c r="K131" s="171"/>
      <c r="L131" s="171"/>
      <c r="M131" s="171"/>
      <c r="N131" s="171"/>
      <c r="O131" s="171"/>
      <c r="P131" s="171"/>
      <c r="Q131" s="171"/>
      <c r="R131" s="171"/>
      <c r="S131" s="171"/>
      <c r="T131" s="171"/>
      <c r="U131" s="171"/>
      <c r="V131" s="171"/>
      <c r="W131" s="171"/>
      <c r="X131" s="171"/>
      <c r="Y131" s="171"/>
      <c r="Z131" s="171"/>
    </row>
    <row r="132">
      <c r="A132" s="171"/>
      <c r="B132" s="171"/>
      <c r="C132" s="171"/>
      <c r="D132" s="171"/>
      <c r="E132" s="171"/>
      <c r="F132" s="171"/>
      <c r="G132" s="171"/>
      <c r="H132" s="171"/>
      <c r="I132" s="171"/>
      <c r="J132" s="171"/>
      <c r="K132" s="171"/>
      <c r="L132" s="171"/>
      <c r="M132" s="171"/>
      <c r="N132" s="171"/>
      <c r="O132" s="171"/>
      <c r="P132" s="171"/>
      <c r="Q132" s="171"/>
      <c r="R132" s="171"/>
      <c r="S132" s="171"/>
      <c r="T132" s="171"/>
      <c r="U132" s="171"/>
      <c r="V132" s="171"/>
      <c r="W132" s="171"/>
      <c r="X132" s="171"/>
      <c r="Y132" s="171"/>
      <c r="Z132" s="171"/>
    </row>
    <row r="133">
      <c r="A133" s="178"/>
      <c r="B133" s="171"/>
      <c r="C133" s="171"/>
      <c r="D133" s="171"/>
      <c r="E133" s="171"/>
      <c r="F133" s="171"/>
      <c r="G133" s="171"/>
      <c r="H133" s="171"/>
      <c r="I133" s="171"/>
      <c r="J133" s="171"/>
      <c r="K133" s="171"/>
      <c r="L133" s="171"/>
      <c r="M133" s="171"/>
      <c r="N133" s="171"/>
      <c r="O133" s="171"/>
      <c r="P133" s="171"/>
      <c r="Q133" s="171"/>
      <c r="R133" s="171"/>
      <c r="S133" s="171"/>
      <c r="T133" s="171"/>
      <c r="U133" s="171"/>
      <c r="V133" s="171"/>
      <c r="W133" s="171"/>
      <c r="X133" s="171"/>
      <c r="Y133" s="171"/>
      <c r="Z133" s="171"/>
    </row>
    <row r="134">
      <c r="A134" s="171"/>
      <c r="B134" s="171"/>
      <c r="C134" s="171"/>
      <c r="D134" s="171"/>
      <c r="E134" s="171"/>
      <c r="F134" s="171"/>
      <c r="G134" s="171"/>
      <c r="H134" s="171"/>
      <c r="I134" s="171"/>
      <c r="J134" s="171"/>
      <c r="K134" s="171"/>
      <c r="L134" s="171"/>
      <c r="M134" s="171"/>
      <c r="N134" s="171"/>
      <c r="O134" s="171"/>
      <c r="P134" s="171"/>
      <c r="Q134" s="171"/>
      <c r="R134" s="171"/>
      <c r="S134" s="171"/>
      <c r="T134" s="171"/>
      <c r="U134" s="171"/>
      <c r="V134" s="171"/>
      <c r="W134" s="171"/>
      <c r="X134" s="171"/>
      <c r="Y134" s="171"/>
      <c r="Z134" s="171"/>
    </row>
    <row r="135">
      <c r="A135" s="171"/>
      <c r="B135" s="171"/>
      <c r="C135" s="171"/>
      <c r="D135" s="171"/>
      <c r="E135" s="171"/>
      <c r="F135" s="171"/>
      <c r="G135" s="171"/>
      <c r="H135" s="171"/>
      <c r="I135" s="171"/>
      <c r="J135" s="171"/>
      <c r="K135" s="171"/>
      <c r="L135" s="171"/>
      <c r="M135" s="171"/>
      <c r="N135" s="171"/>
      <c r="O135" s="171"/>
      <c r="P135" s="171"/>
      <c r="Q135" s="171"/>
      <c r="R135" s="171"/>
      <c r="S135" s="171"/>
      <c r="T135" s="171"/>
      <c r="U135" s="171"/>
      <c r="V135" s="171"/>
      <c r="W135" s="171"/>
      <c r="X135" s="171"/>
      <c r="Y135" s="171"/>
      <c r="Z135" s="171"/>
    </row>
    <row r="136">
      <c r="A136" s="171"/>
      <c r="B136" s="171"/>
      <c r="C136" s="171"/>
      <c r="D136" s="171"/>
      <c r="E136" s="171"/>
      <c r="F136" s="171"/>
      <c r="G136" s="171"/>
      <c r="H136" s="171"/>
      <c r="I136" s="171"/>
      <c r="J136" s="171"/>
      <c r="K136" s="171"/>
      <c r="L136" s="171"/>
      <c r="M136" s="171"/>
      <c r="N136" s="171"/>
      <c r="O136" s="171"/>
      <c r="P136" s="171"/>
      <c r="Q136" s="171"/>
      <c r="R136" s="171"/>
      <c r="S136" s="171"/>
      <c r="T136" s="171"/>
      <c r="U136" s="171"/>
      <c r="V136" s="171"/>
      <c r="W136" s="171"/>
      <c r="X136" s="171"/>
      <c r="Y136" s="171"/>
      <c r="Z136" s="171"/>
    </row>
    <row r="137">
      <c r="A137" s="171"/>
      <c r="B137" s="171"/>
      <c r="C137" s="171"/>
      <c r="D137" s="171"/>
      <c r="E137" s="171"/>
      <c r="F137" s="171"/>
      <c r="G137" s="171"/>
      <c r="H137" s="171"/>
      <c r="I137" s="171"/>
      <c r="J137" s="171"/>
      <c r="K137" s="171"/>
      <c r="L137" s="171"/>
      <c r="M137" s="171"/>
      <c r="N137" s="171"/>
      <c r="O137" s="171"/>
      <c r="P137" s="171"/>
      <c r="Q137" s="171"/>
      <c r="R137" s="171"/>
      <c r="S137" s="171"/>
      <c r="T137" s="171"/>
      <c r="U137" s="171"/>
      <c r="V137" s="171"/>
      <c r="W137" s="171"/>
      <c r="X137" s="171"/>
      <c r="Y137" s="171"/>
      <c r="Z137" s="171"/>
    </row>
    <row r="138">
      <c r="A138" s="171"/>
      <c r="B138" s="171"/>
      <c r="C138" s="171"/>
      <c r="D138" s="171"/>
      <c r="E138" s="171"/>
      <c r="F138" s="171"/>
      <c r="G138" s="171"/>
      <c r="H138" s="171"/>
      <c r="I138" s="171"/>
      <c r="J138" s="171"/>
      <c r="K138" s="171"/>
      <c r="L138" s="171"/>
      <c r="M138" s="171"/>
      <c r="N138" s="171"/>
      <c r="O138" s="171"/>
      <c r="P138" s="171"/>
      <c r="Q138" s="171"/>
      <c r="R138" s="171"/>
      <c r="S138" s="171"/>
      <c r="T138" s="171"/>
      <c r="U138" s="171"/>
      <c r="V138" s="171"/>
      <c r="W138" s="171"/>
      <c r="X138" s="171"/>
      <c r="Y138" s="171"/>
      <c r="Z138" s="171"/>
    </row>
    <row r="139">
      <c r="A139" s="171"/>
      <c r="B139" s="171"/>
      <c r="C139" s="171"/>
      <c r="D139" s="171"/>
      <c r="E139" s="171"/>
      <c r="F139" s="171"/>
      <c r="G139" s="171"/>
      <c r="H139" s="171"/>
      <c r="I139" s="171"/>
      <c r="J139" s="171"/>
      <c r="K139" s="171"/>
      <c r="L139" s="171"/>
      <c r="M139" s="171"/>
      <c r="N139" s="171"/>
      <c r="O139" s="171"/>
      <c r="P139" s="171"/>
      <c r="Q139" s="171"/>
      <c r="R139" s="171"/>
      <c r="S139" s="171"/>
      <c r="T139" s="171"/>
      <c r="U139" s="171"/>
      <c r="V139" s="171"/>
      <c r="W139" s="171"/>
      <c r="X139" s="171"/>
      <c r="Y139" s="171"/>
      <c r="Z139" s="171"/>
    </row>
    <row r="140">
      <c r="A140" s="171"/>
      <c r="B140" s="171"/>
      <c r="C140" s="171"/>
      <c r="D140" s="171"/>
      <c r="E140" s="171"/>
      <c r="F140" s="171"/>
      <c r="G140" s="171"/>
      <c r="H140" s="171"/>
      <c r="I140" s="171"/>
      <c r="J140" s="171"/>
      <c r="K140" s="171"/>
      <c r="L140" s="171"/>
      <c r="M140" s="171"/>
      <c r="N140" s="171"/>
      <c r="O140" s="171"/>
      <c r="P140" s="171"/>
      <c r="Q140" s="171"/>
      <c r="R140" s="171"/>
      <c r="S140" s="171"/>
      <c r="T140" s="171"/>
      <c r="U140" s="171"/>
      <c r="V140" s="171"/>
      <c r="W140" s="171"/>
      <c r="X140" s="171"/>
      <c r="Y140" s="171"/>
      <c r="Z140" s="171"/>
    </row>
    <row r="141">
      <c r="A141" s="171"/>
      <c r="B141" s="171"/>
      <c r="C141" s="171"/>
      <c r="D141" s="171"/>
      <c r="E141" s="171"/>
      <c r="F141" s="171"/>
      <c r="G141" s="171"/>
      <c r="H141" s="171"/>
      <c r="I141" s="171"/>
      <c r="J141" s="171"/>
      <c r="K141" s="171"/>
      <c r="L141" s="171"/>
      <c r="M141" s="171"/>
      <c r="N141" s="171"/>
      <c r="O141" s="171"/>
      <c r="P141" s="171"/>
      <c r="Q141" s="171"/>
      <c r="R141" s="171"/>
      <c r="S141" s="171"/>
      <c r="T141" s="171"/>
      <c r="U141" s="171"/>
      <c r="V141" s="171"/>
      <c r="W141" s="171"/>
      <c r="X141" s="171"/>
      <c r="Y141" s="171"/>
      <c r="Z141" s="171"/>
    </row>
    <row r="142">
      <c r="A142" s="169"/>
      <c r="B142" s="171"/>
      <c r="C142" s="171"/>
      <c r="D142" s="171"/>
      <c r="E142" s="171"/>
      <c r="F142" s="171"/>
      <c r="G142" s="171"/>
      <c r="H142" s="171"/>
      <c r="I142" s="171"/>
      <c r="J142" s="171"/>
      <c r="K142" s="171"/>
      <c r="L142" s="171"/>
      <c r="M142" s="171"/>
      <c r="N142" s="171"/>
      <c r="O142" s="171"/>
      <c r="P142" s="171"/>
      <c r="Q142" s="171"/>
      <c r="R142" s="171"/>
      <c r="S142" s="171"/>
      <c r="T142" s="171"/>
      <c r="U142" s="171"/>
      <c r="V142" s="171"/>
      <c r="W142" s="171"/>
      <c r="X142" s="171"/>
      <c r="Y142" s="171"/>
      <c r="Z142" s="171"/>
    </row>
    <row r="143">
      <c r="A143" s="171"/>
      <c r="B143" s="171"/>
      <c r="C143" s="171"/>
      <c r="D143" s="171"/>
      <c r="E143" s="171"/>
      <c r="F143" s="171"/>
      <c r="G143" s="171"/>
      <c r="H143" s="171"/>
      <c r="I143" s="171"/>
      <c r="J143" s="171"/>
      <c r="K143" s="171"/>
      <c r="L143" s="171"/>
      <c r="M143" s="171"/>
      <c r="N143" s="171"/>
      <c r="O143" s="171"/>
      <c r="P143" s="171"/>
      <c r="Q143" s="171"/>
      <c r="R143" s="171"/>
      <c r="S143" s="171"/>
      <c r="T143" s="171"/>
      <c r="U143" s="171"/>
      <c r="V143" s="171"/>
      <c r="W143" s="171"/>
      <c r="X143" s="171"/>
      <c r="Y143" s="171"/>
      <c r="Z143" s="171"/>
    </row>
    <row r="144">
      <c r="A144" s="171"/>
      <c r="B144" s="171"/>
      <c r="C144" s="171"/>
      <c r="D144" s="171"/>
      <c r="E144" s="171"/>
      <c r="F144" s="171"/>
      <c r="G144" s="171"/>
      <c r="H144" s="171"/>
      <c r="I144" s="171"/>
      <c r="J144" s="171"/>
      <c r="K144" s="171"/>
      <c r="L144" s="171"/>
      <c r="M144" s="171"/>
      <c r="N144" s="171"/>
      <c r="O144" s="171"/>
      <c r="P144" s="171"/>
      <c r="Q144" s="171"/>
      <c r="R144" s="171"/>
      <c r="S144" s="171"/>
      <c r="T144" s="171"/>
      <c r="U144" s="171"/>
      <c r="V144" s="171"/>
      <c r="W144" s="171"/>
      <c r="X144" s="171"/>
      <c r="Y144" s="171"/>
      <c r="Z144" s="171"/>
    </row>
    <row r="145">
      <c r="A145" s="171"/>
      <c r="B145" s="171"/>
      <c r="C145" s="171"/>
      <c r="D145" s="171"/>
      <c r="E145" s="171"/>
      <c r="F145" s="171"/>
      <c r="G145" s="171"/>
      <c r="H145" s="171"/>
      <c r="I145" s="171"/>
      <c r="J145" s="171"/>
      <c r="K145" s="171"/>
      <c r="L145" s="171"/>
      <c r="M145" s="171"/>
      <c r="N145" s="171"/>
      <c r="O145" s="171"/>
      <c r="P145" s="171"/>
      <c r="Q145" s="171"/>
      <c r="R145" s="171"/>
      <c r="S145" s="171"/>
      <c r="T145" s="171"/>
      <c r="U145" s="171"/>
      <c r="V145" s="171"/>
      <c r="W145" s="171"/>
      <c r="X145" s="171"/>
      <c r="Y145" s="171"/>
      <c r="Z145" s="171"/>
    </row>
    <row r="146">
      <c r="A146" s="171"/>
      <c r="B146" s="171"/>
      <c r="C146" s="171"/>
      <c r="D146" s="171"/>
      <c r="E146" s="171"/>
      <c r="F146" s="171"/>
      <c r="G146" s="171"/>
      <c r="H146" s="171"/>
      <c r="I146" s="171"/>
      <c r="J146" s="171"/>
      <c r="K146" s="171"/>
      <c r="L146" s="171"/>
      <c r="M146" s="171"/>
      <c r="N146" s="171"/>
      <c r="O146" s="171"/>
      <c r="P146" s="171"/>
      <c r="Q146" s="171"/>
      <c r="R146" s="171"/>
      <c r="S146" s="171"/>
      <c r="T146" s="171"/>
      <c r="U146" s="171"/>
      <c r="V146" s="171"/>
      <c r="W146" s="171"/>
      <c r="X146" s="171"/>
      <c r="Y146" s="171"/>
      <c r="Z146" s="171"/>
    </row>
    <row r="147">
      <c r="A147" s="171"/>
      <c r="B147" s="171"/>
      <c r="C147" s="171"/>
      <c r="D147" s="171"/>
      <c r="E147" s="171"/>
      <c r="F147" s="171"/>
      <c r="G147" s="171"/>
      <c r="H147" s="171"/>
      <c r="I147" s="171"/>
      <c r="J147" s="171"/>
      <c r="K147" s="171"/>
      <c r="L147" s="171"/>
      <c r="M147" s="171"/>
      <c r="N147" s="171"/>
      <c r="O147" s="171"/>
      <c r="P147" s="171"/>
      <c r="Q147" s="171"/>
      <c r="R147" s="171"/>
      <c r="S147" s="171"/>
      <c r="T147" s="171"/>
      <c r="U147" s="171"/>
      <c r="V147" s="171"/>
      <c r="W147" s="171"/>
      <c r="X147" s="171"/>
      <c r="Y147" s="171"/>
      <c r="Z147" s="171"/>
    </row>
    <row r="148">
      <c r="A148" s="178"/>
      <c r="B148" s="171"/>
      <c r="C148" s="171"/>
      <c r="D148" s="171"/>
      <c r="E148" s="171"/>
      <c r="F148" s="171"/>
      <c r="G148" s="171"/>
      <c r="H148" s="171"/>
      <c r="I148" s="171"/>
      <c r="J148" s="171"/>
      <c r="K148" s="171"/>
      <c r="L148" s="171"/>
      <c r="M148" s="171"/>
      <c r="N148" s="171"/>
      <c r="O148" s="171"/>
      <c r="P148" s="171"/>
      <c r="Q148" s="171"/>
      <c r="R148" s="171"/>
      <c r="S148" s="171"/>
      <c r="T148" s="171"/>
      <c r="U148" s="171"/>
      <c r="V148" s="171"/>
      <c r="W148" s="171"/>
      <c r="X148" s="171"/>
      <c r="Y148" s="171"/>
      <c r="Z148" s="171"/>
    </row>
    <row r="149">
      <c r="A149" s="171"/>
      <c r="B149" s="171"/>
      <c r="C149" s="171"/>
      <c r="D149" s="171"/>
      <c r="E149" s="171"/>
      <c r="F149" s="171"/>
      <c r="G149" s="171"/>
      <c r="H149" s="171"/>
      <c r="I149" s="171"/>
      <c r="J149" s="171"/>
      <c r="K149" s="171"/>
      <c r="L149" s="171"/>
      <c r="M149" s="171"/>
      <c r="N149" s="171"/>
      <c r="O149" s="171"/>
      <c r="P149" s="171"/>
      <c r="Q149" s="171"/>
      <c r="R149" s="171"/>
      <c r="S149" s="171"/>
      <c r="T149" s="171"/>
      <c r="U149" s="171"/>
      <c r="V149" s="171"/>
      <c r="W149" s="171"/>
      <c r="X149" s="171"/>
      <c r="Y149" s="171"/>
      <c r="Z149" s="171"/>
    </row>
    <row r="150">
      <c r="A150" s="178"/>
      <c r="B150" s="171"/>
      <c r="C150" s="171"/>
      <c r="D150" s="171"/>
      <c r="E150" s="171"/>
      <c r="F150" s="171"/>
      <c r="G150" s="171"/>
      <c r="H150" s="171"/>
      <c r="I150" s="171"/>
      <c r="J150" s="171"/>
      <c r="K150" s="171"/>
      <c r="L150" s="171"/>
      <c r="M150" s="171"/>
      <c r="N150" s="171"/>
      <c r="O150" s="171"/>
      <c r="P150" s="171"/>
      <c r="Q150" s="171"/>
      <c r="R150" s="171"/>
      <c r="S150" s="171"/>
      <c r="T150" s="171"/>
      <c r="U150" s="171"/>
      <c r="V150" s="171"/>
      <c r="W150" s="171"/>
      <c r="X150" s="171"/>
      <c r="Y150" s="171"/>
      <c r="Z150" s="171"/>
    </row>
    <row r="151">
      <c r="A151" s="171"/>
      <c r="B151" s="171"/>
      <c r="C151" s="171"/>
      <c r="D151" s="171"/>
      <c r="E151" s="171"/>
      <c r="F151" s="171"/>
      <c r="G151" s="171"/>
      <c r="H151" s="171"/>
      <c r="I151" s="171"/>
      <c r="J151" s="171"/>
      <c r="K151" s="171"/>
      <c r="L151" s="171"/>
      <c r="M151" s="171"/>
      <c r="N151" s="171"/>
      <c r="O151" s="171"/>
      <c r="P151" s="171"/>
      <c r="Q151" s="171"/>
      <c r="R151" s="171"/>
      <c r="S151" s="171"/>
      <c r="T151" s="171"/>
      <c r="U151" s="171"/>
      <c r="V151" s="171"/>
      <c r="W151" s="171"/>
      <c r="X151" s="171"/>
      <c r="Y151" s="171"/>
      <c r="Z151" s="171"/>
    </row>
    <row r="152">
      <c r="A152" s="171"/>
      <c r="B152" s="171"/>
      <c r="C152" s="171"/>
      <c r="D152" s="171"/>
      <c r="E152" s="171"/>
      <c r="F152" s="171"/>
      <c r="G152" s="171"/>
      <c r="H152" s="171"/>
      <c r="I152" s="171"/>
      <c r="J152" s="171"/>
      <c r="K152" s="171"/>
      <c r="L152" s="171"/>
      <c r="M152" s="171"/>
      <c r="N152" s="171"/>
      <c r="O152" s="171"/>
      <c r="P152" s="171"/>
      <c r="Q152" s="171"/>
      <c r="R152" s="171"/>
      <c r="S152" s="171"/>
      <c r="T152" s="171"/>
      <c r="U152" s="171"/>
      <c r="V152" s="171"/>
      <c r="W152" s="171"/>
      <c r="X152" s="171"/>
      <c r="Y152" s="171"/>
      <c r="Z152" s="171"/>
    </row>
    <row r="153">
      <c r="A153" s="171"/>
      <c r="B153" s="171"/>
      <c r="C153" s="171"/>
      <c r="D153" s="171"/>
      <c r="E153" s="171"/>
      <c r="F153" s="171"/>
      <c r="G153" s="171"/>
      <c r="H153" s="171"/>
      <c r="I153" s="171"/>
      <c r="J153" s="171"/>
      <c r="K153" s="171"/>
      <c r="L153" s="171"/>
      <c r="M153" s="171"/>
      <c r="N153" s="171"/>
      <c r="O153" s="171"/>
      <c r="P153" s="171"/>
      <c r="Q153" s="171"/>
      <c r="R153" s="171"/>
      <c r="S153" s="171"/>
      <c r="T153" s="171"/>
      <c r="U153" s="171"/>
      <c r="V153" s="171"/>
      <c r="W153" s="171"/>
      <c r="X153" s="171"/>
      <c r="Y153" s="171"/>
      <c r="Z153" s="171"/>
    </row>
    <row r="154">
      <c r="A154" s="171"/>
      <c r="B154" s="171"/>
      <c r="C154" s="171"/>
      <c r="D154" s="171"/>
      <c r="E154" s="171"/>
      <c r="F154" s="171"/>
      <c r="G154" s="171"/>
      <c r="H154" s="171"/>
      <c r="I154" s="171"/>
      <c r="J154" s="171"/>
      <c r="K154" s="171"/>
      <c r="L154" s="171"/>
      <c r="M154" s="171"/>
      <c r="N154" s="171"/>
      <c r="O154" s="171"/>
      <c r="P154" s="171"/>
      <c r="Q154" s="171"/>
      <c r="R154" s="171"/>
      <c r="S154" s="171"/>
      <c r="T154" s="171"/>
      <c r="U154" s="171"/>
      <c r="V154" s="171"/>
      <c r="W154" s="171"/>
      <c r="X154" s="171"/>
      <c r="Y154" s="171"/>
      <c r="Z154" s="171"/>
    </row>
    <row r="155">
      <c r="A155" s="171"/>
      <c r="B155" s="171"/>
      <c r="C155" s="171"/>
      <c r="D155" s="171"/>
      <c r="E155" s="171"/>
      <c r="F155" s="171"/>
      <c r="G155" s="171"/>
      <c r="H155" s="171"/>
      <c r="I155" s="171"/>
      <c r="J155" s="171"/>
      <c r="K155" s="171"/>
      <c r="L155" s="171"/>
      <c r="M155" s="171"/>
      <c r="N155" s="171"/>
      <c r="O155" s="171"/>
      <c r="P155" s="171"/>
      <c r="Q155" s="171"/>
      <c r="R155" s="171"/>
      <c r="S155" s="171"/>
      <c r="T155" s="171"/>
      <c r="U155" s="171"/>
      <c r="V155" s="171"/>
      <c r="W155" s="171"/>
      <c r="X155" s="171"/>
      <c r="Y155" s="171"/>
      <c r="Z155" s="171"/>
    </row>
    <row r="156">
      <c r="A156" s="171"/>
      <c r="B156" s="171"/>
      <c r="C156" s="171"/>
      <c r="D156" s="171"/>
      <c r="E156" s="171"/>
      <c r="F156" s="171"/>
      <c r="G156" s="171"/>
      <c r="H156" s="171"/>
      <c r="I156" s="171"/>
      <c r="J156" s="171"/>
      <c r="K156" s="171"/>
      <c r="L156" s="171"/>
      <c r="M156" s="171"/>
      <c r="N156" s="171"/>
      <c r="O156" s="171"/>
      <c r="P156" s="171"/>
      <c r="Q156" s="171"/>
      <c r="R156" s="171"/>
      <c r="S156" s="171"/>
      <c r="T156" s="171"/>
      <c r="U156" s="171"/>
      <c r="V156" s="171"/>
      <c r="W156" s="171"/>
      <c r="X156" s="171"/>
      <c r="Y156" s="171"/>
      <c r="Z156" s="171"/>
    </row>
    <row r="157">
      <c r="A157" s="171"/>
      <c r="B157" s="171"/>
      <c r="C157" s="171"/>
      <c r="D157" s="171"/>
      <c r="E157" s="171"/>
      <c r="F157" s="171"/>
      <c r="G157" s="171"/>
      <c r="H157" s="171"/>
      <c r="I157" s="171"/>
      <c r="J157" s="171"/>
      <c r="K157" s="171"/>
      <c r="L157" s="171"/>
      <c r="M157" s="171"/>
      <c r="N157" s="171"/>
      <c r="O157" s="171"/>
      <c r="P157" s="171"/>
      <c r="Q157" s="171"/>
      <c r="R157" s="171"/>
      <c r="S157" s="171"/>
      <c r="T157" s="171"/>
      <c r="U157" s="171"/>
      <c r="V157" s="171"/>
      <c r="W157" s="171"/>
      <c r="X157" s="171"/>
      <c r="Y157" s="171"/>
      <c r="Z157" s="171"/>
    </row>
    <row r="158">
      <c r="A158" s="171"/>
      <c r="B158" s="171"/>
      <c r="C158" s="171"/>
      <c r="D158" s="171"/>
      <c r="E158" s="171"/>
      <c r="F158" s="171"/>
      <c r="G158" s="171"/>
      <c r="H158" s="171"/>
      <c r="I158" s="171"/>
      <c r="J158" s="171"/>
      <c r="K158" s="171"/>
      <c r="L158" s="171"/>
      <c r="M158" s="171"/>
      <c r="N158" s="171"/>
      <c r="O158" s="171"/>
      <c r="P158" s="171"/>
      <c r="Q158" s="171"/>
      <c r="R158" s="171"/>
      <c r="S158" s="171"/>
      <c r="T158" s="171"/>
      <c r="U158" s="171"/>
      <c r="V158" s="171"/>
      <c r="W158" s="171"/>
      <c r="X158" s="171"/>
      <c r="Y158" s="171"/>
      <c r="Z158" s="171"/>
    </row>
    <row r="159">
      <c r="A159" s="169"/>
      <c r="B159" s="171"/>
      <c r="C159" s="171"/>
      <c r="D159" s="171"/>
      <c r="E159" s="171"/>
      <c r="F159" s="171"/>
      <c r="G159" s="171"/>
      <c r="H159" s="171"/>
      <c r="I159" s="171"/>
      <c r="J159" s="171"/>
      <c r="K159" s="171"/>
      <c r="L159" s="171"/>
      <c r="M159" s="171"/>
      <c r="N159" s="171"/>
      <c r="O159" s="171"/>
      <c r="P159" s="171"/>
      <c r="Q159" s="171"/>
      <c r="R159" s="171"/>
      <c r="S159" s="171"/>
      <c r="T159" s="171"/>
      <c r="U159" s="171"/>
      <c r="V159" s="171"/>
      <c r="W159" s="171"/>
      <c r="X159" s="171"/>
      <c r="Y159" s="171"/>
      <c r="Z159" s="171"/>
    </row>
    <row r="160">
      <c r="A160" s="169"/>
      <c r="B160" s="171"/>
      <c r="C160" s="171"/>
      <c r="D160" s="171"/>
      <c r="E160" s="171"/>
      <c r="F160" s="171"/>
      <c r="G160" s="171"/>
      <c r="H160" s="171"/>
      <c r="I160" s="171"/>
      <c r="J160" s="171"/>
      <c r="K160" s="171"/>
      <c r="L160" s="171"/>
      <c r="M160" s="171"/>
      <c r="N160" s="171"/>
      <c r="O160" s="171"/>
      <c r="P160" s="171"/>
      <c r="Q160" s="171"/>
      <c r="R160" s="171"/>
      <c r="S160" s="171"/>
      <c r="T160" s="171"/>
      <c r="U160" s="171"/>
      <c r="V160" s="171"/>
      <c r="W160" s="171"/>
      <c r="X160" s="171"/>
      <c r="Y160" s="171"/>
      <c r="Z160" s="171"/>
    </row>
    <row r="161">
      <c r="A161" s="171"/>
      <c r="B161" s="171"/>
      <c r="C161" s="171"/>
      <c r="D161" s="171"/>
      <c r="E161" s="171"/>
      <c r="F161" s="171"/>
      <c r="G161" s="171"/>
      <c r="H161" s="171"/>
      <c r="I161" s="171"/>
      <c r="J161" s="171"/>
      <c r="K161" s="171"/>
      <c r="L161" s="171"/>
      <c r="M161" s="171"/>
      <c r="N161" s="171"/>
      <c r="O161" s="171"/>
      <c r="P161" s="171"/>
      <c r="Q161" s="171"/>
      <c r="R161" s="171"/>
      <c r="S161" s="171"/>
      <c r="T161" s="171"/>
      <c r="U161" s="171"/>
      <c r="V161" s="171"/>
      <c r="W161" s="171"/>
      <c r="X161" s="171"/>
      <c r="Y161" s="171"/>
      <c r="Z161" s="171"/>
    </row>
    <row r="162">
      <c r="A162" s="171"/>
      <c r="B162" s="171"/>
      <c r="C162" s="171"/>
      <c r="D162" s="171"/>
      <c r="E162" s="171"/>
      <c r="F162" s="171"/>
      <c r="G162" s="171"/>
      <c r="H162" s="171"/>
      <c r="I162" s="171"/>
      <c r="J162" s="171"/>
      <c r="K162" s="171"/>
      <c r="L162" s="171"/>
      <c r="M162" s="171"/>
      <c r="N162" s="171"/>
      <c r="O162" s="171"/>
      <c r="P162" s="171"/>
      <c r="Q162" s="171"/>
      <c r="R162" s="171"/>
      <c r="S162" s="171"/>
      <c r="T162" s="171"/>
      <c r="U162" s="171"/>
      <c r="V162" s="171"/>
      <c r="W162" s="171"/>
      <c r="X162" s="171"/>
      <c r="Y162" s="171"/>
      <c r="Z162" s="171"/>
    </row>
    <row r="163">
      <c r="A163" s="171"/>
      <c r="B163" s="171"/>
      <c r="C163" s="171"/>
      <c r="D163" s="171"/>
      <c r="E163" s="171"/>
      <c r="F163" s="171"/>
      <c r="G163" s="171"/>
      <c r="H163" s="171"/>
      <c r="I163" s="171"/>
      <c r="J163" s="171"/>
      <c r="K163" s="171"/>
      <c r="L163" s="171"/>
      <c r="M163" s="171"/>
      <c r="N163" s="171"/>
      <c r="O163" s="171"/>
      <c r="P163" s="171"/>
      <c r="Q163" s="171"/>
      <c r="R163" s="171"/>
      <c r="S163" s="171"/>
      <c r="T163" s="171"/>
      <c r="U163" s="171"/>
      <c r="V163" s="171"/>
      <c r="W163" s="171"/>
      <c r="X163" s="171"/>
      <c r="Y163" s="171"/>
      <c r="Z163" s="171"/>
    </row>
    <row r="164">
      <c r="A164" s="171"/>
      <c r="B164" s="171"/>
      <c r="C164" s="171"/>
      <c r="D164" s="171"/>
      <c r="E164" s="171"/>
      <c r="F164" s="171"/>
      <c r="G164" s="171"/>
      <c r="H164" s="171"/>
      <c r="I164" s="171"/>
      <c r="J164" s="171"/>
      <c r="K164" s="171"/>
      <c r="L164" s="171"/>
      <c r="M164" s="171"/>
      <c r="N164" s="171"/>
      <c r="O164" s="171"/>
      <c r="P164" s="171"/>
      <c r="Q164" s="171"/>
      <c r="R164" s="171"/>
      <c r="S164" s="171"/>
      <c r="T164" s="171"/>
      <c r="U164" s="171"/>
      <c r="V164" s="171"/>
      <c r="W164" s="171"/>
      <c r="X164" s="171"/>
      <c r="Y164" s="171"/>
      <c r="Z164" s="171"/>
    </row>
    <row r="165">
      <c r="A165" s="171"/>
      <c r="B165" s="171"/>
      <c r="C165" s="171"/>
      <c r="D165" s="171"/>
      <c r="E165" s="171"/>
      <c r="F165" s="171"/>
      <c r="G165" s="171"/>
      <c r="H165" s="171"/>
      <c r="I165" s="171"/>
      <c r="J165" s="171"/>
      <c r="K165" s="171"/>
      <c r="L165" s="171"/>
      <c r="M165" s="171"/>
      <c r="N165" s="171"/>
      <c r="O165" s="171"/>
      <c r="P165" s="171"/>
      <c r="Q165" s="171"/>
      <c r="R165" s="171"/>
      <c r="S165" s="171"/>
      <c r="T165" s="171"/>
      <c r="U165" s="171"/>
      <c r="V165" s="171"/>
      <c r="W165" s="171"/>
      <c r="X165" s="171"/>
      <c r="Y165" s="171"/>
      <c r="Z165" s="171"/>
    </row>
    <row r="166">
      <c r="A166" s="178"/>
      <c r="B166" s="171"/>
      <c r="C166" s="171"/>
      <c r="D166" s="171"/>
      <c r="E166" s="171"/>
      <c r="F166" s="171"/>
      <c r="G166" s="171"/>
      <c r="H166" s="171"/>
      <c r="I166" s="171"/>
      <c r="J166" s="171"/>
      <c r="K166" s="171"/>
      <c r="L166" s="171"/>
      <c r="M166" s="171"/>
      <c r="N166" s="171"/>
      <c r="O166" s="171"/>
      <c r="P166" s="171"/>
      <c r="Q166" s="171"/>
      <c r="R166" s="171"/>
      <c r="S166" s="171"/>
      <c r="T166" s="171"/>
      <c r="U166" s="171"/>
      <c r="V166" s="171"/>
      <c r="W166" s="171"/>
      <c r="X166" s="171"/>
      <c r="Y166" s="171"/>
      <c r="Z166" s="171"/>
    </row>
    <row r="167">
      <c r="A167" s="171"/>
      <c r="B167" s="171"/>
      <c r="C167" s="171"/>
      <c r="D167" s="171"/>
      <c r="E167" s="171"/>
      <c r="F167" s="171"/>
      <c r="G167" s="171"/>
      <c r="H167" s="171"/>
      <c r="I167" s="171"/>
      <c r="J167" s="171"/>
      <c r="K167" s="171"/>
      <c r="L167" s="171"/>
      <c r="M167" s="171"/>
      <c r="N167" s="171"/>
      <c r="O167" s="171"/>
      <c r="P167" s="171"/>
      <c r="Q167" s="171"/>
      <c r="R167" s="171"/>
      <c r="S167" s="171"/>
      <c r="T167" s="171"/>
      <c r="U167" s="171"/>
      <c r="V167" s="171"/>
      <c r="W167" s="171"/>
      <c r="X167" s="171"/>
      <c r="Y167" s="171"/>
      <c r="Z167" s="171"/>
    </row>
    <row r="168">
      <c r="A168" s="178"/>
      <c r="B168" s="171"/>
      <c r="C168" s="171"/>
      <c r="D168" s="171"/>
      <c r="E168" s="171"/>
      <c r="F168" s="171"/>
      <c r="G168" s="171"/>
      <c r="H168" s="171"/>
      <c r="I168" s="171"/>
      <c r="J168" s="171"/>
      <c r="K168" s="171"/>
      <c r="L168" s="171"/>
      <c r="M168" s="171"/>
      <c r="N168" s="171"/>
      <c r="O168" s="171"/>
      <c r="P168" s="171"/>
      <c r="Q168" s="171"/>
      <c r="R168" s="171"/>
      <c r="S168" s="171"/>
      <c r="T168" s="171"/>
      <c r="U168" s="171"/>
      <c r="V168" s="171"/>
      <c r="W168" s="171"/>
      <c r="X168" s="171"/>
      <c r="Y168" s="171"/>
      <c r="Z168" s="171"/>
    </row>
    <row r="169">
      <c r="A169" s="171"/>
      <c r="B169" s="171"/>
      <c r="C169" s="171"/>
      <c r="D169" s="171"/>
      <c r="E169" s="171"/>
      <c r="F169" s="171"/>
      <c r="G169" s="171"/>
      <c r="H169" s="171"/>
      <c r="I169" s="171"/>
      <c r="J169" s="171"/>
      <c r="K169" s="171"/>
      <c r="L169" s="171"/>
      <c r="M169" s="171"/>
      <c r="N169" s="171"/>
      <c r="O169" s="171"/>
      <c r="P169" s="171"/>
      <c r="Q169" s="171"/>
      <c r="R169" s="171"/>
      <c r="S169" s="171"/>
      <c r="T169" s="171"/>
      <c r="U169" s="171"/>
      <c r="V169" s="171"/>
      <c r="W169" s="171"/>
      <c r="X169" s="171"/>
      <c r="Y169" s="171"/>
      <c r="Z169" s="171"/>
    </row>
    <row r="170">
      <c r="A170" s="171"/>
      <c r="B170" s="171"/>
      <c r="C170" s="171"/>
      <c r="D170" s="171"/>
      <c r="E170" s="171"/>
      <c r="F170" s="171"/>
      <c r="G170" s="171"/>
      <c r="H170" s="171"/>
      <c r="I170" s="171"/>
      <c r="J170" s="171"/>
      <c r="K170" s="171"/>
      <c r="L170" s="171"/>
      <c r="M170" s="171"/>
      <c r="N170" s="171"/>
      <c r="O170" s="171"/>
      <c r="P170" s="171"/>
      <c r="Q170" s="171"/>
      <c r="R170" s="171"/>
      <c r="S170" s="171"/>
      <c r="T170" s="171"/>
      <c r="U170" s="171"/>
      <c r="V170" s="171"/>
      <c r="W170" s="171"/>
      <c r="X170" s="171"/>
      <c r="Y170" s="171"/>
      <c r="Z170" s="171"/>
    </row>
    <row r="171">
      <c r="A171" s="171"/>
      <c r="B171" s="171"/>
      <c r="C171" s="171"/>
      <c r="D171" s="171"/>
      <c r="E171" s="171"/>
      <c r="F171" s="171"/>
      <c r="G171" s="171"/>
      <c r="H171" s="171"/>
      <c r="I171" s="171"/>
      <c r="J171" s="171"/>
      <c r="K171" s="171"/>
      <c r="L171" s="171"/>
      <c r="M171" s="171"/>
      <c r="N171" s="171"/>
      <c r="O171" s="171"/>
      <c r="P171" s="171"/>
      <c r="Q171" s="171"/>
      <c r="R171" s="171"/>
      <c r="S171" s="171"/>
      <c r="T171" s="171"/>
      <c r="U171" s="171"/>
      <c r="V171" s="171"/>
      <c r="W171" s="171"/>
      <c r="X171" s="171"/>
      <c r="Y171" s="171"/>
      <c r="Z171" s="171"/>
    </row>
    <row r="172">
      <c r="A172" s="171"/>
      <c r="B172" s="171"/>
      <c r="C172" s="171"/>
      <c r="D172" s="171"/>
      <c r="E172" s="171"/>
      <c r="F172" s="171"/>
      <c r="G172" s="171"/>
      <c r="H172" s="171"/>
      <c r="I172" s="171"/>
      <c r="J172" s="171"/>
      <c r="K172" s="171"/>
      <c r="L172" s="171"/>
      <c r="M172" s="171"/>
      <c r="N172" s="171"/>
      <c r="O172" s="171"/>
      <c r="P172" s="171"/>
      <c r="Q172" s="171"/>
      <c r="R172" s="171"/>
      <c r="S172" s="171"/>
      <c r="T172" s="171"/>
      <c r="U172" s="171"/>
      <c r="V172" s="171"/>
      <c r="W172" s="171"/>
      <c r="X172" s="171"/>
      <c r="Y172" s="171"/>
      <c r="Z172" s="171"/>
    </row>
    <row r="173">
      <c r="A173" s="171"/>
      <c r="B173" s="171"/>
      <c r="C173" s="171"/>
      <c r="D173" s="171"/>
      <c r="E173" s="171"/>
      <c r="F173" s="171"/>
      <c r="G173" s="171"/>
      <c r="H173" s="171"/>
      <c r="I173" s="171"/>
      <c r="J173" s="171"/>
      <c r="K173" s="171"/>
      <c r="L173" s="171"/>
      <c r="M173" s="171"/>
      <c r="N173" s="171"/>
      <c r="O173" s="171"/>
      <c r="P173" s="171"/>
      <c r="Q173" s="171"/>
      <c r="R173" s="171"/>
      <c r="S173" s="171"/>
      <c r="T173" s="171"/>
      <c r="U173" s="171"/>
      <c r="V173" s="171"/>
      <c r="W173" s="171"/>
      <c r="X173" s="171"/>
      <c r="Y173" s="171"/>
      <c r="Z173" s="171"/>
    </row>
    <row r="174">
      <c r="A174" s="171"/>
      <c r="B174" s="171"/>
      <c r="C174" s="171"/>
      <c r="D174" s="171"/>
      <c r="E174" s="171"/>
      <c r="F174" s="171"/>
      <c r="G174" s="171"/>
      <c r="H174" s="171"/>
      <c r="I174" s="171"/>
      <c r="J174" s="171"/>
      <c r="K174" s="171"/>
      <c r="L174" s="171"/>
      <c r="M174" s="171"/>
      <c r="N174" s="171"/>
      <c r="O174" s="171"/>
      <c r="P174" s="171"/>
      <c r="Q174" s="171"/>
      <c r="R174" s="171"/>
      <c r="S174" s="171"/>
      <c r="T174" s="171"/>
      <c r="U174" s="171"/>
      <c r="V174" s="171"/>
      <c r="W174" s="171"/>
      <c r="X174" s="171"/>
      <c r="Y174" s="171"/>
      <c r="Z174" s="171"/>
    </row>
    <row r="175">
      <c r="A175" s="171"/>
      <c r="B175" s="171"/>
      <c r="C175" s="171"/>
      <c r="D175" s="171"/>
      <c r="E175" s="171"/>
      <c r="F175" s="171"/>
      <c r="G175" s="171"/>
      <c r="H175" s="171"/>
      <c r="I175" s="171"/>
      <c r="J175" s="171"/>
      <c r="K175" s="171"/>
      <c r="L175" s="171"/>
      <c r="M175" s="171"/>
      <c r="N175" s="171"/>
      <c r="O175" s="171"/>
      <c r="P175" s="171"/>
      <c r="Q175" s="171"/>
      <c r="R175" s="171"/>
      <c r="S175" s="171"/>
      <c r="T175" s="171"/>
      <c r="U175" s="171"/>
      <c r="V175" s="171"/>
      <c r="W175" s="171"/>
      <c r="X175" s="171"/>
      <c r="Y175" s="171"/>
      <c r="Z175" s="171"/>
    </row>
    <row r="176">
      <c r="A176" s="171"/>
      <c r="B176" s="171"/>
      <c r="C176" s="171"/>
      <c r="D176" s="171"/>
      <c r="E176" s="171"/>
      <c r="F176" s="171"/>
      <c r="G176" s="171"/>
      <c r="H176" s="171"/>
      <c r="I176" s="171"/>
      <c r="J176" s="171"/>
      <c r="K176" s="171"/>
      <c r="L176" s="171"/>
      <c r="M176" s="171"/>
      <c r="N176" s="171"/>
      <c r="O176" s="171"/>
      <c r="P176" s="171"/>
      <c r="Q176" s="171"/>
      <c r="R176" s="171"/>
      <c r="S176" s="171"/>
      <c r="T176" s="171"/>
      <c r="U176" s="171"/>
      <c r="V176" s="171"/>
      <c r="W176" s="171"/>
      <c r="X176" s="171"/>
      <c r="Y176" s="171"/>
      <c r="Z176" s="171"/>
    </row>
    <row r="177">
      <c r="A177" s="169"/>
      <c r="B177" s="171"/>
      <c r="C177" s="171"/>
      <c r="D177" s="171"/>
      <c r="E177" s="171"/>
      <c r="F177" s="171"/>
      <c r="G177" s="171"/>
      <c r="H177" s="171"/>
      <c r="I177" s="171"/>
      <c r="J177" s="171"/>
      <c r="K177" s="171"/>
      <c r="L177" s="171"/>
      <c r="M177" s="171"/>
      <c r="N177" s="171"/>
      <c r="O177" s="171"/>
      <c r="P177" s="171"/>
      <c r="Q177" s="171"/>
      <c r="R177" s="171"/>
      <c r="S177" s="171"/>
      <c r="T177" s="171"/>
      <c r="U177" s="171"/>
      <c r="V177" s="171"/>
      <c r="W177" s="171"/>
      <c r="X177" s="171"/>
      <c r="Y177" s="171"/>
      <c r="Z177" s="171"/>
    </row>
    <row r="178">
      <c r="A178" s="171"/>
      <c r="B178" s="171"/>
      <c r="C178" s="171"/>
      <c r="D178" s="171"/>
      <c r="E178" s="171"/>
      <c r="F178" s="171"/>
      <c r="G178" s="171"/>
      <c r="H178" s="171"/>
      <c r="I178" s="171"/>
      <c r="J178" s="171"/>
      <c r="K178" s="171"/>
      <c r="L178" s="171"/>
      <c r="M178" s="171"/>
      <c r="N178" s="171"/>
      <c r="O178" s="171"/>
      <c r="P178" s="171"/>
      <c r="Q178" s="171"/>
      <c r="R178" s="171"/>
      <c r="S178" s="171"/>
      <c r="T178" s="171"/>
      <c r="U178" s="171"/>
      <c r="V178" s="171"/>
      <c r="W178" s="171"/>
      <c r="X178" s="171"/>
      <c r="Y178" s="171"/>
      <c r="Z178" s="171"/>
    </row>
    <row r="179">
      <c r="A179" s="171"/>
      <c r="B179" s="171"/>
      <c r="C179" s="171"/>
      <c r="D179" s="171"/>
      <c r="E179" s="171"/>
      <c r="F179" s="171"/>
      <c r="G179" s="171"/>
      <c r="H179" s="171"/>
      <c r="I179" s="171"/>
      <c r="J179" s="171"/>
      <c r="K179" s="171"/>
      <c r="L179" s="171"/>
      <c r="M179" s="171"/>
      <c r="N179" s="171"/>
      <c r="O179" s="171"/>
      <c r="P179" s="171"/>
      <c r="Q179" s="171"/>
      <c r="R179" s="171"/>
      <c r="S179" s="171"/>
      <c r="T179" s="171"/>
      <c r="U179" s="171"/>
      <c r="V179" s="171"/>
      <c r="W179" s="171"/>
      <c r="X179" s="171"/>
      <c r="Y179" s="171"/>
      <c r="Z179" s="171"/>
    </row>
    <row r="180">
      <c r="A180" s="171"/>
      <c r="B180" s="171"/>
      <c r="C180" s="171"/>
      <c r="D180" s="171"/>
      <c r="E180" s="171"/>
      <c r="F180" s="171"/>
      <c r="G180" s="171"/>
      <c r="H180" s="171"/>
      <c r="I180" s="171"/>
      <c r="J180" s="171"/>
      <c r="K180" s="171"/>
      <c r="L180" s="171"/>
      <c r="M180" s="171"/>
      <c r="N180" s="171"/>
      <c r="O180" s="171"/>
      <c r="P180" s="171"/>
      <c r="Q180" s="171"/>
      <c r="R180" s="171"/>
      <c r="S180" s="171"/>
      <c r="T180" s="171"/>
      <c r="U180" s="171"/>
      <c r="V180" s="171"/>
      <c r="W180" s="171"/>
      <c r="X180" s="171"/>
      <c r="Y180" s="171"/>
      <c r="Z180" s="171"/>
    </row>
    <row r="181">
      <c r="A181" s="171"/>
      <c r="B181" s="171"/>
      <c r="C181" s="171"/>
      <c r="D181" s="171"/>
      <c r="E181" s="171"/>
      <c r="F181" s="171"/>
      <c r="G181" s="171"/>
      <c r="H181" s="171"/>
      <c r="I181" s="171"/>
      <c r="J181" s="171"/>
      <c r="K181" s="171"/>
      <c r="L181" s="171"/>
      <c r="M181" s="171"/>
      <c r="N181" s="171"/>
      <c r="O181" s="171"/>
      <c r="P181" s="171"/>
      <c r="Q181" s="171"/>
      <c r="R181" s="171"/>
      <c r="S181" s="171"/>
      <c r="T181" s="171"/>
      <c r="U181" s="171"/>
      <c r="V181" s="171"/>
      <c r="W181" s="171"/>
      <c r="X181" s="171"/>
      <c r="Y181" s="171"/>
      <c r="Z181" s="171"/>
    </row>
    <row r="182">
      <c r="A182" s="171"/>
      <c r="B182" s="171"/>
      <c r="C182" s="171"/>
      <c r="D182" s="171"/>
      <c r="E182" s="171"/>
      <c r="F182" s="171"/>
      <c r="G182" s="171"/>
      <c r="H182" s="171"/>
      <c r="I182" s="171"/>
      <c r="J182" s="171"/>
      <c r="K182" s="171"/>
      <c r="L182" s="171"/>
      <c r="M182" s="171"/>
      <c r="N182" s="171"/>
      <c r="O182" s="171"/>
      <c r="P182" s="171"/>
      <c r="Q182" s="171"/>
      <c r="R182" s="171"/>
      <c r="S182" s="171"/>
      <c r="T182" s="171"/>
      <c r="U182" s="171"/>
      <c r="V182" s="171"/>
      <c r="W182" s="171"/>
      <c r="X182" s="171"/>
      <c r="Y182" s="171"/>
      <c r="Z182" s="171"/>
    </row>
    <row r="183">
      <c r="A183" s="178"/>
      <c r="B183" s="171"/>
      <c r="C183" s="171"/>
      <c r="D183" s="171"/>
      <c r="E183" s="171"/>
      <c r="F183" s="171"/>
      <c r="G183" s="171"/>
      <c r="H183" s="171"/>
      <c r="I183" s="171"/>
      <c r="J183" s="171"/>
      <c r="K183" s="171"/>
      <c r="L183" s="171"/>
      <c r="M183" s="171"/>
      <c r="N183" s="171"/>
      <c r="O183" s="171"/>
      <c r="P183" s="171"/>
      <c r="Q183" s="171"/>
      <c r="R183" s="171"/>
      <c r="S183" s="171"/>
      <c r="T183" s="171"/>
      <c r="U183" s="171"/>
      <c r="V183" s="171"/>
      <c r="W183" s="171"/>
      <c r="X183" s="171"/>
      <c r="Y183" s="171"/>
      <c r="Z183" s="171"/>
    </row>
    <row r="184">
      <c r="A184" s="171"/>
      <c r="B184" s="171"/>
      <c r="C184" s="171"/>
      <c r="D184" s="171"/>
      <c r="E184" s="171"/>
      <c r="F184" s="171"/>
      <c r="G184" s="171"/>
      <c r="H184" s="171"/>
      <c r="I184" s="171"/>
      <c r="J184" s="171"/>
      <c r="K184" s="171"/>
      <c r="L184" s="171"/>
      <c r="M184" s="171"/>
      <c r="N184" s="171"/>
      <c r="O184" s="171"/>
      <c r="P184" s="171"/>
      <c r="Q184" s="171"/>
      <c r="R184" s="171"/>
      <c r="S184" s="171"/>
      <c r="T184" s="171"/>
      <c r="U184" s="171"/>
      <c r="V184" s="171"/>
      <c r="W184" s="171"/>
      <c r="X184" s="171"/>
      <c r="Y184" s="171"/>
      <c r="Z184" s="171"/>
    </row>
    <row r="185">
      <c r="A185" s="178"/>
      <c r="B185" s="171"/>
      <c r="C185" s="171"/>
      <c r="D185" s="171"/>
      <c r="E185" s="171"/>
      <c r="F185" s="171"/>
      <c r="G185" s="171"/>
      <c r="H185" s="171"/>
      <c r="I185" s="171"/>
      <c r="J185" s="171"/>
      <c r="K185" s="171"/>
      <c r="L185" s="171"/>
      <c r="M185" s="171"/>
      <c r="N185" s="171"/>
      <c r="O185" s="171"/>
      <c r="P185" s="171"/>
      <c r="Q185" s="171"/>
      <c r="R185" s="171"/>
      <c r="S185" s="171"/>
      <c r="T185" s="171"/>
      <c r="U185" s="171"/>
      <c r="V185" s="171"/>
      <c r="W185" s="171"/>
      <c r="X185" s="171"/>
      <c r="Y185" s="171"/>
      <c r="Z185" s="171"/>
    </row>
    <row r="186">
      <c r="A186" s="171"/>
      <c r="B186" s="171"/>
      <c r="C186" s="171"/>
      <c r="D186" s="171"/>
      <c r="E186" s="171"/>
      <c r="F186" s="171"/>
      <c r="G186" s="171"/>
      <c r="H186" s="171"/>
      <c r="I186" s="171"/>
      <c r="J186" s="171"/>
      <c r="K186" s="171"/>
      <c r="L186" s="171"/>
      <c r="M186" s="171"/>
      <c r="N186" s="171"/>
      <c r="O186" s="171"/>
      <c r="P186" s="171"/>
      <c r="Q186" s="171"/>
      <c r="R186" s="171"/>
      <c r="S186" s="171"/>
      <c r="T186" s="171"/>
      <c r="U186" s="171"/>
      <c r="V186" s="171"/>
      <c r="W186" s="171"/>
      <c r="X186" s="171"/>
      <c r="Y186" s="171"/>
      <c r="Z186" s="171"/>
    </row>
    <row r="187">
      <c r="A187" s="171"/>
      <c r="B187" s="171"/>
      <c r="C187" s="171"/>
      <c r="D187" s="171"/>
      <c r="E187" s="171"/>
      <c r="F187" s="171"/>
      <c r="G187" s="171"/>
      <c r="H187" s="171"/>
      <c r="I187" s="171"/>
      <c r="J187" s="171"/>
      <c r="K187" s="171"/>
      <c r="L187" s="171"/>
      <c r="M187" s="171"/>
      <c r="N187" s="171"/>
      <c r="O187" s="171"/>
      <c r="P187" s="171"/>
      <c r="Q187" s="171"/>
      <c r="R187" s="171"/>
      <c r="S187" s="171"/>
      <c r="T187" s="171"/>
      <c r="U187" s="171"/>
      <c r="V187" s="171"/>
      <c r="W187" s="171"/>
      <c r="X187" s="171"/>
      <c r="Y187" s="171"/>
      <c r="Z187" s="171"/>
    </row>
    <row r="188">
      <c r="A188" s="171"/>
      <c r="B188" s="171"/>
      <c r="C188" s="171"/>
      <c r="D188" s="171"/>
      <c r="E188" s="171"/>
      <c r="F188" s="171"/>
      <c r="G188" s="171"/>
      <c r="H188" s="171"/>
      <c r="I188" s="171"/>
      <c r="J188" s="171"/>
      <c r="K188" s="171"/>
      <c r="L188" s="171"/>
      <c r="M188" s="171"/>
      <c r="N188" s="171"/>
      <c r="O188" s="171"/>
      <c r="P188" s="171"/>
      <c r="Q188" s="171"/>
      <c r="R188" s="171"/>
      <c r="S188" s="171"/>
      <c r="T188" s="171"/>
      <c r="U188" s="171"/>
      <c r="V188" s="171"/>
      <c r="W188" s="171"/>
      <c r="X188" s="171"/>
      <c r="Y188" s="171"/>
      <c r="Z188" s="171"/>
    </row>
    <row r="189">
      <c r="A189" s="171"/>
      <c r="B189" s="171"/>
      <c r="C189" s="171"/>
      <c r="D189" s="171"/>
      <c r="E189" s="171"/>
      <c r="F189" s="171"/>
      <c r="G189" s="171"/>
      <c r="H189" s="171"/>
      <c r="I189" s="171"/>
      <c r="J189" s="171"/>
      <c r="K189" s="171"/>
      <c r="L189" s="171"/>
      <c r="M189" s="171"/>
      <c r="N189" s="171"/>
      <c r="O189" s="171"/>
      <c r="P189" s="171"/>
      <c r="Q189" s="171"/>
      <c r="R189" s="171"/>
      <c r="S189" s="171"/>
      <c r="T189" s="171"/>
      <c r="U189" s="171"/>
      <c r="V189" s="171"/>
      <c r="W189" s="171"/>
      <c r="X189" s="171"/>
      <c r="Y189" s="171"/>
      <c r="Z189" s="171"/>
    </row>
    <row r="190">
      <c r="A190" s="171"/>
      <c r="B190" s="171"/>
      <c r="C190" s="171"/>
      <c r="D190" s="171"/>
      <c r="E190" s="171"/>
      <c r="F190" s="171"/>
      <c r="G190" s="171"/>
      <c r="H190" s="171"/>
      <c r="I190" s="171"/>
      <c r="J190" s="171"/>
      <c r="K190" s="171"/>
      <c r="L190" s="171"/>
      <c r="M190" s="171"/>
      <c r="N190" s="171"/>
      <c r="O190" s="171"/>
      <c r="P190" s="171"/>
      <c r="Q190" s="171"/>
      <c r="R190" s="171"/>
      <c r="S190" s="171"/>
      <c r="T190" s="171"/>
      <c r="U190" s="171"/>
      <c r="V190" s="171"/>
      <c r="W190" s="171"/>
      <c r="X190" s="171"/>
      <c r="Y190" s="171"/>
      <c r="Z190" s="171"/>
    </row>
    <row r="191">
      <c r="A191" s="171"/>
      <c r="B191" s="171"/>
      <c r="C191" s="171"/>
      <c r="D191" s="171"/>
      <c r="E191" s="171"/>
      <c r="F191" s="171"/>
      <c r="G191" s="171"/>
      <c r="H191" s="171"/>
      <c r="I191" s="171"/>
      <c r="J191" s="171"/>
      <c r="K191" s="171"/>
      <c r="L191" s="171"/>
      <c r="M191" s="171"/>
      <c r="N191" s="171"/>
      <c r="O191" s="171"/>
      <c r="P191" s="171"/>
      <c r="Q191" s="171"/>
      <c r="R191" s="171"/>
      <c r="S191" s="171"/>
      <c r="T191" s="171"/>
      <c r="U191" s="171"/>
      <c r="V191" s="171"/>
      <c r="W191" s="171"/>
      <c r="X191" s="171"/>
      <c r="Y191" s="171"/>
      <c r="Z191" s="171"/>
    </row>
    <row r="192">
      <c r="A192" s="171"/>
      <c r="B192" s="171"/>
      <c r="C192" s="171"/>
      <c r="D192" s="171"/>
      <c r="E192" s="171"/>
      <c r="F192" s="171"/>
      <c r="G192" s="171"/>
      <c r="H192" s="171"/>
      <c r="I192" s="171"/>
      <c r="J192" s="171"/>
      <c r="K192" s="171"/>
      <c r="L192" s="171"/>
      <c r="M192" s="171"/>
      <c r="N192" s="171"/>
      <c r="O192" s="171"/>
      <c r="P192" s="171"/>
      <c r="Q192" s="171"/>
      <c r="R192" s="171"/>
      <c r="S192" s="171"/>
      <c r="T192" s="171"/>
      <c r="U192" s="171"/>
      <c r="V192" s="171"/>
      <c r="W192" s="171"/>
      <c r="X192" s="171"/>
      <c r="Y192" s="171"/>
      <c r="Z192" s="171"/>
    </row>
    <row r="193">
      <c r="A193" s="171"/>
      <c r="B193" s="171"/>
      <c r="C193" s="171"/>
      <c r="D193" s="171"/>
      <c r="E193" s="171"/>
      <c r="F193" s="171"/>
      <c r="G193" s="171"/>
      <c r="H193" s="171"/>
      <c r="I193" s="171"/>
      <c r="J193" s="171"/>
      <c r="K193" s="171"/>
      <c r="L193" s="171"/>
      <c r="M193" s="171"/>
      <c r="N193" s="171"/>
      <c r="O193" s="171"/>
      <c r="P193" s="171"/>
      <c r="Q193" s="171"/>
      <c r="R193" s="171"/>
      <c r="S193" s="171"/>
      <c r="T193" s="171"/>
      <c r="U193" s="171"/>
      <c r="V193" s="171"/>
      <c r="W193" s="171"/>
      <c r="X193" s="171"/>
      <c r="Y193" s="171"/>
      <c r="Z193" s="171"/>
    </row>
    <row r="194">
      <c r="A194" s="169"/>
      <c r="B194" s="171"/>
      <c r="C194" s="171"/>
      <c r="D194" s="171"/>
      <c r="E194" s="171"/>
      <c r="F194" s="171"/>
      <c r="G194" s="171"/>
      <c r="H194" s="171"/>
      <c r="I194" s="171"/>
      <c r="J194" s="171"/>
      <c r="K194" s="171"/>
      <c r="L194" s="171"/>
      <c r="M194" s="171"/>
      <c r="N194" s="171"/>
      <c r="O194" s="171"/>
      <c r="P194" s="171"/>
      <c r="Q194" s="171"/>
      <c r="R194" s="171"/>
      <c r="S194" s="171"/>
      <c r="T194" s="171"/>
      <c r="U194" s="171"/>
      <c r="V194" s="171"/>
      <c r="W194" s="171"/>
      <c r="X194" s="171"/>
      <c r="Y194" s="171"/>
      <c r="Z194" s="171"/>
    </row>
    <row r="195">
      <c r="A195" s="171"/>
      <c r="B195" s="171"/>
      <c r="C195" s="171"/>
      <c r="D195" s="171"/>
      <c r="E195" s="171"/>
      <c r="F195" s="171"/>
      <c r="G195" s="171"/>
      <c r="H195" s="171"/>
      <c r="I195" s="171"/>
      <c r="J195" s="171"/>
      <c r="K195" s="171"/>
      <c r="L195" s="171"/>
      <c r="M195" s="171"/>
      <c r="N195" s="171"/>
      <c r="O195" s="171"/>
      <c r="P195" s="171"/>
      <c r="Q195" s="171"/>
      <c r="R195" s="171"/>
      <c r="S195" s="171"/>
      <c r="T195" s="171"/>
      <c r="U195" s="171"/>
      <c r="V195" s="171"/>
      <c r="W195" s="171"/>
      <c r="X195" s="171"/>
      <c r="Y195" s="171"/>
      <c r="Z195" s="171"/>
    </row>
    <row r="196">
      <c r="A196" s="171"/>
      <c r="B196" s="171"/>
      <c r="C196" s="171"/>
      <c r="D196" s="171"/>
      <c r="E196" s="171"/>
      <c r="F196" s="171"/>
      <c r="G196" s="171"/>
      <c r="H196" s="171"/>
      <c r="I196" s="171"/>
      <c r="J196" s="171"/>
      <c r="K196" s="171"/>
      <c r="L196" s="171"/>
      <c r="M196" s="171"/>
      <c r="N196" s="171"/>
      <c r="O196" s="171"/>
      <c r="P196" s="171"/>
      <c r="Q196" s="171"/>
      <c r="R196" s="171"/>
      <c r="S196" s="171"/>
      <c r="T196" s="171"/>
      <c r="U196" s="171"/>
      <c r="V196" s="171"/>
      <c r="W196" s="171"/>
      <c r="X196" s="171"/>
      <c r="Y196" s="171"/>
      <c r="Z196" s="171"/>
    </row>
    <row r="197">
      <c r="A197" s="171"/>
      <c r="B197" s="171"/>
      <c r="C197" s="171"/>
      <c r="D197" s="171"/>
      <c r="E197" s="171"/>
      <c r="F197" s="171"/>
      <c r="G197" s="171"/>
      <c r="H197" s="171"/>
      <c r="I197" s="171"/>
      <c r="J197" s="171"/>
      <c r="K197" s="171"/>
      <c r="L197" s="171"/>
      <c r="M197" s="171"/>
      <c r="N197" s="171"/>
      <c r="O197" s="171"/>
      <c r="P197" s="171"/>
      <c r="Q197" s="171"/>
      <c r="R197" s="171"/>
      <c r="S197" s="171"/>
      <c r="T197" s="171"/>
      <c r="U197" s="171"/>
      <c r="V197" s="171"/>
      <c r="W197" s="171"/>
      <c r="X197" s="171"/>
      <c r="Y197" s="171"/>
      <c r="Z197" s="171"/>
    </row>
    <row r="198">
      <c r="A198" s="171"/>
      <c r="B198" s="171"/>
      <c r="C198" s="171"/>
      <c r="D198" s="171"/>
      <c r="E198" s="171"/>
      <c r="F198" s="171"/>
      <c r="G198" s="171"/>
      <c r="H198" s="171"/>
      <c r="I198" s="171"/>
      <c r="J198" s="171"/>
      <c r="K198" s="171"/>
      <c r="L198" s="171"/>
      <c r="M198" s="171"/>
      <c r="N198" s="171"/>
      <c r="O198" s="171"/>
      <c r="P198" s="171"/>
      <c r="Q198" s="171"/>
      <c r="R198" s="171"/>
      <c r="S198" s="171"/>
      <c r="T198" s="171"/>
      <c r="U198" s="171"/>
      <c r="V198" s="171"/>
      <c r="W198" s="171"/>
      <c r="X198" s="171"/>
      <c r="Y198" s="171"/>
      <c r="Z198" s="171"/>
    </row>
    <row r="199">
      <c r="A199" s="171"/>
      <c r="B199" s="171"/>
      <c r="C199" s="171"/>
      <c r="D199" s="171"/>
      <c r="E199" s="171"/>
      <c r="F199" s="171"/>
      <c r="G199" s="171"/>
      <c r="H199" s="171"/>
      <c r="I199" s="171"/>
      <c r="J199" s="171"/>
      <c r="K199" s="171"/>
      <c r="L199" s="171"/>
      <c r="M199" s="171"/>
      <c r="N199" s="171"/>
      <c r="O199" s="171"/>
      <c r="P199" s="171"/>
      <c r="Q199" s="171"/>
      <c r="R199" s="171"/>
      <c r="S199" s="171"/>
      <c r="T199" s="171"/>
      <c r="U199" s="171"/>
      <c r="V199" s="171"/>
      <c r="W199" s="171"/>
      <c r="X199" s="171"/>
      <c r="Y199" s="171"/>
      <c r="Z199" s="171"/>
    </row>
    <row r="200">
      <c r="A200" s="178"/>
      <c r="B200" s="171"/>
      <c r="C200" s="171"/>
      <c r="D200" s="171"/>
      <c r="E200" s="171"/>
      <c r="F200" s="171"/>
      <c r="G200" s="171"/>
      <c r="H200" s="171"/>
      <c r="I200" s="171"/>
      <c r="J200" s="171"/>
      <c r="K200" s="171"/>
      <c r="L200" s="171"/>
      <c r="M200" s="171"/>
      <c r="N200" s="171"/>
      <c r="O200" s="171"/>
      <c r="P200" s="171"/>
      <c r="Q200" s="171"/>
      <c r="R200" s="171"/>
      <c r="S200" s="171"/>
      <c r="T200" s="171"/>
      <c r="U200" s="171"/>
      <c r="V200" s="171"/>
      <c r="W200" s="171"/>
      <c r="X200" s="171"/>
      <c r="Y200" s="171"/>
      <c r="Z200" s="171"/>
    </row>
    <row r="201">
      <c r="A201" s="171"/>
      <c r="B201" s="171"/>
      <c r="C201" s="171"/>
      <c r="D201" s="171"/>
      <c r="E201" s="171"/>
      <c r="F201" s="171"/>
      <c r="G201" s="171"/>
      <c r="H201" s="171"/>
      <c r="I201" s="171"/>
      <c r="J201" s="171"/>
      <c r="K201" s="171"/>
      <c r="L201" s="171"/>
      <c r="M201" s="171"/>
      <c r="N201" s="171"/>
      <c r="O201" s="171"/>
      <c r="P201" s="171"/>
      <c r="Q201" s="171"/>
      <c r="R201" s="171"/>
      <c r="S201" s="171"/>
      <c r="T201" s="171"/>
      <c r="U201" s="171"/>
      <c r="V201" s="171"/>
      <c r="W201" s="171"/>
      <c r="X201" s="171"/>
      <c r="Y201" s="171"/>
      <c r="Z201" s="171"/>
    </row>
    <row r="202">
      <c r="A202" s="178"/>
      <c r="B202" s="171"/>
      <c r="C202" s="171"/>
      <c r="D202" s="171"/>
      <c r="E202" s="171"/>
      <c r="F202" s="171"/>
      <c r="G202" s="171"/>
      <c r="H202" s="171"/>
      <c r="I202" s="171"/>
      <c r="J202" s="171"/>
      <c r="K202" s="171"/>
      <c r="L202" s="171"/>
      <c r="M202" s="171"/>
      <c r="N202" s="171"/>
      <c r="O202" s="171"/>
      <c r="P202" s="171"/>
      <c r="Q202" s="171"/>
      <c r="R202" s="171"/>
      <c r="S202" s="171"/>
      <c r="T202" s="171"/>
      <c r="U202" s="171"/>
      <c r="V202" s="171"/>
      <c r="W202" s="171"/>
      <c r="X202" s="171"/>
      <c r="Y202" s="171"/>
      <c r="Z202" s="171"/>
    </row>
    <row r="203">
      <c r="A203" s="171"/>
      <c r="B203" s="171"/>
      <c r="C203" s="171"/>
      <c r="D203" s="171"/>
      <c r="E203" s="171"/>
      <c r="F203" s="171"/>
      <c r="G203" s="171"/>
      <c r="H203" s="171"/>
      <c r="I203" s="171"/>
      <c r="J203" s="171"/>
      <c r="K203" s="171"/>
      <c r="L203" s="171"/>
      <c r="M203" s="171"/>
      <c r="N203" s="171"/>
      <c r="O203" s="171"/>
      <c r="P203" s="171"/>
      <c r="Q203" s="171"/>
      <c r="R203" s="171"/>
      <c r="S203" s="171"/>
      <c r="T203" s="171"/>
      <c r="U203" s="171"/>
      <c r="V203" s="171"/>
      <c r="W203" s="171"/>
      <c r="X203" s="171"/>
      <c r="Y203" s="171"/>
      <c r="Z203" s="171"/>
    </row>
    <row r="204">
      <c r="A204" s="171"/>
      <c r="B204" s="171"/>
      <c r="C204" s="171"/>
      <c r="D204" s="171"/>
      <c r="E204" s="171"/>
      <c r="F204" s="171"/>
      <c r="G204" s="171"/>
      <c r="H204" s="171"/>
      <c r="I204" s="171"/>
      <c r="J204" s="171"/>
      <c r="K204" s="171"/>
      <c r="L204" s="171"/>
      <c r="M204" s="171"/>
      <c r="N204" s="171"/>
      <c r="O204" s="171"/>
      <c r="P204" s="171"/>
      <c r="Q204" s="171"/>
      <c r="R204" s="171"/>
      <c r="S204" s="171"/>
      <c r="T204" s="171"/>
      <c r="U204" s="171"/>
      <c r="V204" s="171"/>
      <c r="W204" s="171"/>
      <c r="X204" s="171"/>
      <c r="Y204" s="171"/>
      <c r="Z204" s="171"/>
    </row>
    <row r="205">
      <c r="A205" s="171"/>
      <c r="B205" s="171"/>
      <c r="C205" s="171"/>
      <c r="D205" s="171"/>
      <c r="E205" s="171"/>
      <c r="F205" s="171"/>
      <c r="G205" s="171"/>
      <c r="H205" s="171"/>
      <c r="I205" s="171"/>
      <c r="J205" s="171"/>
      <c r="K205" s="171"/>
      <c r="L205" s="171"/>
      <c r="M205" s="171"/>
      <c r="N205" s="171"/>
      <c r="O205" s="171"/>
      <c r="P205" s="171"/>
      <c r="Q205" s="171"/>
      <c r="R205" s="171"/>
      <c r="S205" s="171"/>
      <c r="T205" s="171"/>
      <c r="U205" s="171"/>
      <c r="V205" s="171"/>
      <c r="W205" s="171"/>
      <c r="X205" s="171"/>
      <c r="Y205" s="171"/>
      <c r="Z205" s="171"/>
    </row>
    <row r="206">
      <c r="A206" s="171"/>
      <c r="B206" s="171"/>
      <c r="C206" s="171"/>
      <c r="D206" s="171"/>
      <c r="E206" s="171"/>
      <c r="F206" s="171"/>
      <c r="G206" s="171"/>
      <c r="H206" s="171"/>
      <c r="I206" s="171"/>
      <c r="J206" s="171"/>
      <c r="K206" s="171"/>
      <c r="L206" s="171"/>
      <c r="M206" s="171"/>
      <c r="N206" s="171"/>
      <c r="O206" s="171"/>
      <c r="P206" s="171"/>
      <c r="Q206" s="171"/>
      <c r="R206" s="171"/>
      <c r="S206" s="171"/>
      <c r="T206" s="171"/>
      <c r="U206" s="171"/>
      <c r="V206" s="171"/>
      <c r="W206" s="171"/>
      <c r="X206" s="171"/>
      <c r="Y206" s="171"/>
      <c r="Z206" s="171"/>
    </row>
    <row r="207">
      <c r="A207" s="171"/>
      <c r="B207" s="171"/>
      <c r="C207" s="171"/>
      <c r="D207" s="171"/>
      <c r="E207" s="171"/>
      <c r="F207" s="171"/>
      <c r="G207" s="171"/>
      <c r="H207" s="171"/>
      <c r="I207" s="171"/>
      <c r="J207" s="171"/>
      <c r="K207" s="171"/>
      <c r="L207" s="171"/>
      <c r="M207" s="171"/>
      <c r="N207" s="171"/>
      <c r="O207" s="171"/>
      <c r="P207" s="171"/>
      <c r="Q207" s="171"/>
      <c r="R207" s="171"/>
      <c r="S207" s="171"/>
      <c r="T207" s="171"/>
      <c r="U207" s="171"/>
      <c r="V207" s="171"/>
      <c r="W207" s="171"/>
      <c r="X207" s="171"/>
      <c r="Y207" s="171"/>
      <c r="Z207" s="171"/>
    </row>
    <row r="208">
      <c r="A208" s="171"/>
      <c r="B208" s="171"/>
      <c r="C208" s="171"/>
      <c r="D208" s="171"/>
      <c r="E208" s="171"/>
      <c r="F208" s="171"/>
      <c r="G208" s="171"/>
      <c r="H208" s="171"/>
      <c r="I208" s="171"/>
      <c r="J208" s="171"/>
      <c r="K208" s="171"/>
      <c r="L208" s="171"/>
      <c r="M208" s="171"/>
      <c r="N208" s="171"/>
      <c r="O208" s="171"/>
      <c r="P208" s="171"/>
      <c r="Q208" s="171"/>
      <c r="R208" s="171"/>
      <c r="S208" s="171"/>
      <c r="T208" s="171"/>
      <c r="U208" s="171"/>
      <c r="V208" s="171"/>
      <c r="W208" s="171"/>
      <c r="X208" s="171"/>
      <c r="Y208" s="171"/>
      <c r="Z208" s="171"/>
    </row>
    <row r="209">
      <c r="A209" s="171"/>
      <c r="B209" s="171"/>
      <c r="C209" s="171"/>
      <c r="D209" s="171"/>
      <c r="E209" s="171"/>
      <c r="F209" s="171"/>
      <c r="G209" s="171"/>
      <c r="H209" s="171"/>
      <c r="I209" s="171"/>
      <c r="J209" s="171"/>
      <c r="K209" s="171"/>
      <c r="L209" s="171"/>
      <c r="M209" s="171"/>
      <c r="N209" s="171"/>
      <c r="O209" s="171"/>
      <c r="P209" s="171"/>
      <c r="Q209" s="171"/>
      <c r="R209" s="171"/>
      <c r="S209" s="171"/>
      <c r="T209" s="171"/>
      <c r="U209" s="171"/>
      <c r="V209" s="171"/>
      <c r="W209" s="171"/>
      <c r="X209" s="171"/>
      <c r="Y209" s="171"/>
      <c r="Z209" s="171"/>
    </row>
    <row r="210">
      <c r="A210" s="171"/>
      <c r="B210" s="171"/>
      <c r="C210" s="171"/>
      <c r="D210" s="171"/>
      <c r="E210" s="171"/>
      <c r="F210" s="171"/>
      <c r="G210" s="171"/>
      <c r="H210" s="171"/>
      <c r="I210" s="171"/>
      <c r="J210" s="171"/>
      <c r="K210" s="171"/>
      <c r="L210" s="171"/>
      <c r="M210" s="171"/>
      <c r="N210" s="171"/>
      <c r="O210" s="171"/>
      <c r="P210" s="171"/>
      <c r="Q210" s="171"/>
      <c r="R210" s="171"/>
      <c r="S210" s="171"/>
      <c r="T210" s="171"/>
      <c r="U210" s="171"/>
      <c r="V210" s="171"/>
      <c r="W210" s="171"/>
      <c r="X210" s="171"/>
      <c r="Y210" s="171"/>
      <c r="Z210" s="171"/>
    </row>
    <row r="211">
      <c r="A211" s="169"/>
      <c r="B211" s="171"/>
      <c r="C211" s="171"/>
      <c r="D211" s="171"/>
      <c r="E211" s="171"/>
      <c r="F211" s="171"/>
      <c r="G211" s="171"/>
      <c r="H211" s="171"/>
      <c r="I211" s="171"/>
      <c r="J211" s="171"/>
      <c r="K211" s="171"/>
      <c r="L211" s="171"/>
      <c r="M211" s="171"/>
      <c r="N211" s="171"/>
      <c r="O211" s="171"/>
      <c r="P211" s="171"/>
      <c r="Q211" s="171"/>
      <c r="R211" s="171"/>
      <c r="S211" s="171"/>
      <c r="T211" s="171"/>
      <c r="U211" s="171"/>
      <c r="V211" s="171"/>
      <c r="W211" s="171"/>
      <c r="X211" s="171"/>
      <c r="Y211" s="171"/>
      <c r="Z211" s="171"/>
    </row>
    <row r="212">
      <c r="A212" s="171"/>
      <c r="B212" s="171"/>
      <c r="C212" s="171"/>
      <c r="D212" s="171"/>
      <c r="E212" s="171"/>
      <c r="F212" s="171"/>
      <c r="G212" s="171"/>
      <c r="H212" s="171"/>
      <c r="I212" s="171"/>
      <c r="J212" s="171"/>
      <c r="K212" s="171"/>
      <c r="L212" s="171"/>
      <c r="M212" s="171"/>
      <c r="N212" s="171"/>
      <c r="O212" s="171"/>
      <c r="P212" s="171"/>
      <c r="Q212" s="171"/>
      <c r="R212" s="171"/>
      <c r="S212" s="171"/>
      <c r="T212" s="171"/>
      <c r="U212" s="171"/>
      <c r="V212" s="171"/>
      <c r="W212" s="171"/>
      <c r="X212" s="171"/>
      <c r="Y212" s="171"/>
      <c r="Z212" s="171"/>
    </row>
    <row r="213">
      <c r="A213" s="171"/>
      <c r="B213" s="171"/>
      <c r="C213" s="171"/>
      <c r="D213" s="171"/>
      <c r="E213" s="171"/>
      <c r="F213" s="171"/>
      <c r="G213" s="171"/>
      <c r="H213" s="171"/>
      <c r="I213" s="171"/>
      <c r="J213" s="171"/>
      <c r="K213" s="171"/>
      <c r="L213" s="171"/>
      <c r="M213" s="171"/>
      <c r="N213" s="171"/>
      <c r="O213" s="171"/>
      <c r="P213" s="171"/>
      <c r="Q213" s="171"/>
      <c r="R213" s="171"/>
      <c r="S213" s="171"/>
      <c r="T213" s="171"/>
      <c r="U213" s="171"/>
      <c r="V213" s="171"/>
      <c r="W213" s="171"/>
      <c r="X213" s="171"/>
      <c r="Y213" s="171"/>
      <c r="Z213" s="171"/>
    </row>
    <row r="214">
      <c r="A214" s="169"/>
      <c r="B214" s="171"/>
      <c r="C214" s="171"/>
      <c r="D214" s="171"/>
      <c r="E214" s="171"/>
      <c r="F214" s="171"/>
      <c r="G214" s="171"/>
      <c r="H214" s="171"/>
      <c r="I214" s="171"/>
      <c r="J214" s="171"/>
      <c r="K214" s="171"/>
      <c r="L214" s="171"/>
      <c r="M214" s="171"/>
      <c r="N214" s="171"/>
      <c r="O214" s="171"/>
      <c r="P214" s="171"/>
      <c r="Q214" s="171"/>
      <c r="R214" s="171"/>
      <c r="S214" s="171"/>
      <c r="T214" s="171"/>
      <c r="U214" s="171"/>
      <c r="V214" s="171"/>
      <c r="W214" s="171"/>
      <c r="X214" s="171"/>
      <c r="Y214" s="171"/>
      <c r="Z214" s="171"/>
    </row>
    <row r="215">
      <c r="A215" s="171"/>
      <c r="B215" s="171"/>
      <c r="C215" s="171"/>
      <c r="D215" s="171"/>
      <c r="E215" s="171"/>
      <c r="F215" s="171"/>
      <c r="G215" s="171"/>
      <c r="H215" s="171"/>
      <c r="I215" s="171"/>
      <c r="J215" s="171"/>
      <c r="K215" s="171"/>
      <c r="L215" s="171"/>
      <c r="M215" s="171"/>
      <c r="N215" s="171"/>
      <c r="O215" s="171"/>
      <c r="P215" s="171"/>
      <c r="Q215" s="171"/>
      <c r="R215" s="171"/>
      <c r="S215" s="171"/>
      <c r="T215" s="171"/>
      <c r="U215" s="171"/>
      <c r="V215" s="171"/>
      <c r="W215" s="171"/>
      <c r="X215" s="171"/>
      <c r="Y215" s="171"/>
      <c r="Z215" s="171"/>
    </row>
    <row r="216">
      <c r="A216" s="171"/>
      <c r="B216" s="171"/>
      <c r="C216" s="171"/>
      <c r="D216" s="171"/>
      <c r="E216" s="171"/>
      <c r="F216" s="171"/>
      <c r="G216" s="171"/>
      <c r="H216" s="171"/>
      <c r="I216" s="171"/>
      <c r="J216" s="171"/>
      <c r="K216" s="171"/>
      <c r="L216" s="171"/>
      <c r="M216" s="171"/>
      <c r="N216" s="171"/>
      <c r="O216" s="171"/>
      <c r="P216" s="171"/>
      <c r="Q216" s="171"/>
      <c r="R216" s="171"/>
      <c r="S216" s="171"/>
      <c r="T216" s="171"/>
      <c r="U216" s="171"/>
      <c r="V216" s="171"/>
      <c r="W216" s="171"/>
      <c r="X216" s="171"/>
      <c r="Y216" s="171"/>
      <c r="Z216" s="171"/>
    </row>
    <row r="217">
      <c r="A217" s="171"/>
      <c r="B217" s="171"/>
      <c r="C217" s="171"/>
      <c r="D217" s="171"/>
      <c r="E217" s="171"/>
      <c r="F217" s="171"/>
      <c r="G217" s="171"/>
      <c r="H217" s="171"/>
      <c r="I217" s="171"/>
      <c r="J217" s="171"/>
      <c r="K217" s="171"/>
      <c r="L217" s="171"/>
      <c r="M217" s="171"/>
      <c r="N217" s="171"/>
      <c r="O217" s="171"/>
      <c r="P217" s="171"/>
      <c r="Q217" s="171"/>
      <c r="R217" s="171"/>
      <c r="S217" s="171"/>
      <c r="T217" s="171"/>
      <c r="U217" s="171"/>
      <c r="V217" s="171"/>
      <c r="W217" s="171"/>
      <c r="X217" s="171"/>
      <c r="Y217" s="171"/>
      <c r="Z217" s="171"/>
    </row>
    <row r="218">
      <c r="A218" s="171"/>
      <c r="B218" s="171"/>
      <c r="C218" s="171"/>
      <c r="D218" s="171"/>
      <c r="E218" s="171"/>
      <c r="F218" s="171"/>
      <c r="G218" s="171"/>
      <c r="H218" s="171"/>
      <c r="I218" s="171"/>
      <c r="J218" s="171"/>
      <c r="K218" s="171"/>
      <c r="L218" s="171"/>
      <c r="M218" s="171"/>
      <c r="N218" s="171"/>
      <c r="O218" s="171"/>
      <c r="P218" s="171"/>
      <c r="Q218" s="171"/>
      <c r="R218" s="171"/>
      <c r="S218" s="171"/>
      <c r="T218" s="171"/>
      <c r="U218" s="171"/>
      <c r="V218" s="171"/>
      <c r="W218" s="171"/>
      <c r="X218" s="171"/>
      <c r="Y218" s="171"/>
      <c r="Z218" s="171"/>
    </row>
    <row r="219">
      <c r="A219" s="171"/>
      <c r="B219" s="171"/>
      <c r="C219" s="171"/>
      <c r="D219" s="171"/>
      <c r="E219" s="171"/>
      <c r="F219" s="171"/>
      <c r="G219" s="171"/>
      <c r="H219" s="171"/>
      <c r="I219" s="171"/>
      <c r="J219" s="171"/>
      <c r="K219" s="171"/>
      <c r="L219" s="171"/>
      <c r="M219" s="171"/>
      <c r="N219" s="171"/>
      <c r="O219" s="171"/>
      <c r="P219" s="171"/>
      <c r="Q219" s="171"/>
      <c r="R219" s="171"/>
      <c r="S219" s="171"/>
      <c r="T219" s="171"/>
      <c r="U219" s="171"/>
      <c r="V219" s="171"/>
      <c r="W219" s="171"/>
      <c r="X219" s="171"/>
      <c r="Y219" s="171"/>
      <c r="Z219" s="171"/>
    </row>
    <row r="220">
      <c r="A220" s="178"/>
      <c r="B220" s="171"/>
      <c r="C220" s="171"/>
      <c r="D220" s="171"/>
      <c r="E220" s="171"/>
      <c r="F220" s="171"/>
      <c r="G220" s="171"/>
      <c r="H220" s="171"/>
      <c r="I220" s="171"/>
      <c r="J220" s="171"/>
      <c r="K220" s="171"/>
      <c r="L220" s="171"/>
      <c r="M220" s="171"/>
      <c r="N220" s="171"/>
      <c r="O220" s="171"/>
      <c r="P220" s="171"/>
      <c r="Q220" s="171"/>
      <c r="R220" s="171"/>
      <c r="S220" s="171"/>
      <c r="T220" s="171"/>
      <c r="U220" s="171"/>
      <c r="V220" s="171"/>
      <c r="W220" s="171"/>
      <c r="X220" s="171"/>
      <c r="Y220" s="171"/>
      <c r="Z220" s="171"/>
    </row>
    <row r="221">
      <c r="A221" s="171"/>
      <c r="B221" s="171"/>
      <c r="C221" s="171"/>
      <c r="D221" s="171"/>
      <c r="E221" s="171"/>
      <c r="F221" s="171"/>
      <c r="G221" s="171"/>
      <c r="H221" s="171"/>
      <c r="I221" s="171"/>
      <c r="J221" s="171"/>
      <c r="K221" s="171"/>
      <c r="L221" s="171"/>
      <c r="M221" s="171"/>
      <c r="N221" s="171"/>
      <c r="O221" s="171"/>
      <c r="P221" s="171"/>
      <c r="Q221" s="171"/>
      <c r="R221" s="171"/>
      <c r="S221" s="171"/>
      <c r="T221" s="171"/>
      <c r="U221" s="171"/>
      <c r="V221" s="171"/>
      <c r="W221" s="171"/>
      <c r="X221" s="171"/>
      <c r="Y221" s="171"/>
      <c r="Z221" s="171"/>
    </row>
    <row r="222">
      <c r="A222" s="178"/>
      <c r="B222" s="171"/>
      <c r="C222" s="171"/>
      <c r="D222" s="171"/>
      <c r="E222" s="171"/>
      <c r="F222" s="171"/>
      <c r="G222" s="171"/>
      <c r="H222" s="171"/>
      <c r="I222" s="171"/>
      <c r="J222" s="171"/>
      <c r="K222" s="171"/>
      <c r="L222" s="171"/>
      <c r="M222" s="171"/>
      <c r="N222" s="171"/>
      <c r="O222" s="171"/>
      <c r="P222" s="171"/>
      <c r="Q222" s="171"/>
      <c r="R222" s="171"/>
      <c r="S222" s="171"/>
      <c r="T222" s="171"/>
      <c r="U222" s="171"/>
      <c r="V222" s="171"/>
      <c r="W222" s="171"/>
      <c r="X222" s="171"/>
      <c r="Y222" s="171"/>
      <c r="Z222" s="171"/>
    </row>
    <row r="223">
      <c r="A223" s="171"/>
      <c r="B223" s="171"/>
      <c r="C223" s="171"/>
      <c r="D223" s="171"/>
      <c r="E223" s="171"/>
      <c r="F223" s="171"/>
      <c r="G223" s="171"/>
      <c r="H223" s="171"/>
      <c r="I223" s="171"/>
      <c r="J223" s="171"/>
      <c r="K223" s="171"/>
      <c r="L223" s="171"/>
      <c r="M223" s="171"/>
      <c r="N223" s="171"/>
      <c r="O223" s="171"/>
      <c r="P223" s="171"/>
      <c r="Q223" s="171"/>
      <c r="R223" s="171"/>
      <c r="S223" s="171"/>
      <c r="T223" s="171"/>
      <c r="U223" s="171"/>
      <c r="V223" s="171"/>
      <c r="W223" s="171"/>
      <c r="X223" s="171"/>
      <c r="Y223" s="171"/>
      <c r="Z223" s="171"/>
    </row>
    <row r="224">
      <c r="A224" s="171"/>
      <c r="B224" s="171"/>
      <c r="C224" s="171"/>
      <c r="D224" s="171"/>
      <c r="E224" s="171"/>
      <c r="F224" s="171"/>
      <c r="G224" s="171"/>
      <c r="H224" s="171"/>
      <c r="I224" s="171"/>
      <c r="J224" s="171"/>
      <c r="K224" s="171"/>
      <c r="L224" s="171"/>
      <c r="M224" s="171"/>
      <c r="N224" s="171"/>
      <c r="O224" s="171"/>
      <c r="P224" s="171"/>
      <c r="Q224" s="171"/>
      <c r="R224" s="171"/>
      <c r="S224" s="171"/>
      <c r="T224" s="171"/>
      <c r="U224" s="171"/>
      <c r="V224" s="171"/>
      <c r="W224" s="171"/>
      <c r="X224" s="171"/>
      <c r="Y224" s="171"/>
      <c r="Z224" s="171"/>
    </row>
    <row r="225">
      <c r="A225" s="171"/>
      <c r="B225" s="171"/>
      <c r="C225" s="171"/>
      <c r="D225" s="171"/>
      <c r="E225" s="171"/>
      <c r="F225" s="171"/>
      <c r="G225" s="171"/>
      <c r="H225" s="171"/>
      <c r="I225" s="171"/>
      <c r="J225" s="171"/>
      <c r="K225" s="171"/>
      <c r="L225" s="171"/>
      <c r="M225" s="171"/>
      <c r="N225" s="171"/>
      <c r="O225" s="171"/>
      <c r="P225" s="171"/>
      <c r="Q225" s="171"/>
      <c r="R225" s="171"/>
      <c r="S225" s="171"/>
      <c r="T225" s="171"/>
      <c r="U225" s="171"/>
      <c r="V225" s="171"/>
      <c r="W225" s="171"/>
      <c r="X225" s="171"/>
      <c r="Y225" s="171"/>
      <c r="Z225" s="171"/>
    </row>
    <row r="226">
      <c r="A226" s="171"/>
      <c r="B226" s="171"/>
      <c r="C226" s="171"/>
      <c r="D226" s="171"/>
      <c r="E226" s="171"/>
      <c r="F226" s="171"/>
      <c r="G226" s="171"/>
      <c r="H226" s="171"/>
      <c r="I226" s="171"/>
      <c r="J226" s="171"/>
      <c r="K226" s="171"/>
      <c r="L226" s="171"/>
      <c r="M226" s="171"/>
      <c r="N226" s="171"/>
      <c r="O226" s="171"/>
      <c r="P226" s="171"/>
      <c r="Q226" s="171"/>
      <c r="R226" s="171"/>
      <c r="S226" s="171"/>
      <c r="T226" s="171"/>
      <c r="U226" s="171"/>
      <c r="V226" s="171"/>
      <c r="W226" s="171"/>
      <c r="X226" s="171"/>
      <c r="Y226" s="171"/>
      <c r="Z226" s="171"/>
    </row>
    <row r="227">
      <c r="A227" s="171"/>
      <c r="B227" s="171"/>
      <c r="C227" s="171"/>
      <c r="D227" s="171"/>
      <c r="E227" s="171"/>
      <c r="F227" s="171"/>
      <c r="G227" s="171"/>
      <c r="H227" s="171"/>
      <c r="I227" s="171"/>
      <c r="J227" s="171"/>
      <c r="K227" s="171"/>
      <c r="L227" s="171"/>
      <c r="M227" s="171"/>
      <c r="N227" s="171"/>
      <c r="O227" s="171"/>
      <c r="P227" s="171"/>
      <c r="Q227" s="171"/>
      <c r="R227" s="171"/>
      <c r="S227" s="171"/>
      <c r="T227" s="171"/>
      <c r="U227" s="171"/>
      <c r="V227" s="171"/>
      <c r="W227" s="171"/>
      <c r="X227" s="171"/>
      <c r="Y227" s="171"/>
      <c r="Z227" s="171"/>
    </row>
    <row r="228">
      <c r="A228" s="171"/>
      <c r="B228" s="171"/>
      <c r="C228" s="171"/>
      <c r="D228" s="171"/>
      <c r="E228" s="171"/>
      <c r="F228" s="171"/>
      <c r="G228" s="171"/>
      <c r="H228" s="171"/>
      <c r="I228" s="171"/>
      <c r="J228" s="171"/>
      <c r="K228" s="171"/>
      <c r="L228" s="171"/>
      <c r="M228" s="171"/>
      <c r="N228" s="171"/>
      <c r="O228" s="171"/>
      <c r="P228" s="171"/>
      <c r="Q228" s="171"/>
      <c r="R228" s="171"/>
      <c r="S228" s="171"/>
      <c r="T228" s="171"/>
      <c r="U228" s="171"/>
      <c r="V228" s="171"/>
      <c r="W228" s="171"/>
      <c r="X228" s="171"/>
      <c r="Y228" s="171"/>
      <c r="Z228" s="171"/>
    </row>
    <row r="229">
      <c r="A229" s="171"/>
      <c r="B229" s="171"/>
      <c r="C229" s="171"/>
      <c r="D229" s="171"/>
      <c r="E229" s="171"/>
      <c r="F229" s="171"/>
      <c r="G229" s="171"/>
      <c r="H229" s="171"/>
      <c r="I229" s="171"/>
      <c r="J229" s="171"/>
      <c r="K229" s="171"/>
      <c r="L229" s="171"/>
      <c r="M229" s="171"/>
      <c r="N229" s="171"/>
      <c r="O229" s="171"/>
      <c r="P229" s="171"/>
      <c r="Q229" s="171"/>
      <c r="R229" s="171"/>
      <c r="S229" s="171"/>
      <c r="T229" s="171"/>
      <c r="U229" s="171"/>
      <c r="V229" s="171"/>
      <c r="W229" s="171"/>
      <c r="X229" s="171"/>
      <c r="Y229" s="171"/>
      <c r="Z229" s="171"/>
    </row>
    <row r="230">
      <c r="A230" s="171"/>
      <c r="B230" s="171"/>
      <c r="C230" s="171"/>
      <c r="D230" s="171"/>
      <c r="E230" s="171"/>
      <c r="F230" s="171"/>
      <c r="G230" s="171"/>
      <c r="H230" s="171"/>
      <c r="I230" s="171"/>
      <c r="J230" s="171"/>
      <c r="K230" s="171"/>
      <c r="L230" s="171"/>
      <c r="M230" s="171"/>
      <c r="N230" s="171"/>
      <c r="O230" s="171"/>
      <c r="P230" s="171"/>
      <c r="Q230" s="171"/>
      <c r="R230" s="171"/>
      <c r="S230" s="171"/>
      <c r="T230" s="171"/>
      <c r="U230" s="171"/>
      <c r="V230" s="171"/>
      <c r="W230" s="171"/>
      <c r="X230" s="171"/>
      <c r="Y230" s="171"/>
      <c r="Z230" s="171"/>
    </row>
    <row r="231">
      <c r="A231" s="171"/>
      <c r="B231" s="171"/>
      <c r="C231" s="171"/>
      <c r="D231" s="171"/>
      <c r="E231" s="171"/>
      <c r="F231" s="171"/>
      <c r="G231" s="171"/>
      <c r="H231" s="171"/>
      <c r="I231" s="171"/>
      <c r="J231" s="171"/>
      <c r="K231" s="171"/>
      <c r="L231" s="171"/>
      <c r="M231" s="171"/>
      <c r="N231" s="171"/>
      <c r="O231" s="171"/>
      <c r="P231" s="171"/>
      <c r="Q231" s="171"/>
      <c r="R231" s="171"/>
      <c r="S231" s="171"/>
      <c r="T231" s="171"/>
      <c r="U231" s="171"/>
      <c r="V231" s="171"/>
      <c r="W231" s="171"/>
      <c r="X231" s="171"/>
      <c r="Y231" s="171"/>
      <c r="Z231" s="171"/>
    </row>
    <row r="232">
      <c r="A232" s="171"/>
      <c r="B232" s="171"/>
      <c r="C232" s="171"/>
      <c r="D232" s="171"/>
      <c r="E232" s="171"/>
      <c r="F232" s="171"/>
      <c r="G232" s="171"/>
      <c r="H232" s="171"/>
      <c r="I232" s="171"/>
      <c r="J232" s="171"/>
      <c r="K232" s="171"/>
      <c r="L232" s="171"/>
      <c r="M232" s="171"/>
      <c r="N232" s="171"/>
      <c r="O232" s="171"/>
      <c r="P232" s="171"/>
      <c r="Q232" s="171"/>
      <c r="R232" s="171"/>
      <c r="S232" s="171"/>
      <c r="T232" s="171"/>
      <c r="U232" s="171"/>
      <c r="V232" s="171"/>
      <c r="W232" s="171"/>
      <c r="X232" s="171"/>
      <c r="Y232" s="171"/>
      <c r="Z232" s="171"/>
    </row>
    <row r="233">
      <c r="A233" s="171"/>
      <c r="B233" s="171"/>
      <c r="C233" s="171"/>
      <c r="D233" s="171"/>
      <c r="E233" s="171"/>
      <c r="F233" s="171"/>
      <c r="G233" s="171"/>
      <c r="H233" s="171"/>
      <c r="I233" s="171"/>
      <c r="J233" s="171"/>
      <c r="K233" s="171"/>
      <c r="L233" s="171"/>
      <c r="M233" s="171"/>
      <c r="N233" s="171"/>
      <c r="O233" s="171"/>
      <c r="P233" s="171"/>
      <c r="Q233" s="171"/>
      <c r="R233" s="171"/>
      <c r="S233" s="171"/>
      <c r="T233" s="171"/>
      <c r="U233" s="171"/>
      <c r="V233" s="171"/>
      <c r="W233" s="171"/>
      <c r="X233" s="171"/>
      <c r="Y233" s="171"/>
      <c r="Z233" s="171"/>
    </row>
    <row r="234">
      <c r="A234" s="171"/>
      <c r="B234" s="171"/>
      <c r="C234" s="171"/>
      <c r="D234" s="171"/>
      <c r="E234" s="171"/>
      <c r="F234" s="171"/>
      <c r="G234" s="171"/>
      <c r="H234" s="171"/>
      <c r="I234" s="171"/>
      <c r="J234" s="171"/>
      <c r="K234" s="171"/>
      <c r="L234" s="171"/>
      <c r="M234" s="171"/>
      <c r="N234" s="171"/>
      <c r="O234" s="171"/>
      <c r="P234" s="171"/>
      <c r="Q234" s="171"/>
      <c r="R234" s="171"/>
      <c r="S234" s="171"/>
      <c r="T234" s="171"/>
      <c r="U234" s="171"/>
      <c r="V234" s="171"/>
      <c r="W234" s="171"/>
      <c r="X234" s="171"/>
      <c r="Y234" s="171"/>
      <c r="Z234" s="171"/>
    </row>
    <row r="235">
      <c r="A235" s="171"/>
      <c r="B235" s="171"/>
      <c r="C235" s="171"/>
      <c r="D235" s="171"/>
      <c r="E235" s="171"/>
      <c r="F235" s="171"/>
      <c r="G235" s="171"/>
      <c r="H235" s="171"/>
      <c r="I235" s="171"/>
      <c r="J235" s="171"/>
      <c r="K235" s="171"/>
      <c r="L235" s="171"/>
      <c r="M235" s="171"/>
      <c r="N235" s="171"/>
      <c r="O235" s="171"/>
      <c r="P235" s="171"/>
      <c r="Q235" s="171"/>
      <c r="R235" s="171"/>
      <c r="S235" s="171"/>
      <c r="T235" s="171"/>
      <c r="U235" s="171"/>
      <c r="V235" s="171"/>
      <c r="W235" s="171"/>
      <c r="X235" s="171"/>
      <c r="Y235" s="171"/>
      <c r="Z235" s="171"/>
    </row>
    <row r="236">
      <c r="A236" s="171"/>
      <c r="B236" s="171"/>
      <c r="C236" s="171"/>
      <c r="D236" s="171"/>
      <c r="E236" s="171"/>
      <c r="F236" s="171"/>
      <c r="G236" s="171"/>
      <c r="H236" s="171"/>
      <c r="I236" s="171"/>
      <c r="J236" s="171"/>
      <c r="K236" s="171"/>
      <c r="L236" s="171"/>
      <c r="M236" s="171"/>
      <c r="N236" s="171"/>
      <c r="O236" s="171"/>
      <c r="P236" s="171"/>
      <c r="Q236" s="171"/>
      <c r="R236" s="171"/>
      <c r="S236" s="171"/>
      <c r="T236" s="171"/>
      <c r="U236" s="171"/>
      <c r="V236" s="171"/>
      <c r="W236" s="171"/>
      <c r="X236" s="171"/>
      <c r="Y236" s="171"/>
      <c r="Z236" s="171"/>
    </row>
    <row r="237">
      <c r="A237" s="171"/>
      <c r="B237" s="171"/>
      <c r="C237" s="171"/>
      <c r="D237" s="171"/>
      <c r="E237" s="171"/>
      <c r="F237" s="171"/>
      <c r="G237" s="171"/>
      <c r="H237" s="171"/>
      <c r="I237" s="171"/>
      <c r="J237" s="171"/>
      <c r="K237" s="171"/>
      <c r="L237" s="171"/>
      <c r="M237" s="171"/>
      <c r="N237" s="171"/>
      <c r="O237" s="171"/>
      <c r="P237" s="171"/>
      <c r="Q237" s="171"/>
      <c r="R237" s="171"/>
      <c r="S237" s="171"/>
      <c r="T237" s="171"/>
      <c r="U237" s="171"/>
      <c r="V237" s="171"/>
      <c r="W237" s="171"/>
      <c r="X237" s="171"/>
      <c r="Y237" s="171"/>
      <c r="Z237" s="171"/>
    </row>
    <row r="238">
      <c r="A238" s="171"/>
      <c r="B238" s="171"/>
      <c r="C238" s="171"/>
      <c r="D238" s="171"/>
      <c r="E238" s="171"/>
      <c r="F238" s="171"/>
      <c r="G238" s="171"/>
      <c r="H238" s="171"/>
      <c r="I238" s="171"/>
      <c r="J238" s="171"/>
      <c r="K238" s="171"/>
      <c r="L238" s="171"/>
      <c r="M238" s="171"/>
      <c r="N238" s="171"/>
      <c r="O238" s="171"/>
      <c r="P238" s="171"/>
      <c r="Q238" s="171"/>
      <c r="R238" s="171"/>
      <c r="S238" s="171"/>
      <c r="T238" s="171"/>
      <c r="U238" s="171"/>
      <c r="V238" s="171"/>
      <c r="W238" s="171"/>
      <c r="X238" s="171"/>
      <c r="Y238" s="171"/>
      <c r="Z238" s="171"/>
    </row>
    <row r="239">
      <c r="A239" s="171"/>
      <c r="B239" s="171"/>
      <c r="C239" s="171"/>
      <c r="D239" s="171"/>
      <c r="E239" s="171"/>
      <c r="F239" s="171"/>
      <c r="G239" s="171"/>
      <c r="H239" s="171"/>
      <c r="I239" s="171"/>
      <c r="J239" s="171"/>
      <c r="K239" s="171"/>
      <c r="L239" s="171"/>
      <c r="M239" s="171"/>
      <c r="N239" s="171"/>
      <c r="O239" s="171"/>
      <c r="P239" s="171"/>
      <c r="Q239" s="171"/>
      <c r="R239" s="171"/>
      <c r="S239" s="171"/>
      <c r="T239" s="171"/>
      <c r="U239" s="171"/>
      <c r="V239" s="171"/>
      <c r="W239" s="171"/>
      <c r="X239" s="171"/>
      <c r="Y239" s="171"/>
      <c r="Z239" s="171"/>
    </row>
    <row r="240">
      <c r="A240" s="171"/>
      <c r="B240" s="171"/>
      <c r="C240" s="171"/>
      <c r="D240" s="171"/>
      <c r="E240" s="171"/>
      <c r="F240" s="171"/>
      <c r="G240" s="171"/>
      <c r="H240" s="171"/>
      <c r="I240" s="171"/>
      <c r="J240" s="171"/>
      <c r="K240" s="171"/>
      <c r="L240" s="171"/>
      <c r="M240" s="171"/>
      <c r="N240" s="171"/>
      <c r="O240" s="171"/>
      <c r="P240" s="171"/>
      <c r="Q240" s="171"/>
      <c r="R240" s="171"/>
      <c r="S240" s="171"/>
      <c r="T240" s="171"/>
      <c r="U240" s="171"/>
      <c r="V240" s="171"/>
      <c r="W240" s="171"/>
      <c r="X240" s="171"/>
      <c r="Y240" s="171"/>
      <c r="Z240" s="171"/>
    </row>
    <row r="241">
      <c r="A241" s="171"/>
      <c r="B241" s="171"/>
      <c r="C241" s="171"/>
      <c r="D241" s="171"/>
      <c r="E241" s="171"/>
      <c r="F241" s="171"/>
      <c r="G241" s="171"/>
      <c r="H241" s="171"/>
      <c r="I241" s="171"/>
      <c r="J241" s="171"/>
      <c r="K241" s="171"/>
      <c r="L241" s="171"/>
      <c r="M241" s="171"/>
      <c r="N241" s="171"/>
      <c r="O241" s="171"/>
      <c r="P241" s="171"/>
      <c r="Q241" s="171"/>
      <c r="R241" s="171"/>
      <c r="S241" s="171"/>
      <c r="T241" s="171"/>
      <c r="U241" s="171"/>
      <c r="V241" s="171"/>
      <c r="W241" s="171"/>
      <c r="X241" s="171"/>
      <c r="Y241" s="171"/>
      <c r="Z241" s="171"/>
    </row>
    <row r="242">
      <c r="A242" s="171"/>
      <c r="B242" s="171"/>
      <c r="C242" s="171"/>
      <c r="D242" s="171"/>
      <c r="E242" s="171"/>
      <c r="F242" s="171"/>
      <c r="G242" s="171"/>
      <c r="H242" s="171"/>
      <c r="I242" s="171"/>
      <c r="J242" s="171"/>
      <c r="K242" s="171"/>
      <c r="L242" s="171"/>
      <c r="M242" s="171"/>
      <c r="N242" s="171"/>
      <c r="O242" s="171"/>
      <c r="P242" s="171"/>
      <c r="Q242" s="171"/>
      <c r="R242" s="171"/>
      <c r="S242" s="171"/>
      <c r="T242" s="171"/>
      <c r="U242" s="171"/>
      <c r="V242" s="171"/>
      <c r="W242" s="171"/>
      <c r="X242" s="171"/>
      <c r="Y242" s="171"/>
      <c r="Z242" s="171"/>
    </row>
    <row r="243">
      <c r="A243" s="171"/>
      <c r="B243" s="171"/>
      <c r="C243" s="171"/>
      <c r="D243" s="171"/>
      <c r="E243" s="171"/>
      <c r="F243" s="171"/>
      <c r="G243" s="171"/>
      <c r="H243" s="171"/>
      <c r="I243" s="171"/>
      <c r="J243" s="171"/>
      <c r="K243" s="171"/>
      <c r="L243" s="171"/>
      <c r="M243" s="171"/>
      <c r="N243" s="171"/>
      <c r="O243" s="171"/>
      <c r="P243" s="171"/>
      <c r="Q243" s="171"/>
      <c r="R243" s="171"/>
      <c r="S243" s="171"/>
      <c r="T243" s="171"/>
      <c r="U243" s="171"/>
      <c r="V243" s="171"/>
      <c r="W243" s="171"/>
      <c r="X243" s="171"/>
      <c r="Y243" s="171"/>
      <c r="Z243" s="171"/>
    </row>
    <row r="244">
      <c r="A244" s="171"/>
      <c r="B244" s="171"/>
      <c r="C244" s="171"/>
      <c r="D244" s="171"/>
      <c r="E244" s="171"/>
      <c r="F244" s="171"/>
      <c r="G244" s="171"/>
      <c r="H244" s="171"/>
      <c r="I244" s="171"/>
      <c r="J244" s="171"/>
      <c r="K244" s="171"/>
      <c r="L244" s="171"/>
      <c r="M244" s="171"/>
      <c r="N244" s="171"/>
      <c r="O244" s="171"/>
      <c r="P244" s="171"/>
      <c r="Q244" s="171"/>
      <c r="R244" s="171"/>
      <c r="S244" s="171"/>
      <c r="T244" s="171"/>
      <c r="U244" s="171"/>
      <c r="V244" s="171"/>
      <c r="W244" s="171"/>
      <c r="X244" s="171"/>
      <c r="Y244" s="171"/>
      <c r="Z244" s="171"/>
    </row>
    <row r="245">
      <c r="A245" s="171"/>
      <c r="B245" s="171"/>
      <c r="C245" s="171"/>
      <c r="D245" s="171"/>
      <c r="E245" s="171"/>
      <c r="F245" s="171"/>
      <c r="G245" s="171"/>
      <c r="H245" s="171"/>
      <c r="I245" s="171"/>
      <c r="J245" s="171"/>
      <c r="K245" s="171"/>
      <c r="L245" s="171"/>
      <c r="M245" s="171"/>
      <c r="N245" s="171"/>
      <c r="O245" s="171"/>
      <c r="P245" s="171"/>
      <c r="Q245" s="171"/>
      <c r="R245" s="171"/>
      <c r="S245" s="171"/>
      <c r="T245" s="171"/>
      <c r="U245" s="171"/>
      <c r="V245" s="171"/>
      <c r="W245" s="171"/>
      <c r="X245" s="171"/>
      <c r="Y245" s="171"/>
      <c r="Z245" s="171"/>
    </row>
    <row r="246">
      <c r="A246" s="171"/>
      <c r="B246" s="171"/>
      <c r="C246" s="171"/>
      <c r="D246" s="171"/>
      <c r="E246" s="171"/>
      <c r="F246" s="171"/>
      <c r="G246" s="171"/>
      <c r="H246" s="171"/>
      <c r="I246" s="171"/>
      <c r="J246" s="171"/>
      <c r="K246" s="171"/>
      <c r="L246" s="171"/>
      <c r="M246" s="171"/>
      <c r="N246" s="171"/>
      <c r="O246" s="171"/>
      <c r="P246" s="171"/>
      <c r="Q246" s="171"/>
      <c r="R246" s="171"/>
      <c r="S246" s="171"/>
      <c r="T246" s="171"/>
      <c r="U246" s="171"/>
      <c r="V246" s="171"/>
      <c r="W246" s="171"/>
      <c r="X246" s="171"/>
      <c r="Y246" s="171"/>
      <c r="Z246" s="171"/>
    </row>
    <row r="247">
      <c r="A247" s="171"/>
      <c r="B247" s="171"/>
      <c r="C247" s="171"/>
      <c r="D247" s="171"/>
      <c r="E247" s="171"/>
      <c r="F247" s="171"/>
      <c r="G247" s="171"/>
      <c r="H247" s="171"/>
      <c r="I247" s="171"/>
      <c r="J247" s="171"/>
      <c r="K247" s="171"/>
      <c r="L247" s="171"/>
      <c r="M247" s="171"/>
      <c r="N247" s="171"/>
      <c r="O247" s="171"/>
      <c r="P247" s="171"/>
      <c r="Q247" s="171"/>
      <c r="R247" s="171"/>
      <c r="S247" s="171"/>
      <c r="T247" s="171"/>
      <c r="U247" s="171"/>
      <c r="V247" s="171"/>
      <c r="W247" s="171"/>
      <c r="X247" s="171"/>
      <c r="Y247" s="171"/>
      <c r="Z247" s="171"/>
    </row>
    <row r="248">
      <c r="A248" s="171"/>
      <c r="B248" s="171"/>
      <c r="C248" s="171"/>
      <c r="D248" s="171"/>
      <c r="E248" s="171"/>
      <c r="F248" s="171"/>
      <c r="G248" s="171"/>
      <c r="H248" s="171"/>
      <c r="I248" s="171"/>
      <c r="J248" s="171"/>
      <c r="K248" s="171"/>
      <c r="L248" s="171"/>
      <c r="M248" s="171"/>
      <c r="N248" s="171"/>
      <c r="O248" s="171"/>
      <c r="P248" s="171"/>
      <c r="Q248" s="171"/>
      <c r="R248" s="171"/>
      <c r="S248" s="171"/>
      <c r="T248" s="171"/>
      <c r="U248" s="171"/>
      <c r="V248" s="171"/>
      <c r="W248" s="171"/>
      <c r="X248" s="171"/>
      <c r="Y248" s="171"/>
      <c r="Z248" s="171"/>
    </row>
    <row r="249">
      <c r="A249" s="169"/>
      <c r="B249" s="171"/>
      <c r="C249" s="171"/>
      <c r="D249" s="171"/>
      <c r="E249" s="171"/>
      <c r="F249" s="171"/>
      <c r="G249" s="171"/>
      <c r="H249" s="171"/>
      <c r="I249" s="171"/>
      <c r="J249" s="171"/>
      <c r="K249" s="171"/>
      <c r="L249" s="171"/>
      <c r="M249" s="171"/>
      <c r="N249" s="171"/>
      <c r="O249" s="171"/>
      <c r="P249" s="171"/>
      <c r="Q249" s="171"/>
      <c r="R249" s="171"/>
      <c r="S249" s="171"/>
      <c r="T249" s="171"/>
      <c r="U249" s="171"/>
      <c r="V249" s="171"/>
      <c r="W249" s="171"/>
      <c r="X249" s="171"/>
      <c r="Y249" s="171"/>
      <c r="Z249" s="171"/>
    </row>
    <row r="250">
      <c r="A250" s="171"/>
      <c r="B250" s="171"/>
      <c r="C250" s="171"/>
      <c r="D250" s="171"/>
      <c r="E250" s="171"/>
      <c r="F250" s="171"/>
      <c r="G250" s="171"/>
      <c r="H250" s="171"/>
      <c r="I250" s="171"/>
      <c r="J250" s="171"/>
      <c r="K250" s="171"/>
      <c r="L250" s="171"/>
      <c r="M250" s="171"/>
      <c r="N250" s="171"/>
      <c r="O250" s="171"/>
      <c r="P250" s="171"/>
      <c r="Q250" s="171"/>
      <c r="R250" s="171"/>
      <c r="S250" s="171"/>
      <c r="T250" s="171"/>
      <c r="U250" s="171"/>
      <c r="V250" s="171"/>
      <c r="W250" s="171"/>
      <c r="X250" s="171"/>
      <c r="Y250" s="171"/>
      <c r="Z250" s="171"/>
    </row>
    <row r="251">
      <c r="A251" s="171"/>
      <c r="B251" s="171"/>
      <c r="C251" s="171"/>
      <c r="D251" s="171"/>
      <c r="E251" s="171"/>
      <c r="F251" s="171"/>
      <c r="G251" s="171"/>
      <c r="H251" s="171"/>
      <c r="I251" s="171"/>
      <c r="J251" s="171"/>
      <c r="K251" s="171"/>
      <c r="L251" s="171"/>
      <c r="M251" s="171"/>
      <c r="N251" s="171"/>
      <c r="O251" s="171"/>
      <c r="P251" s="171"/>
      <c r="Q251" s="171"/>
      <c r="R251" s="171"/>
      <c r="S251" s="171"/>
      <c r="T251" s="171"/>
      <c r="U251" s="171"/>
      <c r="V251" s="171"/>
      <c r="W251" s="171"/>
      <c r="X251" s="171"/>
      <c r="Y251" s="171"/>
      <c r="Z251" s="171"/>
    </row>
    <row r="252">
      <c r="A252" s="171"/>
      <c r="B252" s="171"/>
      <c r="C252" s="171"/>
      <c r="D252" s="171"/>
      <c r="E252" s="171"/>
      <c r="F252" s="171"/>
      <c r="G252" s="171"/>
      <c r="H252" s="171"/>
      <c r="I252" s="171"/>
      <c r="J252" s="171"/>
      <c r="K252" s="171"/>
      <c r="L252" s="171"/>
      <c r="M252" s="171"/>
      <c r="N252" s="171"/>
      <c r="O252" s="171"/>
      <c r="P252" s="171"/>
      <c r="Q252" s="171"/>
      <c r="R252" s="171"/>
      <c r="S252" s="171"/>
      <c r="T252" s="171"/>
      <c r="U252" s="171"/>
      <c r="V252" s="171"/>
      <c r="W252" s="171"/>
      <c r="X252" s="171"/>
      <c r="Y252" s="171"/>
      <c r="Z252" s="171"/>
    </row>
    <row r="253">
      <c r="A253" s="171"/>
      <c r="B253" s="171"/>
      <c r="C253" s="171"/>
      <c r="D253" s="171"/>
      <c r="E253" s="171"/>
      <c r="F253" s="171"/>
      <c r="G253" s="171"/>
      <c r="H253" s="171"/>
      <c r="I253" s="171"/>
      <c r="J253" s="171"/>
      <c r="K253" s="171"/>
      <c r="L253" s="171"/>
      <c r="M253" s="171"/>
      <c r="N253" s="171"/>
      <c r="O253" s="171"/>
      <c r="P253" s="171"/>
      <c r="Q253" s="171"/>
      <c r="R253" s="171"/>
      <c r="S253" s="171"/>
      <c r="T253" s="171"/>
      <c r="U253" s="171"/>
      <c r="V253" s="171"/>
      <c r="W253" s="171"/>
      <c r="X253" s="171"/>
      <c r="Y253" s="171"/>
      <c r="Z253" s="171"/>
    </row>
    <row r="254">
      <c r="A254" s="171"/>
      <c r="B254" s="171"/>
      <c r="C254" s="171"/>
      <c r="D254" s="171"/>
      <c r="E254" s="171"/>
      <c r="F254" s="171"/>
      <c r="G254" s="171"/>
      <c r="H254" s="171"/>
      <c r="I254" s="171"/>
      <c r="J254" s="171"/>
      <c r="K254" s="171"/>
      <c r="L254" s="171"/>
      <c r="M254" s="171"/>
      <c r="N254" s="171"/>
      <c r="O254" s="171"/>
      <c r="P254" s="171"/>
      <c r="Q254" s="171"/>
      <c r="R254" s="171"/>
      <c r="S254" s="171"/>
      <c r="T254" s="171"/>
      <c r="U254" s="171"/>
      <c r="V254" s="171"/>
      <c r="W254" s="171"/>
      <c r="X254" s="171"/>
      <c r="Y254" s="171"/>
      <c r="Z254" s="171"/>
    </row>
    <row r="255">
      <c r="A255" s="178"/>
      <c r="B255" s="171"/>
      <c r="C255" s="171"/>
      <c r="D255" s="171"/>
      <c r="E255" s="171"/>
      <c r="F255" s="171"/>
      <c r="G255" s="171"/>
      <c r="H255" s="171"/>
      <c r="I255" s="171"/>
      <c r="J255" s="171"/>
      <c r="K255" s="171"/>
      <c r="L255" s="171"/>
      <c r="M255" s="171"/>
      <c r="N255" s="171"/>
      <c r="O255" s="171"/>
      <c r="P255" s="171"/>
      <c r="Q255" s="171"/>
      <c r="R255" s="171"/>
      <c r="S255" s="171"/>
      <c r="T255" s="171"/>
      <c r="U255" s="171"/>
      <c r="V255" s="171"/>
      <c r="W255" s="171"/>
      <c r="X255" s="171"/>
      <c r="Y255" s="171"/>
      <c r="Z255" s="171"/>
    </row>
    <row r="256">
      <c r="A256" s="171"/>
      <c r="B256" s="171"/>
      <c r="C256" s="171"/>
      <c r="D256" s="171"/>
      <c r="E256" s="171"/>
      <c r="F256" s="171"/>
      <c r="G256" s="171"/>
      <c r="H256" s="171"/>
      <c r="I256" s="171"/>
      <c r="J256" s="171"/>
      <c r="K256" s="171"/>
      <c r="L256" s="171"/>
      <c r="M256" s="171"/>
      <c r="N256" s="171"/>
      <c r="O256" s="171"/>
      <c r="P256" s="171"/>
      <c r="Q256" s="171"/>
      <c r="R256" s="171"/>
      <c r="S256" s="171"/>
      <c r="T256" s="171"/>
      <c r="U256" s="171"/>
      <c r="V256" s="171"/>
      <c r="W256" s="171"/>
      <c r="X256" s="171"/>
      <c r="Y256" s="171"/>
      <c r="Z256" s="171"/>
    </row>
    <row r="257">
      <c r="A257" s="178"/>
      <c r="B257" s="171"/>
      <c r="C257" s="171"/>
      <c r="D257" s="171"/>
      <c r="E257" s="171"/>
      <c r="F257" s="171"/>
      <c r="G257" s="171"/>
      <c r="H257" s="171"/>
      <c r="I257" s="171"/>
      <c r="J257" s="171"/>
      <c r="K257" s="171"/>
      <c r="L257" s="171"/>
      <c r="M257" s="171"/>
      <c r="N257" s="171"/>
      <c r="O257" s="171"/>
      <c r="P257" s="171"/>
      <c r="Q257" s="171"/>
      <c r="R257" s="171"/>
      <c r="S257" s="171"/>
      <c r="T257" s="171"/>
      <c r="U257" s="171"/>
      <c r="V257" s="171"/>
      <c r="W257" s="171"/>
      <c r="X257" s="171"/>
      <c r="Y257" s="171"/>
      <c r="Z257" s="171"/>
    </row>
    <row r="258">
      <c r="A258" s="171"/>
      <c r="B258" s="171"/>
      <c r="C258" s="171"/>
      <c r="D258" s="171"/>
      <c r="E258" s="171"/>
      <c r="F258" s="171"/>
      <c r="G258" s="171"/>
      <c r="H258" s="171"/>
      <c r="I258" s="171"/>
      <c r="J258" s="171"/>
      <c r="K258" s="171"/>
      <c r="L258" s="171"/>
      <c r="M258" s="171"/>
      <c r="N258" s="171"/>
      <c r="O258" s="171"/>
      <c r="P258" s="171"/>
      <c r="Q258" s="171"/>
      <c r="R258" s="171"/>
      <c r="S258" s="171"/>
      <c r="T258" s="171"/>
      <c r="U258" s="171"/>
      <c r="V258" s="171"/>
      <c r="W258" s="171"/>
      <c r="X258" s="171"/>
      <c r="Y258" s="171"/>
      <c r="Z258" s="171"/>
    </row>
    <row r="259">
      <c r="A259" s="171"/>
      <c r="B259" s="171"/>
      <c r="C259" s="171"/>
      <c r="D259" s="171"/>
      <c r="E259" s="171"/>
      <c r="F259" s="171"/>
      <c r="G259" s="171"/>
      <c r="H259" s="171"/>
      <c r="I259" s="171"/>
      <c r="J259" s="171"/>
      <c r="K259" s="171"/>
      <c r="L259" s="171"/>
      <c r="M259" s="171"/>
      <c r="N259" s="171"/>
      <c r="O259" s="171"/>
      <c r="P259" s="171"/>
      <c r="Q259" s="171"/>
      <c r="R259" s="171"/>
      <c r="S259" s="171"/>
      <c r="T259" s="171"/>
      <c r="U259" s="171"/>
      <c r="V259" s="171"/>
      <c r="W259" s="171"/>
      <c r="X259" s="171"/>
      <c r="Y259" s="171"/>
      <c r="Z259" s="171"/>
    </row>
    <row r="260">
      <c r="A260" s="171"/>
      <c r="B260" s="171"/>
      <c r="C260" s="171"/>
      <c r="D260" s="171"/>
      <c r="E260" s="171"/>
      <c r="F260" s="171"/>
      <c r="G260" s="171"/>
      <c r="H260" s="171"/>
      <c r="I260" s="171"/>
      <c r="J260" s="171"/>
      <c r="K260" s="171"/>
      <c r="L260" s="171"/>
      <c r="M260" s="171"/>
      <c r="N260" s="171"/>
      <c r="O260" s="171"/>
      <c r="P260" s="171"/>
      <c r="Q260" s="171"/>
      <c r="R260" s="171"/>
      <c r="S260" s="171"/>
      <c r="T260" s="171"/>
      <c r="U260" s="171"/>
      <c r="V260" s="171"/>
      <c r="W260" s="171"/>
      <c r="X260" s="171"/>
      <c r="Y260" s="171"/>
      <c r="Z260" s="171"/>
    </row>
    <row r="261">
      <c r="A261" s="171"/>
      <c r="B261" s="171"/>
      <c r="C261" s="171"/>
      <c r="D261" s="171"/>
      <c r="E261" s="171"/>
      <c r="F261" s="171"/>
      <c r="G261" s="171"/>
      <c r="H261" s="171"/>
      <c r="I261" s="171"/>
      <c r="J261" s="171"/>
      <c r="K261" s="171"/>
      <c r="L261" s="171"/>
      <c r="M261" s="171"/>
      <c r="N261" s="171"/>
      <c r="O261" s="171"/>
      <c r="P261" s="171"/>
      <c r="Q261" s="171"/>
      <c r="R261" s="171"/>
      <c r="S261" s="171"/>
      <c r="T261" s="171"/>
      <c r="U261" s="171"/>
      <c r="V261" s="171"/>
      <c r="W261" s="171"/>
      <c r="X261" s="171"/>
      <c r="Y261" s="171"/>
      <c r="Z261" s="171"/>
    </row>
    <row r="262">
      <c r="A262" s="171"/>
      <c r="B262" s="171"/>
      <c r="C262" s="171"/>
      <c r="D262" s="171"/>
      <c r="E262" s="171"/>
      <c r="F262" s="171"/>
      <c r="G262" s="171"/>
      <c r="H262" s="171"/>
      <c r="I262" s="171"/>
      <c r="J262" s="171"/>
      <c r="K262" s="171"/>
      <c r="L262" s="171"/>
      <c r="M262" s="171"/>
      <c r="N262" s="171"/>
      <c r="O262" s="171"/>
      <c r="P262" s="171"/>
      <c r="Q262" s="171"/>
      <c r="R262" s="171"/>
      <c r="S262" s="171"/>
      <c r="T262" s="171"/>
      <c r="U262" s="171"/>
      <c r="V262" s="171"/>
      <c r="W262" s="171"/>
      <c r="X262" s="171"/>
      <c r="Y262" s="171"/>
      <c r="Z262" s="171"/>
    </row>
    <row r="263">
      <c r="A263" s="171"/>
      <c r="B263" s="171"/>
      <c r="C263" s="171"/>
      <c r="D263" s="171"/>
      <c r="E263" s="171"/>
      <c r="F263" s="171"/>
      <c r="G263" s="171"/>
      <c r="H263" s="171"/>
      <c r="I263" s="171"/>
      <c r="J263" s="171"/>
      <c r="K263" s="171"/>
      <c r="L263" s="171"/>
      <c r="M263" s="171"/>
      <c r="N263" s="171"/>
      <c r="O263" s="171"/>
      <c r="P263" s="171"/>
      <c r="Q263" s="171"/>
      <c r="R263" s="171"/>
      <c r="S263" s="171"/>
      <c r="T263" s="171"/>
      <c r="U263" s="171"/>
      <c r="V263" s="171"/>
      <c r="W263" s="171"/>
      <c r="X263" s="171"/>
      <c r="Y263" s="171"/>
      <c r="Z263" s="171"/>
    </row>
    <row r="264">
      <c r="A264" s="171"/>
      <c r="B264" s="171"/>
      <c r="C264" s="171"/>
      <c r="D264" s="171"/>
      <c r="E264" s="171"/>
      <c r="F264" s="171"/>
      <c r="G264" s="171"/>
      <c r="H264" s="171"/>
      <c r="I264" s="171"/>
      <c r="J264" s="171"/>
      <c r="K264" s="171"/>
      <c r="L264" s="171"/>
      <c r="M264" s="171"/>
      <c r="N264" s="171"/>
      <c r="O264" s="171"/>
      <c r="P264" s="171"/>
      <c r="Q264" s="171"/>
      <c r="R264" s="171"/>
      <c r="S264" s="171"/>
      <c r="T264" s="171"/>
      <c r="U264" s="171"/>
      <c r="V264" s="171"/>
      <c r="W264" s="171"/>
      <c r="X264" s="171"/>
      <c r="Y264" s="171"/>
      <c r="Z264" s="171"/>
    </row>
    <row r="265">
      <c r="A265" s="171"/>
      <c r="B265" s="171"/>
      <c r="C265" s="171"/>
      <c r="D265" s="171"/>
      <c r="E265" s="171"/>
      <c r="F265" s="171"/>
      <c r="G265" s="171"/>
      <c r="H265" s="171"/>
      <c r="I265" s="171"/>
      <c r="J265" s="171"/>
      <c r="K265" s="171"/>
      <c r="L265" s="171"/>
      <c r="M265" s="171"/>
      <c r="N265" s="171"/>
      <c r="O265" s="171"/>
      <c r="P265" s="171"/>
      <c r="Q265" s="171"/>
      <c r="R265" s="171"/>
      <c r="S265" s="171"/>
      <c r="T265" s="171"/>
      <c r="U265" s="171"/>
      <c r="V265" s="171"/>
      <c r="W265" s="171"/>
      <c r="X265" s="171"/>
      <c r="Y265" s="171"/>
      <c r="Z265" s="171"/>
    </row>
    <row r="266">
      <c r="A266" s="171"/>
      <c r="B266" s="171"/>
      <c r="C266" s="171"/>
      <c r="D266" s="171"/>
      <c r="E266" s="171"/>
      <c r="F266" s="171"/>
      <c r="G266" s="171"/>
      <c r="H266" s="171"/>
      <c r="I266" s="171"/>
      <c r="J266" s="171"/>
      <c r="K266" s="171"/>
      <c r="L266" s="171"/>
      <c r="M266" s="171"/>
      <c r="N266" s="171"/>
      <c r="O266" s="171"/>
      <c r="P266" s="171"/>
      <c r="Q266" s="171"/>
      <c r="R266" s="171"/>
      <c r="S266" s="171"/>
      <c r="T266" s="171"/>
      <c r="U266" s="171"/>
      <c r="V266" s="171"/>
      <c r="W266" s="171"/>
      <c r="X266" s="171"/>
      <c r="Y266" s="171"/>
      <c r="Z266" s="171"/>
    </row>
    <row r="267">
      <c r="A267" s="171"/>
      <c r="B267" s="171"/>
      <c r="C267" s="171"/>
      <c r="D267" s="171"/>
      <c r="E267" s="171"/>
      <c r="F267" s="171"/>
      <c r="G267" s="171"/>
      <c r="H267" s="171"/>
      <c r="I267" s="171"/>
      <c r="J267" s="171"/>
      <c r="K267" s="171"/>
      <c r="L267" s="171"/>
      <c r="M267" s="171"/>
      <c r="N267" s="171"/>
      <c r="O267" s="171"/>
      <c r="P267" s="171"/>
      <c r="Q267" s="171"/>
      <c r="R267" s="171"/>
      <c r="S267" s="171"/>
      <c r="T267" s="171"/>
      <c r="U267" s="171"/>
      <c r="V267" s="171"/>
      <c r="W267" s="171"/>
      <c r="X267" s="171"/>
      <c r="Y267" s="171"/>
      <c r="Z267" s="171"/>
    </row>
    <row r="268">
      <c r="A268" s="171"/>
      <c r="B268" s="171"/>
      <c r="C268" s="171"/>
      <c r="D268" s="171"/>
      <c r="E268" s="171"/>
      <c r="F268" s="171"/>
      <c r="G268" s="171"/>
      <c r="H268" s="171"/>
      <c r="I268" s="171"/>
      <c r="J268" s="171"/>
      <c r="K268" s="171"/>
      <c r="L268" s="171"/>
      <c r="M268" s="171"/>
      <c r="N268" s="171"/>
      <c r="O268" s="171"/>
      <c r="P268" s="171"/>
      <c r="Q268" s="171"/>
      <c r="R268" s="171"/>
      <c r="S268" s="171"/>
      <c r="T268" s="171"/>
      <c r="U268" s="171"/>
      <c r="V268" s="171"/>
      <c r="W268" s="171"/>
      <c r="X268" s="171"/>
      <c r="Y268" s="171"/>
      <c r="Z268" s="171"/>
    </row>
    <row r="269">
      <c r="A269" s="171"/>
      <c r="B269" s="171"/>
      <c r="C269" s="171"/>
      <c r="D269" s="171"/>
      <c r="E269" s="171"/>
      <c r="F269" s="171"/>
      <c r="G269" s="171"/>
      <c r="H269" s="171"/>
      <c r="I269" s="171"/>
      <c r="J269" s="171"/>
      <c r="K269" s="171"/>
      <c r="L269" s="171"/>
      <c r="M269" s="171"/>
      <c r="N269" s="171"/>
      <c r="O269" s="171"/>
      <c r="P269" s="171"/>
      <c r="Q269" s="171"/>
      <c r="R269" s="171"/>
      <c r="S269" s="171"/>
      <c r="T269" s="171"/>
      <c r="U269" s="171"/>
      <c r="V269" s="171"/>
      <c r="W269" s="171"/>
      <c r="X269" s="171"/>
      <c r="Y269" s="171"/>
      <c r="Z269" s="171"/>
    </row>
    <row r="270">
      <c r="A270" s="171"/>
      <c r="B270" s="171"/>
      <c r="C270" s="171"/>
      <c r="D270" s="171"/>
      <c r="E270" s="171"/>
      <c r="F270" s="171"/>
      <c r="G270" s="171"/>
      <c r="H270" s="171"/>
      <c r="I270" s="171"/>
      <c r="J270" s="171"/>
      <c r="K270" s="171"/>
      <c r="L270" s="171"/>
      <c r="M270" s="171"/>
      <c r="N270" s="171"/>
      <c r="O270" s="171"/>
      <c r="P270" s="171"/>
      <c r="Q270" s="171"/>
      <c r="R270" s="171"/>
      <c r="S270" s="171"/>
      <c r="T270" s="171"/>
      <c r="U270" s="171"/>
      <c r="V270" s="171"/>
      <c r="W270" s="171"/>
      <c r="X270" s="171"/>
      <c r="Y270" s="171"/>
      <c r="Z270" s="171"/>
    </row>
    <row r="271">
      <c r="A271" s="171"/>
      <c r="B271" s="171"/>
      <c r="C271" s="171"/>
      <c r="D271" s="171"/>
      <c r="E271" s="171"/>
      <c r="F271" s="171"/>
      <c r="G271" s="171"/>
      <c r="H271" s="171"/>
      <c r="I271" s="171"/>
      <c r="J271" s="171"/>
      <c r="K271" s="171"/>
      <c r="L271" s="171"/>
      <c r="M271" s="171"/>
      <c r="N271" s="171"/>
      <c r="O271" s="171"/>
      <c r="P271" s="171"/>
      <c r="Q271" s="171"/>
      <c r="R271" s="171"/>
      <c r="S271" s="171"/>
      <c r="T271" s="171"/>
      <c r="U271" s="171"/>
      <c r="V271" s="171"/>
      <c r="W271" s="171"/>
      <c r="X271" s="171"/>
      <c r="Y271" s="171"/>
      <c r="Z271" s="171"/>
    </row>
    <row r="272">
      <c r="A272" s="171"/>
      <c r="B272" s="171"/>
      <c r="C272" s="171"/>
      <c r="D272" s="171"/>
      <c r="E272" s="171"/>
      <c r="F272" s="171"/>
      <c r="G272" s="171"/>
      <c r="H272" s="171"/>
      <c r="I272" s="171"/>
      <c r="J272" s="171"/>
      <c r="K272" s="171"/>
      <c r="L272" s="171"/>
      <c r="M272" s="171"/>
      <c r="N272" s="171"/>
      <c r="O272" s="171"/>
      <c r="P272" s="171"/>
      <c r="Q272" s="171"/>
      <c r="R272" s="171"/>
      <c r="S272" s="171"/>
      <c r="T272" s="171"/>
      <c r="U272" s="171"/>
      <c r="V272" s="171"/>
      <c r="W272" s="171"/>
      <c r="X272" s="171"/>
      <c r="Y272" s="171"/>
      <c r="Z272" s="171"/>
    </row>
    <row r="273">
      <c r="A273" s="171"/>
      <c r="B273" s="171"/>
      <c r="C273" s="171"/>
      <c r="D273" s="171"/>
      <c r="E273" s="171"/>
      <c r="F273" s="171"/>
      <c r="G273" s="171"/>
      <c r="H273" s="171"/>
      <c r="I273" s="171"/>
      <c r="J273" s="171"/>
      <c r="K273" s="171"/>
      <c r="L273" s="171"/>
      <c r="M273" s="171"/>
      <c r="N273" s="171"/>
      <c r="O273" s="171"/>
      <c r="P273" s="171"/>
      <c r="Q273" s="171"/>
      <c r="R273" s="171"/>
      <c r="S273" s="171"/>
      <c r="T273" s="171"/>
      <c r="U273" s="171"/>
      <c r="V273" s="171"/>
      <c r="W273" s="171"/>
      <c r="X273" s="171"/>
      <c r="Y273" s="171"/>
      <c r="Z273" s="171"/>
    </row>
    <row r="274">
      <c r="A274" s="171"/>
      <c r="B274" s="171"/>
      <c r="C274" s="171"/>
      <c r="D274" s="171"/>
      <c r="E274" s="171"/>
      <c r="F274" s="171"/>
      <c r="G274" s="171"/>
      <c r="H274" s="171"/>
      <c r="I274" s="171"/>
      <c r="J274" s="171"/>
      <c r="K274" s="171"/>
      <c r="L274" s="171"/>
      <c r="M274" s="171"/>
      <c r="N274" s="171"/>
      <c r="O274" s="171"/>
      <c r="P274" s="171"/>
      <c r="Q274" s="171"/>
      <c r="R274" s="171"/>
      <c r="S274" s="171"/>
      <c r="T274" s="171"/>
      <c r="U274" s="171"/>
      <c r="V274" s="171"/>
      <c r="W274" s="171"/>
      <c r="X274" s="171"/>
      <c r="Y274" s="171"/>
      <c r="Z274" s="171"/>
    </row>
    <row r="275">
      <c r="A275" s="171"/>
      <c r="B275" s="171"/>
      <c r="C275" s="171"/>
      <c r="D275" s="171"/>
      <c r="E275" s="171"/>
      <c r="F275" s="171"/>
      <c r="G275" s="171"/>
      <c r="H275" s="171"/>
      <c r="I275" s="171"/>
      <c r="J275" s="171"/>
      <c r="K275" s="171"/>
      <c r="L275" s="171"/>
      <c r="M275" s="171"/>
      <c r="N275" s="171"/>
      <c r="O275" s="171"/>
      <c r="P275" s="171"/>
      <c r="Q275" s="171"/>
      <c r="R275" s="171"/>
      <c r="S275" s="171"/>
      <c r="T275" s="171"/>
      <c r="U275" s="171"/>
      <c r="V275" s="171"/>
      <c r="W275" s="171"/>
      <c r="X275" s="171"/>
      <c r="Y275" s="171"/>
      <c r="Z275" s="171"/>
    </row>
    <row r="276">
      <c r="A276" s="171"/>
      <c r="B276" s="171"/>
      <c r="C276" s="171"/>
      <c r="D276" s="171"/>
      <c r="E276" s="171"/>
      <c r="F276" s="171"/>
      <c r="G276" s="171"/>
      <c r="H276" s="171"/>
      <c r="I276" s="171"/>
      <c r="J276" s="171"/>
      <c r="K276" s="171"/>
      <c r="L276" s="171"/>
      <c r="M276" s="171"/>
      <c r="N276" s="171"/>
      <c r="O276" s="171"/>
      <c r="P276" s="171"/>
      <c r="Q276" s="171"/>
      <c r="R276" s="171"/>
      <c r="S276" s="171"/>
      <c r="T276" s="171"/>
      <c r="U276" s="171"/>
      <c r="V276" s="171"/>
      <c r="W276" s="171"/>
      <c r="X276" s="171"/>
      <c r="Y276" s="171"/>
      <c r="Z276" s="171"/>
    </row>
    <row r="277">
      <c r="A277" s="171"/>
      <c r="B277" s="171"/>
      <c r="C277" s="171"/>
      <c r="D277" s="171"/>
      <c r="E277" s="171"/>
      <c r="F277" s="171"/>
      <c r="G277" s="171"/>
      <c r="H277" s="171"/>
      <c r="I277" s="171"/>
      <c r="J277" s="171"/>
      <c r="K277" s="171"/>
      <c r="L277" s="171"/>
      <c r="M277" s="171"/>
      <c r="N277" s="171"/>
      <c r="O277" s="171"/>
      <c r="P277" s="171"/>
      <c r="Q277" s="171"/>
      <c r="R277" s="171"/>
      <c r="S277" s="171"/>
      <c r="T277" s="171"/>
      <c r="U277" s="171"/>
      <c r="V277" s="171"/>
      <c r="W277" s="171"/>
      <c r="X277" s="171"/>
      <c r="Y277" s="171"/>
      <c r="Z277" s="171"/>
    </row>
    <row r="278">
      <c r="A278" s="169"/>
      <c r="B278" s="171"/>
      <c r="C278" s="171"/>
      <c r="D278" s="171"/>
      <c r="E278" s="171"/>
      <c r="F278" s="171"/>
      <c r="G278" s="171"/>
      <c r="H278" s="171"/>
      <c r="I278" s="171"/>
      <c r="J278" s="171"/>
      <c r="K278" s="171"/>
      <c r="L278" s="171"/>
      <c r="M278" s="171"/>
      <c r="N278" s="171"/>
      <c r="O278" s="171"/>
      <c r="P278" s="171"/>
      <c r="Q278" s="171"/>
      <c r="R278" s="171"/>
      <c r="S278" s="171"/>
      <c r="T278" s="171"/>
      <c r="U278" s="171"/>
      <c r="V278" s="171"/>
      <c r="W278" s="171"/>
      <c r="X278" s="171"/>
      <c r="Y278" s="171"/>
      <c r="Z278" s="171"/>
    </row>
    <row r="279">
      <c r="A279" s="171"/>
      <c r="B279" s="171"/>
      <c r="C279" s="171"/>
      <c r="D279" s="171"/>
      <c r="E279" s="171"/>
      <c r="F279" s="171"/>
      <c r="G279" s="171"/>
      <c r="H279" s="171"/>
      <c r="I279" s="171"/>
      <c r="J279" s="171"/>
      <c r="K279" s="171"/>
      <c r="L279" s="171"/>
      <c r="M279" s="171"/>
      <c r="N279" s="171"/>
      <c r="O279" s="171"/>
      <c r="P279" s="171"/>
      <c r="Q279" s="171"/>
      <c r="R279" s="171"/>
      <c r="S279" s="171"/>
      <c r="T279" s="171"/>
      <c r="U279" s="171"/>
      <c r="V279" s="171"/>
      <c r="W279" s="171"/>
      <c r="X279" s="171"/>
      <c r="Y279" s="171"/>
      <c r="Z279" s="171"/>
    </row>
    <row r="280">
      <c r="A280" s="171"/>
      <c r="B280" s="171"/>
      <c r="C280" s="171"/>
      <c r="D280" s="171"/>
      <c r="E280" s="171"/>
      <c r="F280" s="171"/>
      <c r="G280" s="171"/>
      <c r="H280" s="171"/>
      <c r="I280" s="171"/>
      <c r="J280" s="171"/>
      <c r="K280" s="171"/>
      <c r="L280" s="171"/>
      <c r="M280" s="171"/>
      <c r="N280" s="171"/>
      <c r="O280" s="171"/>
      <c r="P280" s="171"/>
      <c r="Q280" s="171"/>
      <c r="R280" s="171"/>
      <c r="S280" s="171"/>
      <c r="T280" s="171"/>
      <c r="U280" s="171"/>
      <c r="V280" s="171"/>
      <c r="W280" s="171"/>
      <c r="X280" s="171"/>
      <c r="Y280" s="171"/>
      <c r="Z280" s="171"/>
    </row>
    <row r="281">
      <c r="A281" s="171"/>
      <c r="B281" s="171"/>
      <c r="C281" s="171"/>
      <c r="D281" s="171"/>
      <c r="E281" s="171"/>
      <c r="F281" s="171"/>
      <c r="G281" s="171"/>
      <c r="H281" s="171"/>
      <c r="I281" s="171"/>
      <c r="J281" s="171"/>
      <c r="K281" s="171"/>
      <c r="L281" s="171"/>
      <c r="M281" s="171"/>
      <c r="N281" s="171"/>
      <c r="O281" s="171"/>
      <c r="P281" s="171"/>
      <c r="Q281" s="171"/>
      <c r="R281" s="171"/>
      <c r="S281" s="171"/>
      <c r="T281" s="171"/>
      <c r="U281" s="171"/>
      <c r="V281" s="171"/>
      <c r="W281" s="171"/>
      <c r="X281" s="171"/>
      <c r="Y281" s="171"/>
      <c r="Z281" s="171"/>
    </row>
    <row r="282">
      <c r="A282" s="171"/>
      <c r="B282" s="171"/>
      <c r="C282" s="171"/>
      <c r="D282" s="171"/>
      <c r="E282" s="171"/>
      <c r="F282" s="171"/>
      <c r="G282" s="171"/>
      <c r="H282" s="171"/>
      <c r="I282" s="171"/>
      <c r="J282" s="171"/>
      <c r="K282" s="171"/>
      <c r="L282" s="171"/>
      <c r="M282" s="171"/>
      <c r="N282" s="171"/>
      <c r="O282" s="171"/>
      <c r="P282" s="171"/>
      <c r="Q282" s="171"/>
      <c r="R282" s="171"/>
      <c r="S282" s="171"/>
      <c r="T282" s="171"/>
      <c r="U282" s="171"/>
      <c r="V282" s="171"/>
      <c r="W282" s="171"/>
      <c r="X282" s="171"/>
      <c r="Y282" s="171"/>
      <c r="Z282" s="171"/>
    </row>
    <row r="283">
      <c r="A283" s="171"/>
      <c r="B283" s="171"/>
      <c r="C283" s="171"/>
      <c r="D283" s="171"/>
      <c r="E283" s="171"/>
      <c r="F283" s="171"/>
      <c r="G283" s="171"/>
      <c r="H283" s="171"/>
      <c r="I283" s="171"/>
      <c r="J283" s="171"/>
      <c r="K283" s="171"/>
      <c r="L283" s="171"/>
      <c r="M283" s="171"/>
      <c r="N283" s="171"/>
      <c r="O283" s="171"/>
      <c r="P283" s="171"/>
      <c r="Q283" s="171"/>
      <c r="R283" s="171"/>
      <c r="S283" s="171"/>
      <c r="T283" s="171"/>
      <c r="U283" s="171"/>
      <c r="V283" s="171"/>
      <c r="W283" s="171"/>
      <c r="X283" s="171"/>
      <c r="Y283" s="171"/>
      <c r="Z283" s="171"/>
    </row>
    <row r="284">
      <c r="A284" s="178"/>
      <c r="B284" s="171"/>
      <c r="C284" s="171"/>
      <c r="D284" s="171"/>
      <c r="E284" s="171"/>
      <c r="F284" s="171"/>
      <c r="G284" s="171"/>
      <c r="H284" s="171"/>
      <c r="I284" s="171"/>
      <c r="J284" s="171"/>
      <c r="K284" s="171"/>
      <c r="L284" s="171"/>
      <c r="M284" s="171"/>
      <c r="N284" s="171"/>
      <c r="O284" s="171"/>
      <c r="P284" s="171"/>
      <c r="Q284" s="171"/>
      <c r="R284" s="171"/>
      <c r="S284" s="171"/>
      <c r="T284" s="171"/>
      <c r="U284" s="171"/>
      <c r="V284" s="171"/>
      <c r="W284" s="171"/>
      <c r="X284" s="171"/>
      <c r="Y284" s="171"/>
      <c r="Z284" s="171"/>
    </row>
    <row r="285">
      <c r="A285" s="171"/>
      <c r="B285" s="171"/>
      <c r="C285" s="171"/>
      <c r="D285" s="171"/>
      <c r="E285" s="171"/>
      <c r="F285" s="171"/>
      <c r="G285" s="171"/>
      <c r="H285" s="171"/>
      <c r="I285" s="171"/>
      <c r="J285" s="171"/>
      <c r="K285" s="171"/>
      <c r="L285" s="171"/>
      <c r="M285" s="171"/>
      <c r="N285" s="171"/>
      <c r="O285" s="171"/>
      <c r="P285" s="171"/>
      <c r="Q285" s="171"/>
      <c r="R285" s="171"/>
      <c r="S285" s="171"/>
      <c r="T285" s="171"/>
      <c r="U285" s="171"/>
      <c r="V285" s="171"/>
      <c r="W285" s="171"/>
      <c r="X285" s="171"/>
      <c r="Y285" s="171"/>
      <c r="Z285" s="171"/>
    </row>
    <row r="286">
      <c r="A286" s="178"/>
      <c r="B286" s="171"/>
      <c r="C286" s="171"/>
      <c r="D286" s="171"/>
      <c r="E286" s="171"/>
      <c r="F286" s="171"/>
      <c r="G286" s="171"/>
      <c r="H286" s="171"/>
      <c r="I286" s="171"/>
      <c r="J286" s="171"/>
      <c r="K286" s="171"/>
      <c r="L286" s="171"/>
      <c r="M286" s="171"/>
      <c r="N286" s="171"/>
      <c r="O286" s="171"/>
      <c r="P286" s="171"/>
      <c r="Q286" s="171"/>
      <c r="R286" s="171"/>
      <c r="S286" s="171"/>
      <c r="T286" s="171"/>
      <c r="U286" s="171"/>
      <c r="V286" s="171"/>
      <c r="W286" s="171"/>
      <c r="X286" s="171"/>
      <c r="Y286" s="171"/>
      <c r="Z286" s="171"/>
    </row>
    <row r="287">
      <c r="A287" s="171"/>
      <c r="B287" s="171"/>
      <c r="C287" s="171"/>
      <c r="D287" s="171"/>
      <c r="E287" s="171"/>
      <c r="F287" s="171"/>
      <c r="G287" s="171"/>
      <c r="H287" s="171"/>
      <c r="I287" s="171"/>
      <c r="J287" s="171"/>
      <c r="K287" s="171"/>
      <c r="L287" s="171"/>
      <c r="M287" s="171"/>
      <c r="N287" s="171"/>
      <c r="O287" s="171"/>
      <c r="P287" s="171"/>
      <c r="Q287" s="171"/>
      <c r="R287" s="171"/>
      <c r="S287" s="171"/>
      <c r="T287" s="171"/>
      <c r="U287" s="171"/>
      <c r="V287" s="171"/>
      <c r="W287" s="171"/>
      <c r="X287" s="171"/>
      <c r="Y287" s="171"/>
      <c r="Z287" s="171"/>
    </row>
    <row r="288">
      <c r="A288" s="171"/>
      <c r="B288" s="171"/>
      <c r="C288" s="171"/>
      <c r="D288" s="171"/>
      <c r="E288" s="171"/>
      <c r="F288" s="171"/>
      <c r="G288" s="171"/>
      <c r="H288" s="171"/>
      <c r="I288" s="171"/>
      <c r="J288" s="171"/>
      <c r="K288" s="171"/>
      <c r="L288" s="171"/>
      <c r="M288" s="171"/>
      <c r="N288" s="171"/>
      <c r="O288" s="171"/>
      <c r="P288" s="171"/>
      <c r="Q288" s="171"/>
      <c r="R288" s="171"/>
      <c r="S288" s="171"/>
      <c r="T288" s="171"/>
      <c r="U288" s="171"/>
      <c r="V288" s="171"/>
      <c r="W288" s="171"/>
      <c r="X288" s="171"/>
      <c r="Y288" s="171"/>
      <c r="Z288" s="171"/>
    </row>
    <row r="289">
      <c r="A289" s="171"/>
      <c r="B289" s="171"/>
      <c r="C289" s="171"/>
      <c r="D289" s="171"/>
      <c r="E289" s="171"/>
      <c r="F289" s="171"/>
      <c r="G289" s="171"/>
      <c r="H289" s="171"/>
      <c r="I289" s="171"/>
      <c r="J289" s="171"/>
      <c r="K289" s="171"/>
      <c r="L289" s="171"/>
      <c r="M289" s="171"/>
      <c r="N289" s="171"/>
      <c r="O289" s="171"/>
      <c r="P289" s="171"/>
      <c r="Q289" s="171"/>
      <c r="R289" s="171"/>
      <c r="S289" s="171"/>
      <c r="T289" s="171"/>
      <c r="U289" s="171"/>
      <c r="V289" s="171"/>
      <c r="W289" s="171"/>
      <c r="X289" s="171"/>
      <c r="Y289" s="171"/>
      <c r="Z289" s="171"/>
    </row>
    <row r="290">
      <c r="A290" s="171"/>
      <c r="B290" s="171"/>
      <c r="C290" s="171"/>
      <c r="D290" s="171"/>
      <c r="E290" s="171"/>
      <c r="F290" s="171"/>
      <c r="G290" s="171"/>
      <c r="H290" s="171"/>
      <c r="I290" s="171"/>
      <c r="J290" s="171"/>
      <c r="K290" s="171"/>
      <c r="L290" s="171"/>
      <c r="M290" s="171"/>
      <c r="N290" s="171"/>
      <c r="O290" s="171"/>
      <c r="P290" s="171"/>
      <c r="Q290" s="171"/>
      <c r="R290" s="171"/>
      <c r="S290" s="171"/>
      <c r="T290" s="171"/>
      <c r="U290" s="171"/>
      <c r="V290" s="171"/>
      <c r="W290" s="171"/>
      <c r="X290" s="171"/>
      <c r="Y290" s="171"/>
      <c r="Z290" s="171"/>
    </row>
    <row r="291">
      <c r="A291" s="171"/>
      <c r="B291" s="171"/>
      <c r="C291" s="171"/>
      <c r="D291" s="171"/>
      <c r="E291" s="171"/>
      <c r="F291" s="171"/>
      <c r="G291" s="171"/>
      <c r="H291" s="171"/>
      <c r="I291" s="171"/>
      <c r="J291" s="171"/>
      <c r="K291" s="171"/>
      <c r="L291" s="171"/>
      <c r="M291" s="171"/>
      <c r="N291" s="171"/>
      <c r="O291" s="171"/>
      <c r="P291" s="171"/>
      <c r="Q291" s="171"/>
      <c r="R291" s="171"/>
      <c r="S291" s="171"/>
      <c r="T291" s="171"/>
      <c r="U291" s="171"/>
      <c r="V291" s="171"/>
      <c r="W291" s="171"/>
      <c r="X291" s="171"/>
      <c r="Y291" s="171"/>
      <c r="Z291" s="171"/>
    </row>
    <row r="292">
      <c r="A292" s="171"/>
      <c r="B292" s="171"/>
      <c r="C292" s="171"/>
      <c r="D292" s="171"/>
      <c r="E292" s="171"/>
      <c r="F292" s="171"/>
      <c r="G292" s="171"/>
      <c r="H292" s="171"/>
      <c r="I292" s="171"/>
      <c r="J292" s="171"/>
      <c r="K292" s="171"/>
      <c r="L292" s="171"/>
      <c r="M292" s="171"/>
      <c r="N292" s="171"/>
      <c r="O292" s="171"/>
      <c r="P292" s="171"/>
      <c r="Q292" s="171"/>
      <c r="R292" s="171"/>
      <c r="S292" s="171"/>
      <c r="T292" s="171"/>
      <c r="U292" s="171"/>
      <c r="V292" s="171"/>
      <c r="W292" s="171"/>
      <c r="X292" s="171"/>
      <c r="Y292" s="171"/>
      <c r="Z292" s="171"/>
    </row>
    <row r="293">
      <c r="A293" s="171"/>
      <c r="B293" s="171"/>
      <c r="C293" s="171"/>
      <c r="D293" s="171"/>
      <c r="E293" s="171"/>
      <c r="F293" s="171"/>
      <c r="G293" s="171"/>
      <c r="H293" s="171"/>
      <c r="I293" s="171"/>
      <c r="J293" s="171"/>
      <c r="K293" s="171"/>
      <c r="L293" s="171"/>
      <c r="M293" s="171"/>
      <c r="N293" s="171"/>
      <c r="O293" s="171"/>
      <c r="P293" s="171"/>
      <c r="Q293" s="171"/>
      <c r="R293" s="171"/>
      <c r="S293" s="171"/>
      <c r="T293" s="171"/>
      <c r="U293" s="171"/>
      <c r="V293" s="171"/>
      <c r="W293" s="171"/>
      <c r="X293" s="171"/>
      <c r="Y293" s="171"/>
      <c r="Z293" s="171"/>
    </row>
    <row r="294">
      <c r="A294" s="171"/>
      <c r="B294" s="171"/>
      <c r="C294" s="171"/>
      <c r="D294" s="171"/>
      <c r="E294" s="171"/>
      <c r="F294" s="171"/>
      <c r="G294" s="171"/>
      <c r="H294" s="171"/>
      <c r="I294" s="171"/>
      <c r="J294" s="171"/>
      <c r="K294" s="171"/>
      <c r="L294" s="171"/>
      <c r="M294" s="171"/>
      <c r="N294" s="171"/>
      <c r="O294" s="171"/>
      <c r="P294" s="171"/>
      <c r="Q294" s="171"/>
      <c r="R294" s="171"/>
      <c r="S294" s="171"/>
      <c r="T294" s="171"/>
      <c r="U294" s="171"/>
      <c r="V294" s="171"/>
      <c r="W294" s="171"/>
      <c r="X294" s="171"/>
      <c r="Y294" s="171"/>
      <c r="Z294" s="171"/>
    </row>
    <row r="295">
      <c r="A295" s="171"/>
      <c r="B295" s="171"/>
      <c r="C295" s="171"/>
      <c r="D295" s="171"/>
      <c r="E295" s="171"/>
      <c r="F295" s="171"/>
      <c r="G295" s="171"/>
      <c r="H295" s="171"/>
      <c r="I295" s="171"/>
      <c r="J295" s="171"/>
      <c r="K295" s="171"/>
      <c r="L295" s="171"/>
      <c r="M295" s="171"/>
      <c r="N295" s="171"/>
      <c r="O295" s="171"/>
      <c r="P295" s="171"/>
      <c r="Q295" s="171"/>
      <c r="R295" s="171"/>
      <c r="S295" s="171"/>
      <c r="T295" s="171"/>
      <c r="U295" s="171"/>
      <c r="V295" s="171"/>
      <c r="W295" s="171"/>
      <c r="X295" s="171"/>
      <c r="Y295" s="171"/>
      <c r="Z295" s="171"/>
    </row>
    <row r="296">
      <c r="A296" s="171"/>
      <c r="B296" s="171"/>
      <c r="C296" s="171"/>
      <c r="D296" s="171"/>
      <c r="E296" s="171"/>
      <c r="F296" s="171"/>
      <c r="G296" s="171"/>
      <c r="H296" s="171"/>
      <c r="I296" s="171"/>
      <c r="J296" s="171"/>
      <c r="K296" s="171"/>
      <c r="L296" s="171"/>
      <c r="M296" s="171"/>
      <c r="N296" s="171"/>
      <c r="O296" s="171"/>
      <c r="P296" s="171"/>
      <c r="Q296" s="171"/>
      <c r="R296" s="171"/>
      <c r="S296" s="171"/>
      <c r="T296" s="171"/>
      <c r="U296" s="171"/>
      <c r="V296" s="171"/>
      <c r="W296" s="171"/>
      <c r="X296" s="171"/>
      <c r="Y296" s="171"/>
      <c r="Z296" s="171"/>
    </row>
    <row r="297">
      <c r="A297" s="169"/>
      <c r="B297" s="171"/>
      <c r="C297" s="171"/>
      <c r="D297" s="171"/>
      <c r="E297" s="171"/>
      <c r="F297" s="171"/>
      <c r="G297" s="171"/>
      <c r="H297" s="171"/>
      <c r="I297" s="171"/>
      <c r="J297" s="171"/>
      <c r="K297" s="171"/>
      <c r="L297" s="171"/>
      <c r="M297" s="171"/>
      <c r="N297" s="171"/>
      <c r="O297" s="171"/>
      <c r="P297" s="171"/>
      <c r="Q297" s="171"/>
      <c r="R297" s="171"/>
      <c r="S297" s="171"/>
      <c r="T297" s="171"/>
      <c r="U297" s="171"/>
      <c r="V297" s="171"/>
      <c r="W297" s="171"/>
      <c r="X297" s="171"/>
      <c r="Y297" s="171"/>
      <c r="Z297" s="171"/>
    </row>
    <row r="298">
      <c r="A298" s="171"/>
      <c r="B298" s="171"/>
      <c r="C298" s="171"/>
      <c r="D298" s="171"/>
      <c r="E298" s="171"/>
      <c r="F298" s="171"/>
      <c r="G298" s="171"/>
      <c r="H298" s="171"/>
      <c r="I298" s="171"/>
      <c r="J298" s="171"/>
      <c r="K298" s="171"/>
      <c r="L298" s="171"/>
      <c r="M298" s="171"/>
      <c r="N298" s="171"/>
      <c r="O298" s="171"/>
      <c r="P298" s="171"/>
      <c r="Q298" s="171"/>
      <c r="R298" s="171"/>
      <c r="S298" s="171"/>
      <c r="T298" s="171"/>
      <c r="U298" s="171"/>
      <c r="V298" s="171"/>
      <c r="W298" s="171"/>
      <c r="X298" s="171"/>
      <c r="Y298" s="171"/>
      <c r="Z298" s="171"/>
    </row>
    <row r="299">
      <c r="A299" s="171"/>
      <c r="B299" s="171"/>
      <c r="C299" s="171"/>
      <c r="D299" s="171"/>
      <c r="E299" s="171"/>
      <c r="F299" s="171"/>
      <c r="G299" s="171"/>
      <c r="H299" s="171"/>
      <c r="I299" s="171"/>
      <c r="J299" s="171"/>
      <c r="K299" s="171"/>
      <c r="L299" s="171"/>
      <c r="M299" s="171"/>
      <c r="N299" s="171"/>
      <c r="O299" s="171"/>
      <c r="P299" s="171"/>
      <c r="Q299" s="171"/>
      <c r="R299" s="171"/>
      <c r="S299" s="171"/>
      <c r="T299" s="171"/>
      <c r="U299" s="171"/>
      <c r="V299" s="171"/>
      <c r="W299" s="171"/>
      <c r="X299" s="171"/>
      <c r="Y299" s="171"/>
      <c r="Z299" s="171"/>
    </row>
    <row r="300">
      <c r="A300" s="171"/>
      <c r="B300" s="171"/>
      <c r="C300" s="171"/>
      <c r="D300" s="171"/>
      <c r="E300" s="171"/>
      <c r="F300" s="171"/>
      <c r="G300" s="171"/>
      <c r="H300" s="171"/>
      <c r="I300" s="171"/>
      <c r="J300" s="171"/>
      <c r="K300" s="171"/>
      <c r="L300" s="171"/>
      <c r="M300" s="171"/>
      <c r="N300" s="171"/>
      <c r="O300" s="171"/>
      <c r="P300" s="171"/>
      <c r="Q300" s="171"/>
      <c r="R300" s="171"/>
      <c r="S300" s="171"/>
      <c r="T300" s="171"/>
      <c r="U300" s="171"/>
      <c r="V300" s="171"/>
      <c r="W300" s="171"/>
      <c r="X300" s="171"/>
      <c r="Y300" s="171"/>
      <c r="Z300" s="171"/>
    </row>
    <row r="301">
      <c r="A301" s="171"/>
      <c r="B301" s="171"/>
      <c r="C301" s="171"/>
      <c r="D301" s="171"/>
      <c r="E301" s="171"/>
      <c r="F301" s="171"/>
      <c r="G301" s="171"/>
      <c r="H301" s="171"/>
      <c r="I301" s="171"/>
      <c r="J301" s="171"/>
      <c r="K301" s="171"/>
      <c r="L301" s="171"/>
      <c r="M301" s="171"/>
      <c r="N301" s="171"/>
      <c r="O301" s="171"/>
      <c r="P301" s="171"/>
      <c r="Q301" s="171"/>
      <c r="R301" s="171"/>
      <c r="S301" s="171"/>
      <c r="T301" s="171"/>
      <c r="U301" s="171"/>
      <c r="V301" s="171"/>
      <c r="W301" s="171"/>
      <c r="X301" s="171"/>
      <c r="Y301" s="171"/>
      <c r="Z301" s="171"/>
    </row>
    <row r="302">
      <c r="A302" s="171"/>
      <c r="B302" s="171"/>
      <c r="C302" s="171"/>
      <c r="D302" s="171"/>
      <c r="E302" s="171"/>
      <c r="F302" s="171"/>
      <c r="G302" s="171"/>
      <c r="H302" s="171"/>
      <c r="I302" s="171"/>
      <c r="J302" s="171"/>
      <c r="K302" s="171"/>
      <c r="L302" s="171"/>
      <c r="M302" s="171"/>
      <c r="N302" s="171"/>
      <c r="O302" s="171"/>
      <c r="P302" s="171"/>
      <c r="Q302" s="171"/>
      <c r="R302" s="171"/>
      <c r="S302" s="171"/>
      <c r="T302" s="171"/>
      <c r="U302" s="171"/>
      <c r="V302" s="171"/>
      <c r="W302" s="171"/>
      <c r="X302" s="171"/>
      <c r="Y302" s="171"/>
      <c r="Z302" s="171"/>
    </row>
    <row r="303">
      <c r="A303" s="171"/>
      <c r="B303" s="171"/>
      <c r="C303" s="171"/>
      <c r="D303" s="171"/>
      <c r="E303" s="171"/>
      <c r="F303" s="171"/>
      <c r="G303" s="171"/>
      <c r="H303" s="171"/>
      <c r="I303" s="171"/>
      <c r="J303" s="171"/>
      <c r="K303" s="171"/>
      <c r="L303" s="171"/>
      <c r="M303" s="171"/>
      <c r="N303" s="171"/>
      <c r="O303" s="171"/>
      <c r="P303" s="171"/>
      <c r="Q303" s="171"/>
      <c r="R303" s="171"/>
      <c r="S303" s="171"/>
      <c r="T303" s="171"/>
      <c r="U303" s="171"/>
      <c r="V303" s="171"/>
      <c r="W303" s="171"/>
      <c r="X303" s="171"/>
      <c r="Y303" s="171"/>
      <c r="Z303" s="171"/>
    </row>
    <row r="304">
      <c r="A304" s="171"/>
      <c r="B304" s="171"/>
      <c r="C304" s="171"/>
      <c r="D304" s="171"/>
      <c r="E304" s="171"/>
      <c r="F304" s="171"/>
      <c r="G304" s="171"/>
      <c r="H304" s="171"/>
      <c r="I304" s="171"/>
      <c r="J304" s="171"/>
      <c r="K304" s="171"/>
      <c r="L304" s="171"/>
      <c r="M304" s="171"/>
      <c r="N304" s="171"/>
      <c r="O304" s="171"/>
      <c r="P304" s="171"/>
      <c r="Q304" s="171"/>
      <c r="R304" s="171"/>
      <c r="S304" s="171"/>
      <c r="T304" s="171"/>
      <c r="U304" s="171"/>
      <c r="V304" s="171"/>
      <c r="W304" s="171"/>
      <c r="X304" s="171"/>
      <c r="Y304" s="171"/>
      <c r="Z304" s="171"/>
    </row>
    <row r="305">
      <c r="A305" s="171"/>
      <c r="B305" s="171"/>
      <c r="C305" s="171"/>
      <c r="D305" s="171"/>
      <c r="E305" s="171"/>
      <c r="F305" s="171"/>
      <c r="G305" s="171"/>
      <c r="H305" s="171"/>
      <c r="I305" s="171"/>
      <c r="J305" s="171"/>
      <c r="K305" s="171"/>
      <c r="L305" s="171"/>
      <c r="M305" s="171"/>
      <c r="N305" s="171"/>
      <c r="O305" s="171"/>
      <c r="P305" s="171"/>
      <c r="Q305" s="171"/>
      <c r="R305" s="171"/>
      <c r="S305" s="171"/>
      <c r="T305" s="171"/>
      <c r="U305" s="171"/>
      <c r="V305" s="171"/>
      <c r="W305" s="171"/>
      <c r="X305" s="171"/>
      <c r="Y305" s="171"/>
      <c r="Z305" s="171"/>
    </row>
    <row r="306">
      <c r="A306" s="171"/>
      <c r="B306" s="171"/>
      <c r="C306" s="171"/>
      <c r="D306" s="171"/>
      <c r="E306" s="171"/>
      <c r="F306" s="171"/>
      <c r="G306" s="171"/>
      <c r="H306" s="171"/>
      <c r="I306" s="171"/>
      <c r="J306" s="171"/>
      <c r="K306" s="171"/>
      <c r="L306" s="171"/>
      <c r="M306" s="171"/>
      <c r="N306" s="171"/>
      <c r="O306" s="171"/>
      <c r="P306" s="171"/>
      <c r="Q306" s="171"/>
      <c r="R306" s="171"/>
      <c r="S306" s="171"/>
      <c r="T306" s="171"/>
      <c r="U306" s="171"/>
      <c r="V306" s="171"/>
      <c r="W306" s="171"/>
      <c r="X306" s="171"/>
      <c r="Y306" s="171"/>
      <c r="Z306" s="171"/>
    </row>
    <row r="307">
      <c r="A307" s="171"/>
      <c r="B307" s="171"/>
      <c r="C307" s="171"/>
      <c r="D307" s="171"/>
      <c r="E307" s="171"/>
      <c r="F307" s="171"/>
      <c r="G307" s="171"/>
      <c r="H307" s="171"/>
      <c r="I307" s="171"/>
      <c r="J307" s="171"/>
      <c r="K307" s="171"/>
      <c r="L307" s="171"/>
      <c r="M307" s="171"/>
      <c r="N307" s="171"/>
      <c r="O307" s="171"/>
      <c r="P307" s="171"/>
      <c r="Q307" s="171"/>
      <c r="R307" s="171"/>
      <c r="S307" s="171"/>
      <c r="T307" s="171"/>
      <c r="U307" s="171"/>
      <c r="V307" s="171"/>
      <c r="W307" s="171"/>
      <c r="X307" s="171"/>
      <c r="Y307" s="171"/>
      <c r="Z307" s="171"/>
    </row>
    <row r="308">
      <c r="A308" s="171"/>
      <c r="B308" s="171"/>
      <c r="C308" s="171"/>
      <c r="D308" s="171"/>
      <c r="E308" s="171"/>
      <c r="F308" s="171"/>
      <c r="G308" s="171"/>
      <c r="H308" s="171"/>
      <c r="I308" s="171"/>
      <c r="J308" s="171"/>
      <c r="K308" s="171"/>
      <c r="L308" s="171"/>
      <c r="M308" s="171"/>
      <c r="N308" s="171"/>
      <c r="O308" s="171"/>
      <c r="P308" s="171"/>
      <c r="Q308" s="171"/>
      <c r="R308" s="171"/>
      <c r="S308" s="171"/>
      <c r="T308" s="171"/>
      <c r="U308" s="171"/>
      <c r="V308" s="171"/>
      <c r="W308" s="171"/>
      <c r="X308" s="171"/>
      <c r="Y308" s="171"/>
      <c r="Z308" s="171"/>
    </row>
    <row r="309">
      <c r="A309" s="171"/>
      <c r="B309" s="171"/>
      <c r="C309" s="171"/>
      <c r="D309" s="171"/>
      <c r="E309" s="171"/>
      <c r="F309" s="171"/>
      <c r="G309" s="171"/>
      <c r="H309" s="171"/>
      <c r="I309" s="171"/>
      <c r="J309" s="171"/>
      <c r="K309" s="171"/>
      <c r="L309" s="171"/>
      <c r="M309" s="171"/>
      <c r="N309" s="171"/>
      <c r="O309" s="171"/>
      <c r="P309" s="171"/>
      <c r="Q309" s="171"/>
      <c r="R309" s="171"/>
      <c r="S309" s="171"/>
      <c r="T309" s="171"/>
      <c r="U309" s="171"/>
      <c r="V309" s="171"/>
      <c r="W309" s="171"/>
      <c r="X309" s="171"/>
      <c r="Y309" s="171"/>
      <c r="Z309" s="171"/>
    </row>
    <row r="310">
      <c r="A310" s="171"/>
      <c r="B310" s="171"/>
      <c r="C310" s="171"/>
      <c r="D310" s="171"/>
      <c r="E310" s="171"/>
      <c r="F310" s="171"/>
      <c r="G310" s="171"/>
      <c r="H310" s="171"/>
      <c r="I310" s="171"/>
      <c r="J310" s="171"/>
      <c r="K310" s="171"/>
      <c r="L310" s="171"/>
      <c r="M310" s="171"/>
      <c r="N310" s="171"/>
      <c r="O310" s="171"/>
      <c r="P310" s="171"/>
      <c r="Q310" s="171"/>
      <c r="R310" s="171"/>
      <c r="S310" s="171"/>
      <c r="T310" s="171"/>
      <c r="U310" s="171"/>
      <c r="V310" s="171"/>
      <c r="W310" s="171"/>
      <c r="X310" s="171"/>
      <c r="Y310" s="171"/>
      <c r="Z310" s="171"/>
    </row>
    <row r="311">
      <c r="A311" s="171"/>
      <c r="B311" s="171"/>
      <c r="C311" s="171"/>
      <c r="D311" s="171"/>
      <c r="E311" s="171"/>
      <c r="F311" s="171"/>
      <c r="G311" s="171"/>
      <c r="H311" s="171"/>
      <c r="I311" s="171"/>
      <c r="J311" s="171"/>
      <c r="K311" s="171"/>
      <c r="L311" s="171"/>
      <c r="M311" s="171"/>
      <c r="N311" s="171"/>
      <c r="O311" s="171"/>
      <c r="P311" s="171"/>
      <c r="Q311" s="171"/>
      <c r="R311" s="171"/>
      <c r="S311" s="171"/>
      <c r="T311" s="171"/>
      <c r="U311" s="171"/>
      <c r="V311" s="171"/>
      <c r="W311" s="171"/>
      <c r="X311" s="171"/>
      <c r="Y311" s="171"/>
      <c r="Z311" s="171"/>
    </row>
    <row r="312">
      <c r="A312" s="171"/>
      <c r="B312" s="171"/>
      <c r="C312" s="171"/>
      <c r="D312" s="171"/>
      <c r="E312" s="171"/>
      <c r="F312" s="171"/>
      <c r="G312" s="171"/>
      <c r="H312" s="171"/>
      <c r="I312" s="171"/>
      <c r="J312" s="171"/>
      <c r="K312" s="171"/>
      <c r="L312" s="171"/>
      <c r="M312" s="171"/>
      <c r="N312" s="171"/>
      <c r="O312" s="171"/>
      <c r="P312" s="171"/>
      <c r="Q312" s="171"/>
      <c r="R312" s="171"/>
      <c r="S312" s="171"/>
      <c r="T312" s="171"/>
      <c r="U312" s="171"/>
      <c r="V312" s="171"/>
      <c r="W312" s="171"/>
      <c r="X312" s="171"/>
      <c r="Y312" s="171"/>
      <c r="Z312" s="171"/>
    </row>
    <row r="313">
      <c r="A313" s="171"/>
      <c r="B313" s="171"/>
      <c r="C313" s="171"/>
      <c r="D313" s="171"/>
      <c r="E313" s="171"/>
      <c r="F313" s="171"/>
      <c r="G313" s="171"/>
      <c r="H313" s="171"/>
      <c r="I313" s="171"/>
      <c r="J313" s="171"/>
      <c r="K313" s="171"/>
      <c r="L313" s="171"/>
      <c r="M313" s="171"/>
      <c r="N313" s="171"/>
      <c r="O313" s="171"/>
      <c r="P313" s="171"/>
      <c r="Q313" s="171"/>
      <c r="R313" s="171"/>
      <c r="S313" s="171"/>
      <c r="T313" s="171"/>
      <c r="U313" s="171"/>
      <c r="V313" s="171"/>
      <c r="W313" s="171"/>
      <c r="X313" s="171"/>
      <c r="Y313" s="171"/>
      <c r="Z313" s="171"/>
    </row>
    <row r="314">
      <c r="A314" s="171"/>
      <c r="B314" s="171"/>
      <c r="C314" s="171"/>
      <c r="D314" s="171"/>
      <c r="E314" s="171"/>
      <c r="F314" s="171"/>
      <c r="G314" s="171"/>
      <c r="H314" s="171"/>
      <c r="I314" s="171"/>
      <c r="J314" s="171"/>
      <c r="K314" s="171"/>
      <c r="L314" s="171"/>
      <c r="M314" s="171"/>
      <c r="N314" s="171"/>
      <c r="O314" s="171"/>
      <c r="P314" s="171"/>
      <c r="Q314" s="171"/>
      <c r="R314" s="171"/>
      <c r="S314" s="171"/>
      <c r="T314" s="171"/>
      <c r="U314" s="171"/>
      <c r="V314" s="171"/>
      <c r="W314" s="171"/>
      <c r="X314" s="171"/>
      <c r="Y314" s="171"/>
      <c r="Z314" s="171"/>
    </row>
    <row r="315">
      <c r="A315" s="171"/>
      <c r="B315" s="171"/>
      <c r="C315" s="171"/>
      <c r="D315" s="171"/>
      <c r="E315" s="171"/>
      <c r="F315" s="171"/>
      <c r="G315" s="171"/>
      <c r="H315" s="171"/>
      <c r="I315" s="171"/>
      <c r="J315" s="171"/>
      <c r="K315" s="171"/>
      <c r="L315" s="171"/>
      <c r="M315" s="171"/>
      <c r="N315" s="171"/>
      <c r="O315" s="171"/>
      <c r="P315" s="171"/>
      <c r="Q315" s="171"/>
      <c r="R315" s="171"/>
      <c r="S315" s="171"/>
      <c r="T315" s="171"/>
      <c r="U315" s="171"/>
      <c r="V315" s="171"/>
      <c r="W315" s="171"/>
      <c r="X315" s="171"/>
      <c r="Y315" s="171"/>
      <c r="Z315" s="171"/>
    </row>
    <row r="316">
      <c r="A316" s="171"/>
      <c r="B316" s="171"/>
      <c r="C316" s="171"/>
      <c r="D316" s="171"/>
      <c r="E316" s="171"/>
      <c r="F316" s="171"/>
      <c r="G316" s="171"/>
      <c r="H316" s="171"/>
      <c r="I316" s="171"/>
      <c r="J316" s="171"/>
      <c r="K316" s="171"/>
      <c r="L316" s="171"/>
      <c r="M316" s="171"/>
      <c r="N316" s="171"/>
      <c r="O316" s="171"/>
      <c r="P316" s="171"/>
      <c r="Q316" s="171"/>
      <c r="R316" s="171"/>
      <c r="S316" s="171"/>
      <c r="T316" s="171"/>
      <c r="U316" s="171"/>
      <c r="V316" s="171"/>
      <c r="W316" s="171"/>
      <c r="X316" s="171"/>
      <c r="Y316" s="171"/>
      <c r="Z316" s="171"/>
    </row>
    <row r="317">
      <c r="A317" s="171"/>
      <c r="B317" s="171"/>
      <c r="C317" s="171"/>
      <c r="D317" s="171"/>
      <c r="E317" s="171"/>
      <c r="F317" s="171"/>
      <c r="G317" s="171"/>
      <c r="H317" s="171"/>
      <c r="I317" s="171"/>
      <c r="J317" s="171"/>
      <c r="K317" s="171"/>
      <c r="L317" s="171"/>
      <c r="M317" s="171"/>
      <c r="N317" s="171"/>
      <c r="O317" s="171"/>
      <c r="P317" s="171"/>
      <c r="Q317" s="171"/>
      <c r="R317" s="171"/>
      <c r="S317" s="171"/>
      <c r="T317" s="171"/>
      <c r="U317" s="171"/>
      <c r="V317" s="171"/>
      <c r="W317" s="171"/>
      <c r="X317" s="171"/>
      <c r="Y317" s="171"/>
      <c r="Z317" s="171"/>
    </row>
    <row r="318">
      <c r="A318" s="171"/>
      <c r="B318" s="171"/>
      <c r="C318" s="171"/>
      <c r="D318" s="171"/>
      <c r="E318" s="171"/>
      <c r="F318" s="171"/>
      <c r="G318" s="171"/>
      <c r="H318" s="171"/>
      <c r="I318" s="171"/>
      <c r="J318" s="171"/>
      <c r="K318" s="171"/>
      <c r="L318" s="171"/>
      <c r="M318" s="171"/>
      <c r="N318" s="171"/>
      <c r="O318" s="171"/>
      <c r="P318" s="171"/>
      <c r="Q318" s="171"/>
      <c r="R318" s="171"/>
      <c r="S318" s="171"/>
      <c r="T318" s="171"/>
      <c r="U318" s="171"/>
      <c r="V318" s="171"/>
      <c r="W318" s="171"/>
      <c r="X318" s="171"/>
      <c r="Y318" s="171"/>
      <c r="Z318" s="171"/>
    </row>
    <row r="319">
      <c r="A319" s="171"/>
      <c r="B319" s="171"/>
      <c r="C319" s="171"/>
      <c r="D319" s="171"/>
      <c r="E319" s="171"/>
      <c r="F319" s="171"/>
      <c r="G319" s="171"/>
      <c r="H319" s="171"/>
      <c r="I319" s="171"/>
      <c r="J319" s="171"/>
      <c r="K319" s="171"/>
      <c r="L319" s="171"/>
      <c r="M319" s="171"/>
      <c r="N319" s="171"/>
      <c r="O319" s="171"/>
      <c r="P319" s="171"/>
      <c r="Q319" s="171"/>
      <c r="R319" s="171"/>
      <c r="S319" s="171"/>
      <c r="T319" s="171"/>
      <c r="U319" s="171"/>
      <c r="V319" s="171"/>
      <c r="W319" s="171"/>
      <c r="X319" s="171"/>
      <c r="Y319" s="171"/>
      <c r="Z319" s="171"/>
    </row>
    <row r="320">
      <c r="A320" s="171"/>
      <c r="B320" s="171"/>
      <c r="C320" s="171"/>
      <c r="D320" s="171"/>
      <c r="E320" s="171"/>
      <c r="F320" s="171"/>
      <c r="G320" s="171"/>
      <c r="H320" s="171"/>
      <c r="I320" s="171"/>
      <c r="J320" s="171"/>
      <c r="K320" s="171"/>
      <c r="L320" s="171"/>
      <c r="M320" s="171"/>
      <c r="N320" s="171"/>
      <c r="O320" s="171"/>
      <c r="P320" s="171"/>
      <c r="Q320" s="171"/>
      <c r="R320" s="171"/>
      <c r="S320" s="171"/>
      <c r="T320" s="171"/>
      <c r="U320" s="171"/>
      <c r="V320" s="171"/>
      <c r="W320" s="171"/>
      <c r="X320" s="171"/>
      <c r="Y320" s="171"/>
      <c r="Z320" s="171"/>
    </row>
    <row r="321">
      <c r="A321" s="171"/>
      <c r="B321" s="171"/>
      <c r="C321" s="171"/>
      <c r="D321" s="171"/>
      <c r="E321" s="171"/>
      <c r="F321" s="171"/>
      <c r="G321" s="171"/>
      <c r="H321" s="171"/>
      <c r="I321" s="171"/>
      <c r="J321" s="171"/>
      <c r="K321" s="171"/>
      <c r="L321" s="171"/>
      <c r="M321" s="171"/>
      <c r="N321" s="171"/>
      <c r="O321" s="171"/>
      <c r="P321" s="171"/>
      <c r="Q321" s="171"/>
      <c r="R321" s="171"/>
      <c r="S321" s="171"/>
      <c r="T321" s="171"/>
      <c r="U321" s="171"/>
      <c r="V321" s="171"/>
      <c r="W321" s="171"/>
      <c r="X321" s="171"/>
      <c r="Y321" s="171"/>
      <c r="Z321" s="171"/>
    </row>
  </sheetData>
  <mergeCells count="14">
    <mergeCell ref="B27:F27"/>
    <mergeCell ref="B28:F28"/>
    <mergeCell ref="B29:F29"/>
    <mergeCell ref="B30:F30"/>
    <mergeCell ref="B31:D31"/>
    <mergeCell ref="E31:F31"/>
    <mergeCell ref="E32:F32"/>
    <mergeCell ref="B4:F4"/>
    <mergeCell ref="B5:C5"/>
    <mergeCell ref="D5:F5"/>
    <mergeCell ref="B9:F9"/>
    <mergeCell ref="B10:C10"/>
    <mergeCell ref="D10:F10"/>
    <mergeCell ref="B11:F11"/>
  </mergeCells>
  <printOptions/>
  <pageMargins bottom="0.75" footer="0.0" header="0.0" left="0.7" right="0.7" top="0.75"/>
  <pageSetup orientation="landscape"/>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13"/>
    <col customWidth="1" min="5" max="5" width="23.25"/>
    <col customWidth="1" min="6" max="6" width="22.38"/>
    <col customWidth="1" min="7" max="7" width="18.0"/>
    <col customWidth="1" min="8" max="8" width="17.0"/>
    <col customWidth="1" min="9" max="9" width="27.38"/>
    <col customWidth="1" min="10" max="10" width="27.88"/>
    <col customWidth="1" min="11" max="26" width="10.0"/>
  </cols>
  <sheetData>
    <row r="1" ht="12.75" customHeight="1">
      <c r="C1" s="148"/>
      <c r="E1" s="195"/>
      <c r="F1" s="195"/>
      <c r="G1" s="196"/>
      <c r="H1" s="195"/>
    </row>
    <row r="2" ht="27.75" customHeight="1">
      <c r="C2" s="148"/>
      <c r="D2" s="15" t="s">
        <v>10</v>
      </c>
    </row>
    <row r="3" ht="12.75" customHeight="1">
      <c r="C3" s="148"/>
      <c r="E3" s="195"/>
      <c r="F3" s="195"/>
      <c r="G3" s="196"/>
      <c r="H3" s="195"/>
    </row>
    <row r="4" ht="12.75" customHeight="1">
      <c r="C4" s="148"/>
      <c r="E4" s="195"/>
      <c r="F4" s="195"/>
      <c r="G4" s="196"/>
      <c r="H4" s="195"/>
    </row>
    <row r="5" ht="43.5" customHeight="1">
      <c r="A5" s="16" t="s">
        <v>11</v>
      </c>
      <c r="B5" s="17"/>
      <c r="C5" s="17"/>
      <c r="D5" s="17"/>
      <c r="E5" s="17"/>
      <c r="F5" s="17"/>
      <c r="G5" s="17"/>
      <c r="H5" s="17"/>
      <c r="I5" s="17"/>
      <c r="J5" s="18"/>
    </row>
    <row r="6" ht="15.75" customHeight="1">
      <c r="C6" s="148"/>
      <c r="E6" s="195"/>
      <c r="F6" s="195"/>
      <c r="G6" s="196"/>
      <c r="H6" s="195"/>
    </row>
    <row r="7" ht="75.75" customHeight="1">
      <c r="A7" s="19" t="s">
        <v>12</v>
      </c>
      <c r="B7" s="49" t="s">
        <v>356</v>
      </c>
      <c r="C7" s="149" t="s">
        <v>357</v>
      </c>
      <c r="D7" s="137" t="s">
        <v>358</v>
      </c>
      <c r="E7" s="118" t="s">
        <v>359</v>
      </c>
      <c r="F7" s="119" t="s">
        <v>360</v>
      </c>
      <c r="G7" s="197" t="s">
        <v>361</v>
      </c>
      <c r="H7" s="118" t="s">
        <v>19</v>
      </c>
      <c r="I7" s="49" t="s">
        <v>362</v>
      </c>
      <c r="J7" s="49" t="s">
        <v>363</v>
      </c>
      <c r="K7" s="24"/>
      <c r="L7" s="24"/>
      <c r="M7" s="24"/>
      <c r="N7" s="24"/>
      <c r="O7" s="24"/>
      <c r="P7" s="24"/>
      <c r="Q7" s="24"/>
      <c r="R7" s="24"/>
      <c r="S7" s="24"/>
      <c r="T7" s="24"/>
      <c r="U7" s="24"/>
      <c r="V7" s="24"/>
      <c r="W7" s="24"/>
      <c r="X7" s="24"/>
      <c r="Y7" s="24"/>
      <c r="Z7" s="24"/>
    </row>
    <row r="8" ht="147.75" customHeight="1">
      <c r="A8" s="67" t="s">
        <v>22</v>
      </c>
      <c r="B8" s="138" t="s">
        <v>364</v>
      </c>
      <c r="C8" s="156" t="s">
        <v>365</v>
      </c>
      <c r="D8" s="144" t="s">
        <v>366</v>
      </c>
      <c r="E8" s="45">
        <v>1189000.0</v>
      </c>
      <c r="F8" s="45">
        <v>1189000.0</v>
      </c>
      <c r="G8" s="45">
        <v>326.62</v>
      </c>
      <c r="H8" s="45" t="s">
        <v>204</v>
      </c>
      <c r="I8" s="138" t="s">
        <v>367</v>
      </c>
      <c r="J8" s="142" t="s">
        <v>368</v>
      </c>
    </row>
    <row r="9" ht="103.5" customHeight="1">
      <c r="A9" s="67" t="s">
        <v>31</v>
      </c>
      <c r="B9" s="138" t="s">
        <v>224</v>
      </c>
      <c r="C9" s="156" t="s">
        <v>225</v>
      </c>
      <c r="D9" s="144" t="s">
        <v>369</v>
      </c>
      <c r="E9" s="198">
        <v>1022646.0</v>
      </c>
      <c r="F9" s="198">
        <v>1022646.0</v>
      </c>
      <c r="G9" s="45">
        <v>280.92</v>
      </c>
      <c r="H9" s="199" t="s">
        <v>204</v>
      </c>
      <c r="I9" s="138" t="s">
        <v>227</v>
      </c>
      <c r="J9" s="142" t="s">
        <v>370</v>
      </c>
    </row>
    <row r="10" ht="113.25" customHeight="1">
      <c r="A10" s="67" t="s">
        <v>40</v>
      </c>
      <c r="B10" s="138" t="s">
        <v>201</v>
      </c>
      <c r="C10" s="156" t="s">
        <v>202</v>
      </c>
      <c r="D10" s="144" t="s">
        <v>371</v>
      </c>
      <c r="E10" s="200">
        <v>1610000.0</v>
      </c>
      <c r="F10" s="200">
        <v>1610000.0</v>
      </c>
      <c r="G10" s="45">
        <v>434.28</v>
      </c>
      <c r="H10" s="199" t="s">
        <v>204</v>
      </c>
      <c r="I10" s="138" t="s">
        <v>205</v>
      </c>
      <c r="J10" s="142" t="s">
        <v>370</v>
      </c>
    </row>
    <row r="11" ht="15.0" hidden="1" customHeight="1">
      <c r="A11" s="36"/>
      <c r="B11" s="78"/>
      <c r="C11" s="158"/>
      <c r="D11" s="78"/>
      <c r="E11" s="133"/>
      <c r="F11" s="133"/>
      <c r="G11" s="201"/>
      <c r="H11" s="133"/>
      <c r="I11" s="78"/>
      <c r="J11" s="78"/>
    </row>
    <row r="12" ht="12.75" customHeight="1">
      <c r="C12" s="148"/>
      <c r="E12" s="195"/>
      <c r="F12" s="195"/>
      <c r="G12" s="196"/>
      <c r="H12" s="195"/>
    </row>
    <row r="13" ht="138.75" customHeight="1">
      <c r="A13" s="39" t="s">
        <v>372</v>
      </c>
      <c r="B13" s="17"/>
      <c r="C13" s="17"/>
      <c r="D13" s="17"/>
      <c r="E13" s="17"/>
      <c r="F13" s="17"/>
      <c r="G13" s="17"/>
      <c r="H13" s="17"/>
      <c r="I13" s="17"/>
      <c r="J13" s="18"/>
    </row>
    <row r="14" ht="12.75" customHeight="1">
      <c r="C14" s="148"/>
      <c r="E14" s="195"/>
      <c r="F14" s="195"/>
      <c r="G14" s="196"/>
      <c r="H14" s="195"/>
    </row>
    <row r="15" ht="75.0" customHeight="1">
      <c r="A15" s="39" t="s">
        <v>373</v>
      </c>
      <c r="B15" s="17"/>
      <c r="C15" s="17"/>
      <c r="D15" s="17"/>
      <c r="E15" s="17"/>
      <c r="F15" s="17"/>
      <c r="G15" s="17"/>
      <c r="H15" s="17"/>
      <c r="I15" s="17"/>
      <c r="J15" s="18"/>
    </row>
    <row r="16" ht="12.75" customHeight="1">
      <c r="C16" s="148"/>
      <c r="E16" s="195"/>
      <c r="F16" s="195"/>
      <c r="G16" s="196"/>
      <c r="H16" s="195"/>
    </row>
    <row r="17" ht="12.75" customHeight="1">
      <c r="C17" s="148"/>
      <c r="E17" s="195"/>
      <c r="F17" s="195"/>
      <c r="G17" s="196"/>
      <c r="H17" s="195"/>
    </row>
    <row r="18" ht="12.75" customHeight="1">
      <c r="C18" s="148"/>
      <c r="E18" s="195"/>
      <c r="F18" s="195"/>
      <c r="G18" s="196"/>
      <c r="H18" s="195"/>
    </row>
    <row r="19" ht="12.75" customHeight="1">
      <c r="C19" s="148"/>
      <c r="E19" s="195"/>
      <c r="F19" s="195"/>
      <c r="G19" s="196"/>
      <c r="H19" s="195"/>
    </row>
    <row r="20" ht="12.75" customHeight="1">
      <c r="C20" s="148"/>
      <c r="E20" s="195"/>
      <c r="F20" s="195"/>
      <c r="G20" s="196"/>
      <c r="H20" s="195"/>
    </row>
    <row r="21" ht="12.75" customHeight="1">
      <c r="C21" s="148"/>
      <c r="E21" s="195"/>
      <c r="F21" s="195"/>
      <c r="G21" s="196"/>
      <c r="H21" s="195"/>
    </row>
    <row r="22" ht="12.75" customHeight="1">
      <c r="C22" s="148"/>
      <c r="E22" s="195"/>
      <c r="F22" s="195"/>
      <c r="G22" s="196"/>
      <c r="H22" s="195"/>
    </row>
    <row r="23" ht="12.75" customHeight="1">
      <c r="C23" s="148"/>
      <c r="E23" s="195"/>
      <c r="F23" s="195"/>
      <c r="G23" s="196"/>
      <c r="H23" s="195"/>
    </row>
    <row r="24" ht="12.75" customHeight="1">
      <c r="C24" s="148"/>
      <c r="E24" s="195"/>
      <c r="F24" s="195"/>
      <c r="G24" s="196"/>
      <c r="H24" s="195"/>
    </row>
    <row r="25" ht="12.75" customHeight="1">
      <c r="C25" s="148"/>
      <c r="E25" s="195"/>
      <c r="F25" s="195"/>
      <c r="G25" s="196"/>
      <c r="H25" s="195"/>
    </row>
    <row r="26" ht="12.75" customHeight="1">
      <c r="C26" s="148"/>
      <c r="D26" s="40"/>
      <c r="E26" s="134"/>
      <c r="F26" s="202"/>
      <c r="G26" s="203"/>
      <c r="H26" s="195"/>
    </row>
    <row r="27" ht="12.75" customHeight="1">
      <c r="C27" s="148"/>
      <c r="E27" s="195"/>
      <c r="F27" s="195"/>
      <c r="G27" s="196"/>
      <c r="H27" s="195"/>
    </row>
    <row r="28" ht="12.75" customHeight="1">
      <c r="C28" s="148"/>
      <c r="E28" s="195"/>
      <c r="F28" s="195"/>
      <c r="G28" s="196"/>
      <c r="H28" s="195"/>
    </row>
    <row r="29" ht="12.75" customHeight="1">
      <c r="C29" s="148"/>
      <c r="E29" s="195"/>
      <c r="F29" s="195"/>
      <c r="G29" s="196"/>
      <c r="H29" s="195"/>
    </row>
    <row r="30" ht="12.75" customHeight="1">
      <c r="C30" s="148"/>
      <c r="E30" s="195"/>
      <c r="F30" s="195"/>
      <c r="G30" s="196"/>
      <c r="H30" s="195"/>
    </row>
    <row r="31" ht="12.75" customHeight="1">
      <c r="C31" s="148"/>
      <c r="E31" s="195"/>
      <c r="F31" s="195"/>
      <c r="G31" s="196"/>
      <c r="H31" s="195"/>
    </row>
    <row r="32" ht="12.75" customHeight="1">
      <c r="C32" s="148"/>
      <c r="E32" s="195"/>
      <c r="F32" s="195"/>
      <c r="G32" s="196"/>
      <c r="H32" s="195"/>
    </row>
    <row r="33" ht="12.75" customHeight="1">
      <c r="C33" s="148"/>
      <c r="E33" s="195"/>
      <c r="F33" s="195"/>
      <c r="G33" s="196"/>
      <c r="H33" s="195"/>
    </row>
    <row r="34" ht="12.75" customHeight="1">
      <c r="C34" s="148"/>
      <c r="E34" s="195"/>
      <c r="F34" s="195"/>
      <c r="G34" s="196"/>
      <c r="H34" s="195"/>
    </row>
    <row r="35" ht="12.75" customHeight="1">
      <c r="C35" s="148"/>
      <c r="E35" s="195"/>
      <c r="F35" s="195"/>
      <c r="G35" s="196"/>
      <c r="H35" s="195"/>
    </row>
    <row r="36" ht="12.75" customHeight="1">
      <c r="C36" s="148"/>
      <c r="E36" s="195"/>
      <c r="F36" s="195"/>
      <c r="G36" s="196"/>
      <c r="H36" s="195"/>
    </row>
    <row r="37" ht="12.75" customHeight="1">
      <c r="C37" s="148"/>
      <c r="E37" s="195"/>
      <c r="F37" s="195"/>
      <c r="G37" s="196"/>
      <c r="H37" s="195"/>
    </row>
    <row r="38" ht="12.75" customHeight="1">
      <c r="C38" s="148"/>
      <c r="E38" s="195"/>
      <c r="F38" s="195"/>
      <c r="G38" s="196"/>
      <c r="H38" s="195"/>
    </row>
    <row r="39" ht="12.75" customHeight="1">
      <c r="C39" s="148"/>
      <c r="E39" s="195"/>
      <c r="F39" s="195"/>
      <c r="G39" s="196"/>
      <c r="H39" s="195"/>
    </row>
    <row r="40" ht="12.75" customHeight="1">
      <c r="C40" s="148"/>
      <c r="E40" s="195"/>
      <c r="F40" s="195"/>
      <c r="G40" s="196"/>
      <c r="H40" s="195"/>
    </row>
    <row r="41" ht="12.75" customHeight="1">
      <c r="C41" s="148"/>
      <c r="E41" s="195"/>
      <c r="F41" s="195"/>
      <c r="G41" s="196"/>
      <c r="H41" s="195"/>
    </row>
    <row r="42" ht="12.75" customHeight="1">
      <c r="C42" s="148"/>
      <c r="E42" s="195"/>
      <c r="F42" s="195"/>
      <c r="G42" s="196"/>
      <c r="H42" s="195"/>
    </row>
    <row r="43" ht="12.75" customHeight="1">
      <c r="C43" s="148"/>
      <c r="E43" s="195"/>
      <c r="F43" s="195"/>
      <c r="G43" s="196"/>
      <c r="H43" s="195"/>
    </row>
    <row r="44" ht="12.75" customHeight="1">
      <c r="C44" s="148"/>
      <c r="E44" s="195"/>
      <c r="F44" s="195"/>
      <c r="G44" s="196"/>
      <c r="H44" s="195"/>
    </row>
    <row r="45" ht="12.75" customHeight="1">
      <c r="C45" s="148"/>
      <c r="E45" s="195"/>
      <c r="F45" s="195"/>
      <c r="G45" s="196"/>
      <c r="H45" s="195"/>
    </row>
    <row r="46" ht="12.75" customHeight="1">
      <c r="C46" s="148"/>
      <c r="E46" s="195"/>
      <c r="F46" s="195"/>
      <c r="G46" s="196"/>
      <c r="H46" s="195"/>
    </row>
    <row r="47" ht="12.75" customHeight="1">
      <c r="C47" s="148"/>
      <c r="E47" s="195"/>
      <c r="F47" s="195"/>
      <c r="G47" s="196"/>
      <c r="H47" s="195"/>
    </row>
    <row r="48" ht="12.75" customHeight="1">
      <c r="C48" s="148"/>
      <c r="E48" s="195"/>
      <c r="F48" s="195"/>
      <c r="G48" s="196"/>
      <c r="H48" s="195"/>
    </row>
    <row r="49" ht="12.75" customHeight="1">
      <c r="C49" s="148"/>
      <c r="E49" s="195"/>
      <c r="F49" s="195"/>
      <c r="G49" s="196"/>
      <c r="H49" s="195"/>
    </row>
    <row r="50" ht="12.75" customHeight="1">
      <c r="C50" s="148"/>
      <c r="E50" s="195"/>
      <c r="F50" s="195"/>
      <c r="G50" s="196"/>
      <c r="H50" s="195"/>
    </row>
    <row r="51" ht="12.75" customHeight="1">
      <c r="C51" s="148"/>
      <c r="E51" s="195"/>
      <c r="F51" s="195"/>
      <c r="G51" s="196"/>
      <c r="H51" s="195"/>
    </row>
    <row r="52" ht="12.75" customHeight="1">
      <c r="C52" s="148"/>
      <c r="E52" s="195"/>
      <c r="F52" s="195"/>
      <c r="G52" s="196"/>
      <c r="H52" s="195"/>
    </row>
    <row r="53" ht="12.75" customHeight="1">
      <c r="C53" s="148"/>
      <c r="E53" s="195"/>
      <c r="F53" s="195"/>
      <c r="G53" s="196"/>
      <c r="H53" s="195"/>
    </row>
    <row r="54" ht="12.75" customHeight="1">
      <c r="C54" s="148"/>
      <c r="E54" s="195"/>
      <c r="F54" s="195"/>
      <c r="G54" s="196"/>
      <c r="H54" s="195"/>
    </row>
    <row r="55" ht="12.75" customHeight="1">
      <c r="C55" s="148"/>
      <c r="E55" s="195"/>
      <c r="F55" s="195"/>
      <c r="G55" s="196"/>
      <c r="H55" s="195"/>
    </row>
    <row r="56" ht="12.75" customHeight="1">
      <c r="C56" s="148"/>
      <c r="E56" s="195"/>
      <c r="F56" s="195"/>
      <c r="G56" s="196"/>
      <c r="H56" s="195"/>
    </row>
    <row r="57" ht="12.75" customHeight="1">
      <c r="C57" s="148"/>
      <c r="E57" s="195"/>
      <c r="F57" s="195"/>
      <c r="G57" s="196"/>
      <c r="H57" s="195"/>
    </row>
    <row r="58" ht="12.75" customHeight="1">
      <c r="C58" s="148"/>
      <c r="E58" s="195"/>
      <c r="F58" s="195"/>
      <c r="G58" s="196"/>
      <c r="H58" s="195"/>
    </row>
    <row r="59" ht="12.75" customHeight="1">
      <c r="C59" s="148"/>
      <c r="E59" s="195"/>
      <c r="F59" s="195"/>
      <c r="G59" s="196"/>
      <c r="H59" s="195"/>
    </row>
    <row r="60" ht="12.75" customHeight="1">
      <c r="C60" s="148"/>
      <c r="E60" s="195"/>
      <c r="F60" s="195"/>
      <c r="G60" s="196"/>
      <c r="H60" s="195"/>
    </row>
    <row r="61" ht="12.75" customHeight="1">
      <c r="C61" s="148"/>
      <c r="E61" s="195"/>
      <c r="F61" s="195"/>
      <c r="G61" s="196"/>
      <c r="H61" s="195"/>
    </row>
    <row r="62" ht="12.75" customHeight="1">
      <c r="C62" s="148"/>
      <c r="E62" s="195"/>
      <c r="F62" s="195"/>
      <c r="G62" s="196"/>
      <c r="H62" s="195"/>
    </row>
    <row r="63" ht="12.75" customHeight="1">
      <c r="C63" s="148"/>
      <c r="E63" s="195"/>
      <c r="F63" s="195"/>
      <c r="G63" s="196"/>
      <c r="H63" s="195"/>
    </row>
    <row r="64" ht="12.75" customHeight="1">
      <c r="C64" s="148"/>
      <c r="E64" s="195"/>
      <c r="F64" s="195"/>
      <c r="G64" s="196"/>
      <c r="H64" s="195"/>
    </row>
    <row r="65" ht="12.75" customHeight="1">
      <c r="C65" s="148"/>
      <c r="E65" s="195"/>
      <c r="F65" s="195"/>
      <c r="G65" s="196"/>
      <c r="H65" s="195"/>
    </row>
    <row r="66" ht="12.75" customHeight="1">
      <c r="C66" s="148"/>
      <c r="E66" s="195"/>
      <c r="F66" s="195"/>
      <c r="G66" s="196"/>
      <c r="H66" s="195"/>
    </row>
    <row r="67" ht="12.75" customHeight="1">
      <c r="C67" s="148"/>
      <c r="E67" s="195"/>
      <c r="F67" s="195"/>
      <c r="G67" s="196"/>
      <c r="H67" s="195"/>
    </row>
    <row r="68" ht="12.75" customHeight="1">
      <c r="C68" s="148"/>
      <c r="E68" s="195"/>
      <c r="F68" s="195"/>
      <c r="G68" s="196"/>
      <c r="H68" s="195"/>
    </row>
    <row r="69" ht="12.75" customHeight="1">
      <c r="C69" s="148"/>
      <c r="E69" s="195"/>
      <c r="F69" s="195"/>
      <c r="G69" s="196"/>
      <c r="H69" s="195"/>
    </row>
    <row r="70" ht="12.75" customHeight="1">
      <c r="C70" s="148"/>
      <c r="E70" s="195"/>
      <c r="F70" s="195"/>
      <c r="G70" s="196"/>
      <c r="H70" s="195"/>
    </row>
    <row r="71" ht="12.75" customHeight="1">
      <c r="C71" s="148"/>
      <c r="E71" s="195"/>
      <c r="F71" s="195"/>
      <c r="G71" s="196"/>
      <c r="H71" s="195"/>
    </row>
    <row r="72" ht="12.75" customHeight="1">
      <c r="C72" s="148"/>
      <c r="E72" s="195"/>
      <c r="F72" s="195"/>
      <c r="G72" s="196"/>
      <c r="H72" s="195"/>
    </row>
    <row r="73" ht="12.75" customHeight="1">
      <c r="C73" s="148"/>
      <c r="E73" s="195"/>
      <c r="F73" s="195"/>
      <c r="G73" s="196"/>
      <c r="H73" s="195"/>
    </row>
    <row r="74" ht="12.75" customHeight="1">
      <c r="C74" s="148"/>
      <c r="E74" s="195"/>
      <c r="F74" s="195"/>
      <c r="G74" s="196"/>
      <c r="H74" s="195"/>
    </row>
    <row r="75" ht="12.75" customHeight="1">
      <c r="C75" s="148"/>
      <c r="E75" s="195"/>
      <c r="F75" s="195"/>
      <c r="G75" s="196"/>
      <c r="H75" s="195"/>
    </row>
    <row r="76" ht="12.75" customHeight="1">
      <c r="C76" s="148"/>
      <c r="E76" s="195"/>
      <c r="F76" s="195"/>
      <c r="G76" s="196"/>
      <c r="H76" s="195"/>
    </row>
    <row r="77" ht="12.75" customHeight="1">
      <c r="C77" s="148"/>
      <c r="E77" s="195"/>
      <c r="F77" s="195"/>
      <c r="G77" s="196"/>
      <c r="H77" s="195"/>
    </row>
    <row r="78" ht="12.75" customHeight="1">
      <c r="C78" s="148"/>
      <c r="E78" s="195"/>
      <c r="F78" s="195"/>
      <c r="G78" s="196"/>
      <c r="H78" s="195"/>
    </row>
    <row r="79" ht="12.75" customHeight="1">
      <c r="C79" s="148"/>
      <c r="E79" s="195"/>
      <c r="F79" s="195"/>
      <c r="G79" s="196"/>
      <c r="H79" s="195"/>
    </row>
    <row r="80" ht="12.75" customHeight="1">
      <c r="C80" s="148"/>
      <c r="E80" s="195"/>
      <c r="F80" s="195"/>
      <c r="G80" s="196"/>
      <c r="H80" s="195"/>
    </row>
    <row r="81" ht="12.75" customHeight="1">
      <c r="C81" s="148"/>
      <c r="E81" s="195"/>
      <c r="F81" s="195"/>
      <c r="G81" s="196"/>
      <c r="H81" s="195"/>
    </row>
    <row r="82" ht="12.75" customHeight="1">
      <c r="C82" s="148"/>
      <c r="E82" s="195"/>
      <c r="F82" s="195"/>
      <c r="G82" s="196"/>
      <c r="H82" s="195"/>
    </row>
    <row r="83" ht="12.75" customHeight="1">
      <c r="C83" s="148"/>
      <c r="E83" s="195"/>
      <c r="F83" s="195"/>
      <c r="G83" s="196"/>
      <c r="H83" s="195"/>
    </row>
    <row r="84" ht="12.75" customHeight="1">
      <c r="C84" s="148"/>
      <c r="E84" s="195"/>
      <c r="F84" s="195"/>
      <c r="G84" s="196"/>
      <c r="H84" s="195"/>
    </row>
    <row r="85" ht="12.75" customHeight="1">
      <c r="C85" s="148"/>
      <c r="E85" s="195"/>
      <c r="F85" s="195"/>
      <c r="G85" s="196"/>
      <c r="H85" s="195"/>
    </row>
    <row r="86" ht="12.75" customHeight="1">
      <c r="C86" s="148"/>
      <c r="E86" s="195"/>
      <c r="F86" s="195"/>
      <c r="G86" s="196"/>
      <c r="H86" s="195"/>
    </row>
    <row r="87" ht="12.75" customHeight="1">
      <c r="C87" s="148"/>
      <c r="E87" s="195"/>
      <c r="F87" s="195"/>
      <c r="G87" s="196"/>
      <c r="H87" s="195"/>
    </row>
    <row r="88" ht="12.75" customHeight="1">
      <c r="C88" s="148"/>
      <c r="E88" s="195"/>
      <c r="F88" s="195"/>
      <c r="G88" s="196"/>
      <c r="H88" s="195"/>
    </row>
    <row r="89" ht="12.75" customHeight="1">
      <c r="C89" s="148"/>
      <c r="E89" s="195"/>
      <c r="F89" s="195"/>
      <c r="G89" s="196"/>
      <c r="H89" s="195"/>
    </row>
    <row r="90" ht="12.75" customHeight="1">
      <c r="C90" s="148"/>
      <c r="E90" s="195"/>
      <c r="F90" s="195"/>
      <c r="G90" s="196"/>
      <c r="H90" s="195"/>
    </row>
    <row r="91" ht="12.75" customHeight="1">
      <c r="C91" s="148"/>
      <c r="E91" s="195"/>
      <c r="F91" s="195"/>
      <c r="G91" s="196"/>
      <c r="H91" s="195"/>
    </row>
    <row r="92" ht="12.75" customHeight="1">
      <c r="C92" s="148"/>
      <c r="E92" s="195"/>
      <c r="F92" s="195"/>
      <c r="G92" s="196"/>
      <c r="H92" s="195"/>
    </row>
    <row r="93" ht="12.75" customHeight="1">
      <c r="C93" s="148"/>
      <c r="E93" s="195"/>
      <c r="F93" s="195"/>
      <c r="G93" s="196"/>
      <c r="H93" s="195"/>
    </row>
    <row r="94" ht="12.75" customHeight="1">
      <c r="C94" s="148"/>
      <c r="E94" s="195"/>
      <c r="F94" s="195"/>
      <c r="G94" s="196"/>
      <c r="H94" s="195"/>
    </row>
    <row r="95" ht="12.75" customHeight="1">
      <c r="C95" s="148"/>
      <c r="E95" s="195"/>
      <c r="F95" s="195"/>
      <c r="G95" s="196"/>
      <c r="H95" s="195"/>
    </row>
    <row r="96" ht="12.75" customHeight="1">
      <c r="C96" s="148"/>
      <c r="E96" s="195"/>
      <c r="F96" s="195"/>
      <c r="G96" s="196"/>
      <c r="H96" s="195"/>
    </row>
    <row r="97" ht="12.75" customHeight="1">
      <c r="C97" s="148"/>
      <c r="E97" s="195"/>
      <c r="F97" s="195"/>
      <c r="G97" s="196"/>
      <c r="H97" s="195"/>
    </row>
    <row r="98" ht="12.75" customHeight="1">
      <c r="C98" s="148"/>
      <c r="E98" s="195"/>
      <c r="F98" s="195"/>
      <c r="G98" s="196"/>
      <c r="H98" s="195"/>
    </row>
    <row r="99" ht="12.75" customHeight="1">
      <c r="C99" s="148"/>
      <c r="E99" s="195"/>
      <c r="F99" s="195"/>
      <c r="G99" s="196"/>
      <c r="H99" s="195"/>
    </row>
    <row r="100" ht="12.75" customHeight="1">
      <c r="C100" s="148"/>
      <c r="E100" s="195"/>
      <c r="F100" s="195"/>
      <c r="G100" s="196"/>
      <c r="H100" s="195"/>
    </row>
    <row r="101" ht="12.75" customHeight="1">
      <c r="C101" s="148"/>
      <c r="E101" s="195"/>
      <c r="F101" s="195"/>
      <c r="G101" s="196"/>
      <c r="H101" s="195"/>
    </row>
    <row r="102" ht="12.75" customHeight="1">
      <c r="C102" s="148"/>
      <c r="E102" s="195"/>
      <c r="F102" s="195"/>
      <c r="G102" s="196"/>
      <c r="H102" s="195"/>
    </row>
    <row r="103" ht="12.75" customHeight="1">
      <c r="C103" s="148"/>
      <c r="E103" s="195"/>
      <c r="F103" s="195"/>
      <c r="G103" s="196"/>
      <c r="H103" s="195"/>
    </row>
    <row r="104" ht="12.75" customHeight="1">
      <c r="C104" s="148"/>
      <c r="E104" s="195"/>
      <c r="F104" s="195"/>
      <c r="G104" s="196"/>
      <c r="H104" s="195"/>
    </row>
    <row r="105" ht="12.75" customHeight="1">
      <c r="C105" s="148"/>
      <c r="E105" s="195"/>
      <c r="F105" s="195"/>
      <c r="G105" s="196"/>
      <c r="H105" s="195"/>
    </row>
    <row r="106" ht="12.75" customHeight="1">
      <c r="C106" s="148"/>
      <c r="E106" s="195"/>
      <c r="F106" s="195"/>
      <c r="G106" s="196"/>
      <c r="H106" s="195"/>
    </row>
    <row r="107" ht="12.75" customHeight="1">
      <c r="C107" s="148"/>
      <c r="E107" s="195"/>
      <c r="F107" s="195"/>
      <c r="G107" s="196"/>
      <c r="H107" s="195"/>
    </row>
    <row r="108" ht="12.75" customHeight="1">
      <c r="C108" s="148"/>
      <c r="E108" s="195"/>
      <c r="F108" s="195"/>
      <c r="G108" s="196"/>
      <c r="H108" s="195"/>
    </row>
    <row r="109" ht="12.75" customHeight="1">
      <c r="C109" s="148"/>
      <c r="E109" s="195"/>
      <c r="F109" s="195"/>
      <c r="G109" s="196"/>
      <c r="H109" s="195"/>
    </row>
    <row r="110" ht="12.75" customHeight="1">
      <c r="C110" s="148"/>
      <c r="E110" s="195"/>
      <c r="F110" s="195"/>
      <c r="G110" s="196"/>
      <c r="H110" s="195"/>
    </row>
    <row r="111" ht="12.75" customHeight="1">
      <c r="C111" s="148"/>
      <c r="E111" s="195"/>
      <c r="F111" s="195"/>
      <c r="G111" s="196"/>
      <c r="H111" s="195"/>
    </row>
    <row r="112" ht="12.75" customHeight="1">
      <c r="C112" s="148"/>
      <c r="E112" s="195"/>
      <c r="F112" s="195"/>
      <c r="G112" s="196"/>
      <c r="H112" s="195"/>
    </row>
    <row r="113" ht="12.75" customHeight="1">
      <c r="C113" s="148"/>
      <c r="E113" s="195"/>
      <c r="F113" s="195"/>
      <c r="G113" s="196"/>
      <c r="H113" s="195"/>
    </row>
    <row r="114" ht="12.75" customHeight="1">
      <c r="C114" s="148"/>
      <c r="E114" s="195"/>
      <c r="F114" s="195"/>
      <c r="G114" s="196"/>
      <c r="H114" s="195"/>
    </row>
    <row r="115" ht="12.75" customHeight="1">
      <c r="C115" s="148"/>
      <c r="E115" s="195"/>
      <c r="F115" s="195"/>
      <c r="G115" s="196"/>
      <c r="H115" s="195"/>
    </row>
    <row r="116" ht="12.75" customHeight="1">
      <c r="C116" s="148"/>
      <c r="E116" s="195"/>
      <c r="F116" s="195"/>
      <c r="G116" s="196"/>
      <c r="H116" s="195"/>
    </row>
    <row r="117" ht="12.75" customHeight="1">
      <c r="C117" s="148"/>
      <c r="E117" s="195"/>
      <c r="F117" s="195"/>
      <c r="G117" s="196"/>
      <c r="H117" s="195"/>
    </row>
    <row r="118" ht="12.75" customHeight="1">
      <c r="C118" s="148"/>
      <c r="E118" s="195"/>
      <c r="F118" s="195"/>
      <c r="G118" s="196"/>
      <c r="H118" s="195"/>
    </row>
    <row r="119" ht="12.75" customHeight="1">
      <c r="C119" s="148"/>
      <c r="E119" s="195"/>
      <c r="F119" s="195"/>
      <c r="G119" s="196"/>
      <c r="H119" s="195"/>
    </row>
    <row r="120" ht="12.75" customHeight="1">
      <c r="C120" s="148"/>
      <c r="E120" s="195"/>
      <c r="F120" s="195"/>
      <c r="G120" s="196"/>
      <c r="H120" s="195"/>
    </row>
    <row r="121" ht="12.75" customHeight="1">
      <c r="C121" s="148"/>
      <c r="E121" s="195"/>
      <c r="F121" s="195"/>
      <c r="G121" s="196"/>
      <c r="H121" s="195"/>
    </row>
    <row r="122" ht="12.75" customHeight="1">
      <c r="C122" s="148"/>
      <c r="E122" s="195"/>
      <c r="F122" s="195"/>
      <c r="G122" s="196"/>
      <c r="H122" s="195"/>
    </row>
    <row r="123" ht="12.75" customHeight="1">
      <c r="C123" s="148"/>
      <c r="E123" s="195"/>
      <c r="F123" s="195"/>
      <c r="G123" s="196"/>
      <c r="H123" s="195"/>
    </row>
    <row r="124" ht="12.75" customHeight="1">
      <c r="C124" s="148"/>
      <c r="E124" s="195"/>
      <c r="F124" s="195"/>
      <c r="G124" s="196"/>
      <c r="H124" s="195"/>
    </row>
    <row r="125" ht="12.75" customHeight="1">
      <c r="C125" s="148"/>
      <c r="E125" s="195"/>
      <c r="F125" s="195"/>
      <c r="G125" s="196"/>
      <c r="H125" s="195"/>
    </row>
    <row r="126" ht="12.75" customHeight="1">
      <c r="C126" s="148"/>
      <c r="E126" s="195"/>
      <c r="F126" s="195"/>
      <c r="G126" s="196"/>
      <c r="H126" s="195"/>
    </row>
    <row r="127" ht="12.75" customHeight="1">
      <c r="C127" s="148"/>
      <c r="E127" s="195"/>
      <c r="F127" s="195"/>
      <c r="G127" s="196"/>
      <c r="H127" s="195"/>
    </row>
    <row r="128" ht="12.75" customHeight="1">
      <c r="C128" s="148"/>
      <c r="E128" s="195"/>
      <c r="F128" s="195"/>
      <c r="G128" s="196"/>
      <c r="H128" s="195"/>
    </row>
    <row r="129" ht="12.75" customHeight="1">
      <c r="C129" s="148"/>
      <c r="E129" s="195"/>
      <c r="F129" s="195"/>
      <c r="G129" s="196"/>
      <c r="H129" s="195"/>
    </row>
    <row r="130" ht="12.75" customHeight="1">
      <c r="C130" s="148"/>
      <c r="E130" s="195"/>
      <c r="F130" s="195"/>
      <c r="G130" s="196"/>
      <c r="H130" s="195"/>
    </row>
    <row r="131" ht="12.75" customHeight="1">
      <c r="C131" s="148"/>
      <c r="E131" s="195"/>
      <c r="F131" s="195"/>
      <c r="G131" s="196"/>
      <c r="H131" s="195"/>
    </row>
    <row r="132" ht="12.75" customHeight="1">
      <c r="C132" s="148"/>
      <c r="E132" s="195"/>
      <c r="F132" s="195"/>
      <c r="G132" s="196"/>
      <c r="H132" s="195"/>
    </row>
    <row r="133" ht="12.75" customHeight="1">
      <c r="C133" s="148"/>
      <c r="E133" s="195"/>
      <c r="F133" s="195"/>
      <c r="G133" s="196"/>
      <c r="H133" s="195"/>
    </row>
    <row r="134" ht="12.75" customHeight="1">
      <c r="C134" s="148"/>
      <c r="E134" s="195"/>
      <c r="F134" s="195"/>
      <c r="G134" s="196"/>
      <c r="H134" s="195"/>
    </row>
    <row r="135" ht="12.75" customHeight="1">
      <c r="C135" s="148"/>
      <c r="E135" s="195"/>
      <c r="F135" s="195"/>
      <c r="G135" s="196"/>
      <c r="H135" s="195"/>
    </row>
    <row r="136" ht="12.75" customHeight="1">
      <c r="C136" s="148"/>
      <c r="E136" s="195"/>
      <c r="F136" s="195"/>
      <c r="G136" s="196"/>
      <c r="H136" s="195"/>
    </row>
    <row r="137" ht="12.75" customHeight="1">
      <c r="C137" s="148"/>
      <c r="E137" s="195"/>
      <c r="F137" s="195"/>
      <c r="G137" s="196"/>
      <c r="H137" s="195"/>
    </row>
    <row r="138" ht="12.75" customHeight="1">
      <c r="C138" s="148"/>
      <c r="E138" s="195"/>
      <c r="F138" s="195"/>
      <c r="G138" s="196"/>
      <c r="H138" s="195"/>
    </row>
    <row r="139" ht="12.75" customHeight="1">
      <c r="C139" s="148"/>
      <c r="E139" s="195"/>
      <c r="F139" s="195"/>
      <c r="G139" s="196"/>
      <c r="H139" s="195"/>
    </row>
    <row r="140" ht="12.75" customHeight="1">
      <c r="C140" s="148"/>
      <c r="E140" s="195"/>
      <c r="F140" s="195"/>
      <c r="G140" s="196"/>
      <c r="H140" s="195"/>
    </row>
    <row r="141" ht="12.75" customHeight="1">
      <c r="C141" s="148"/>
      <c r="E141" s="195"/>
      <c r="F141" s="195"/>
      <c r="G141" s="196"/>
      <c r="H141" s="195"/>
    </row>
    <row r="142" ht="12.75" customHeight="1">
      <c r="C142" s="148"/>
      <c r="E142" s="195"/>
      <c r="F142" s="195"/>
      <c r="G142" s="196"/>
      <c r="H142" s="195"/>
    </row>
    <row r="143" ht="12.75" customHeight="1">
      <c r="C143" s="148"/>
      <c r="E143" s="195"/>
      <c r="F143" s="195"/>
      <c r="G143" s="196"/>
      <c r="H143" s="195"/>
    </row>
    <row r="144" ht="12.75" customHeight="1">
      <c r="C144" s="148"/>
      <c r="E144" s="195"/>
      <c r="F144" s="195"/>
      <c r="G144" s="196"/>
      <c r="H144" s="195"/>
    </row>
    <row r="145" ht="12.75" customHeight="1">
      <c r="C145" s="148"/>
      <c r="E145" s="195"/>
      <c r="F145" s="195"/>
      <c r="G145" s="196"/>
      <c r="H145" s="195"/>
    </row>
    <row r="146" ht="12.75" customHeight="1">
      <c r="C146" s="148"/>
      <c r="E146" s="195"/>
      <c r="F146" s="195"/>
      <c r="G146" s="196"/>
      <c r="H146" s="195"/>
    </row>
    <row r="147" ht="12.75" customHeight="1">
      <c r="C147" s="148"/>
      <c r="E147" s="195"/>
      <c r="F147" s="195"/>
      <c r="G147" s="196"/>
      <c r="H147" s="195"/>
    </row>
    <row r="148" ht="12.75" customHeight="1">
      <c r="C148" s="148"/>
      <c r="E148" s="195"/>
      <c r="F148" s="195"/>
      <c r="G148" s="196"/>
      <c r="H148" s="195"/>
    </row>
    <row r="149" ht="12.75" customHeight="1">
      <c r="C149" s="148"/>
      <c r="E149" s="195"/>
      <c r="F149" s="195"/>
      <c r="G149" s="196"/>
      <c r="H149" s="195"/>
    </row>
    <row r="150" ht="12.75" customHeight="1">
      <c r="C150" s="148"/>
      <c r="E150" s="195"/>
      <c r="F150" s="195"/>
      <c r="G150" s="196"/>
      <c r="H150" s="195"/>
    </row>
    <row r="151" ht="12.75" customHeight="1">
      <c r="C151" s="148"/>
      <c r="E151" s="195"/>
      <c r="F151" s="195"/>
      <c r="G151" s="196"/>
      <c r="H151" s="195"/>
    </row>
    <row r="152" ht="12.75" customHeight="1">
      <c r="C152" s="148"/>
      <c r="E152" s="195"/>
      <c r="F152" s="195"/>
      <c r="G152" s="196"/>
      <c r="H152" s="195"/>
    </row>
    <row r="153" ht="12.75" customHeight="1">
      <c r="C153" s="148"/>
      <c r="E153" s="195"/>
      <c r="F153" s="195"/>
      <c r="G153" s="196"/>
      <c r="H153" s="195"/>
    </row>
    <row r="154" ht="12.75" customHeight="1">
      <c r="C154" s="148"/>
      <c r="E154" s="195"/>
      <c r="F154" s="195"/>
      <c r="G154" s="196"/>
      <c r="H154" s="195"/>
    </row>
    <row r="155" ht="12.75" customHeight="1">
      <c r="C155" s="148"/>
      <c r="E155" s="195"/>
      <c r="F155" s="195"/>
      <c r="G155" s="196"/>
      <c r="H155" s="195"/>
    </row>
    <row r="156" ht="12.75" customHeight="1">
      <c r="C156" s="148"/>
      <c r="E156" s="195"/>
      <c r="F156" s="195"/>
      <c r="G156" s="196"/>
      <c r="H156" s="195"/>
    </row>
    <row r="157" ht="12.75" customHeight="1">
      <c r="C157" s="148"/>
      <c r="E157" s="195"/>
      <c r="F157" s="195"/>
      <c r="G157" s="196"/>
      <c r="H157" s="195"/>
    </row>
    <row r="158" ht="12.75" customHeight="1">
      <c r="C158" s="148"/>
      <c r="E158" s="195"/>
      <c r="F158" s="195"/>
      <c r="G158" s="196"/>
      <c r="H158" s="195"/>
    </row>
    <row r="159" ht="12.75" customHeight="1">
      <c r="C159" s="148"/>
      <c r="E159" s="195"/>
      <c r="F159" s="195"/>
      <c r="G159" s="196"/>
      <c r="H159" s="195"/>
    </row>
    <row r="160" ht="12.75" customHeight="1">
      <c r="C160" s="148"/>
      <c r="E160" s="195"/>
      <c r="F160" s="195"/>
      <c r="G160" s="196"/>
      <c r="H160" s="195"/>
    </row>
    <row r="161" ht="12.75" customHeight="1">
      <c r="C161" s="148"/>
      <c r="E161" s="195"/>
      <c r="F161" s="195"/>
      <c r="G161" s="196"/>
      <c r="H161" s="195"/>
    </row>
    <row r="162" ht="12.75" customHeight="1">
      <c r="C162" s="148"/>
      <c r="E162" s="195"/>
      <c r="F162" s="195"/>
      <c r="G162" s="196"/>
      <c r="H162" s="195"/>
    </row>
    <row r="163" ht="12.75" customHeight="1">
      <c r="C163" s="148"/>
      <c r="E163" s="195"/>
      <c r="F163" s="195"/>
      <c r="G163" s="196"/>
      <c r="H163" s="195"/>
    </row>
    <row r="164" ht="12.75" customHeight="1">
      <c r="C164" s="148"/>
      <c r="E164" s="195"/>
      <c r="F164" s="195"/>
      <c r="G164" s="196"/>
      <c r="H164" s="195"/>
    </row>
    <row r="165" ht="12.75" customHeight="1">
      <c r="C165" s="148"/>
      <c r="E165" s="195"/>
      <c r="F165" s="195"/>
      <c r="G165" s="196"/>
      <c r="H165" s="195"/>
    </row>
    <row r="166" ht="12.75" customHeight="1">
      <c r="C166" s="148"/>
      <c r="E166" s="195"/>
      <c r="F166" s="195"/>
      <c r="G166" s="196"/>
      <c r="H166" s="195"/>
    </row>
    <row r="167" ht="12.75" customHeight="1">
      <c r="C167" s="148"/>
      <c r="E167" s="195"/>
      <c r="F167" s="195"/>
      <c r="G167" s="196"/>
      <c r="H167" s="195"/>
    </row>
    <row r="168" ht="12.75" customHeight="1">
      <c r="C168" s="148"/>
      <c r="E168" s="195"/>
      <c r="F168" s="195"/>
      <c r="G168" s="196"/>
      <c r="H168" s="195"/>
    </row>
    <row r="169" ht="12.75" customHeight="1">
      <c r="C169" s="148"/>
      <c r="E169" s="195"/>
      <c r="F169" s="195"/>
      <c r="G169" s="196"/>
      <c r="H169" s="195"/>
    </row>
    <row r="170" ht="12.75" customHeight="1">
      <c r="C170" s="148"/>
      <c r="E170" s="195"/>
      <c r="F170" s="195"/>
      <c r="G170" s="196"/>
      <c r="H170" s="195"/>
    </row>
    <row r="171" ht="12.75" customHeight="1">
      <c r="C171" s="148"/>
      <c r="E171" s="195"/>
      <c r="F171" s="195"/>
      <c r="G171" s="196"/>
      <c r="H171" s="195"/>
    </row>
    <row r="172" ht="12.75" customHeight="1">
      <c r="C172" s="148"/>
      <c r="E172" s="195"/>
      <c r="F172" s="195"/>
      <c r="G172" s="196"/>
      <c r="H172" s="195"/>
    </row>
    <row r="173" ht="12.75" customHeight="1">
      <c r="C173" s="148"/>
      <c r="E173" s="195"/>
      <c r="F173" s="195"/>
      <c r="G173" s="196"/>
      <c r="H173" s="195"/>
    </row>
    <row r="174" ht="12.75" customHeight="1">
      <c r="C174" s="148"/>
      <c r="E174" s="195"/>
      <c r="F174" s="195"/>
      <c r="G174" s="196"/>
      <c r="H174" s="195"/>
    </row>
    <row r="175" ht="12.75" customHeight="1">
      <c r="C175" s="148"/>
      <c r="E175" s="195"/>
      <c r="F175" s="195"/>
      <c r="G175" s="196"/>
      <c r="H175" s="195"/>
    </row>
    <row r="176" ht="12.75" customHeight="1">
      <c r="C176" s="148"/>
      <c r="E176" s="195"/>
      <c r="F176" s="195"/>
      <c r="G176" s="196"/>
      <c r="H176" s="195"/>
    </row>
    <row r="177" ht="12.75" customHeight="1">
      <c r="C177" s="148"/>
      <c r="E177" s="195"/>
      <c r="F177" s="195"/>
      <c r="G177" s="196"/>
      <c r="H177" s="195"/>
    </row>
    <row r="178" ht="12.75" customHeight="1">
      <c r="C178" s="148"/>
      <c r="E178" s="195"/>
      <c r="F178" s="195"/>
      <c r="G178" s="196"/>
      <c r="H178" s="195"/>
    </row>
    <row r="179" ht="12.75" customHeight="1">
      <c r="C179" s="148"/>
      <c r="E179" s="195"/>
      <c r="F179" s="195"/>
      <c r="G179" s="196"/>
      <c r="H179" s="195"/>
    </row>
    <row r="180" ht="12.75" customHeight="1">
      <c r="C180" s="148"/>
      <c r="E180" s="195"/>
      <c r="F180" s="195"/>
      <c r="G180" s="196"/>
      <c r="H180" s="195"/>
    </row>
    <row r="181" ht="12.75" customHeight="1">
      <c r="C181" s="148"/>
      <c r="E181" s="195"/>
      <c r="F181" s="195"/>
      <c r="G181" s="196"/>
      <c r="H181" s="195"/>
    </row>
    <row r="182" ht="12.75" customHeight="1">
      <c r="C182" s="148"/>
      <c r="E182" s="195"/>
      <c r="F182" s="195"/>
      <c r="G182" s="196"/>
      <c r="H182" s="195"/>
    </row>
    <row r="183" ht="12.75" customHeight="1">
      <c r="C183" s="148"/>
      <c r="E183" s="195"/>
      <c r="F183" s="195"/>
      <c r="G183" s="196"/>
      <c r="H183" s="195"/>
    </row>
    <row r="184" ht="12.75" customHeight="1">
      <c r="C184" s="148"/>
      <c r="E184" s="195"/>
      <c r="F184" s="195"/>
      <c r="G184" s="196"/>
      <c r="H184" s="195"/>
    </row>
    <row r="185" ht="12.75" customHeight="1">
      <c r="C185" s="148"/>
      <c r="E185" s="195"/>
      <c r="F185" s="195"/>
      <c r="G185" s="196"/>
      <c r="H185" s="195"/>
    </row>
    <row r="186" ht="12.75" customHeight="1">
      <c r="C186" s="148"/>
      <c r="E186" s="195"/>
      <c r="F186" s="195"/>
      <c r="G186" s="196"/>
      <c r="H186" s="195"/>
    </row>
    <row r="187" ht="12.75" customHeight="1">
      <c r="C187" s="148"/>
      <c r="E187" s="195"/>
      <c r="F187" s="195"/>
      <c r="G187" s="196"/>
      <c r="H187" s="195"/>
    </row>
    <row r="188" ht="12.75" customHeight="1">
      <c r="C188" s="148"/>
      <c r="E188" s="195"/>
      <c r="F188" s="195"/>
      <c r="G188" s="196"/>
      <c r="H188" s="195"/>
    </row>
    <row r="189" ht="12.75" customHeight="1">
      <c r="C189" s="148"/>
      <c r="E189" s="195"/>
      <c r="F189" s="195"/>
      <c r="G189" s="196"/>
      <c r="H189" s="195"/>
    </row>
    <row r="190" ht="12.75" customHeight="1">
      <c r="C190" s="148"/>
      <c r="E190" s="195"/>
      <c r="F190" s="195"/>
      <c r="G190" s="196"/>
      <c r="H190" s="195"/>
    </row>
    <row r="191" ht="12.75" customHeight="1">
      <c r="C191" s="148"/>
      <c r="E191" s="195"/>
      <c r="F191" s="195"/>
      <c r="G191" s="196"/>
      <c r="H191" s="195"/>
    </row>
    <row r="192" ht="12.75" customHeight="1">
      <c r="C192" s="148"/>
      <c r="E192" s="195"/>
      <c r="F192" s="195"/>
      <c r="G192" s="196"/>
      <c r="H192" s="195"/>
    </row>
    <row r="193" ht="12.75" customHeight="1">
      <c r="C193" s="148"/>
      <c r="E193" s="195"/>
      <c r="F193" s="195"/>
      <c r="G193" s="196"/>
      <c r="H193" s="195"/>
    </row>
    <row r="194" ht="12.75" customHeight="1">
      <c r="C194" s="148"/>
      <c r="E194" s="195"/>
      <c r="F194" s="195"/>
      <c r="G194" s="196"/>
      <c r="H194" s="195"/>
    </row>
    <row r="195" ht="12.75" customHeight="1">
      <c r="C195" s="148"/>
      <c r="E195" s="195"/>
      <c r="F195" s="195"/>
      <c r="G195" s="196"/>
      <c r="H195" s="195"/>
    </row>
    <row r="196" ht="12.75" customHeight="1">
      <c r="C196" s="148"/>
      <c r="E196" s="195"/>
      <c r="F196" s="195"/>
      <c r="G196" s="196"/>
      <c r="H196" s="195"/>
    </row>
    <row r="197" ht="12.75" customHeight="1">
      <c r="C197" s="148"/>
      <c r="E197" s="195"/>
      <c r="F197" s="195"/>
      <c r="G197" s="196"/>
      <c r="H197" s="195"/>
    </row>
    <row r="198" ht="12.75" customHeight="1">
      <c r="C198" s="148"/>
      <c r="E198" s="195"/>
      <c r="F198" s="195"/>
      <c r="G198" s="196"/>
      <c r="H198" s="195"/>
    </row>
    <row r="199" ht="12.75" customHeight="1">
      <c r="C199" s="148"/>
      <c r="E199" s="195"/>
      <c r="F199" s="195"/>
      <c r="G199" s="196"/>
      <c r="H199" s="195"/>
    </row>
    <row r="200" ht="12.75" customHeight="1">
      <c r="C200" s="148"/>
      <c r="E200" s="195"/>
      <c r="F200" s="195"/>
      <c r="G200" s="196"/>
      <c r="H200" s="195"/>
    </row>
    <row r="201" ht="12.75" customHeight="1">
      <c r="C201" s="148"/>
      <c r="E201" s="195"/>
      <c r="F201" s="195"/>
      <c r="G201" s="196"/>
      <c r="H201" s="195"/>
    </row>
    <row r="202" ht="12.75" customHeight="1">
      <c r="C202" s="148"/>
      <c r="E202" s="195"/>
      <c r="F202" s="195"/>
      <c r="G202" s="196"/>
      <c r="H202" s="195"/>
    </row>
    <row r="203" ht="12.75" customHeight="1">
      <c r="C203" s="148"/>
      <c r="E203" s="195"/>
      <c r="F203" s="195"/>
      <c r="G203" s="196"/>
      <c r="H203" s="195"/>
    </row>
    <row r="204" ht="12.75" customHeight="1">
      <c r="C204" s="148"/>
      <c r="E204" s="195"/>
      <c r="F204" s="195"/>
      <c r="G204" s="196"/>
      <c r="H204" s="195"/>
    </row>
    <row r="205" ht="12.75" customHeight="1">
      <c r="C205" s="148"/>
      <c r="E205" s="195"/>
      <c r="F205" s="195"/>
      <c r="G205" s="196"/>
      <c r="H205" s="195"/>
    </row>
    <row r="206" ht="12.75" customHeight="1">
      <c r="C206" s="148"/>
      <c r="E206" s="195"/>
      <c r="F206" s="195"/>
      <c r="G206" s="196"/>
      <c r="H206" s="195"/>
    </row>
    <row r="207" ht="12.75" customHeight="1">
      <c r="C207" s="148"/>
      <c r="E207" s="195"/>
      <c r="F207" s="195"/>
      <c r="G207" s="196"/>
      <c r="H207" s="195"/>
    </row>
    <row r="208" ht="12.75" customHeight="1">
      <c r="C208" s="148"/>
      <c r="E208" s="195"/>
      <c r="F208" s="195"/>
      <c r="G208" s="196"/>
      <c r="H208" s="195"/>
    </row>
    <row r="209" ht="12.75" customHeight="1">
      <c r="C209" s="148"/>
      <c r="E209" s="195"/>
      <c r="F209" s="195"/>
      <c r="G209" s="196"/>
      <c r="H209" s="195"/>
    </row>
    <row r="210" ht="12.75" customHeight="1">
      <c r="C210" s="148"/>
      <c r="E210" s="195"/>
      <c r="F210" s="195"/>
      <c r="G210" s="196"/>
      <c r="H210" s="195"/>
    </row>
    <row r="211" ht="12.75" customHeight="1">
      <c r="C211" s="148"/>
      <c r="E211" s="195"/>
      <c r="F211" s="195"/>
      <c r="G211" s="196"/>
      <c r="H211" s="195"/>
    </row>
    <row r="212" ht="12.75" customHeight="1">
      <c r="C212" s="148"/>
      <c r="E212" s="195"/>
      <c r="F212" s="195"/>
      <c r="G212" s="196"/>
      <c r="H212" s="195"/>
    </row>
    <row r="213" ht="12.75" customHeight="1">
      <c r="C213" s="148"/>
      <c r="E213" s="195"/>
      <c r="F213" s="195"/>
      <c r="G213" s="196"/>
      <c r="H213" s="195"/>
    </row>
    <row r="214" ht="12.75" customHeight="1">
      <c r="C214" s="148"/>
      <c r="E214" s="195"/>
      <c r="F214" s="195"/>
      <c r="G214" s="196"/>
      <c r="H214" s="195"/>
    </row>
    <row r="215" ht="12.75" customHeight="1">
      <c r="C215" s="148"/>
      <c r="E215" s="195"/>
      <c r="F215" s="195"/>
      <c r="G215" s="196"/>
      <c r="H215" s="195"/>
    </row>
    <row r="216" ht="12.75" customHeight="1">
      <c r="C216" s="148"/>
      <c r="E216" s="195"/>
      <c r="F216" s="195"/>
      <c r="G216" s="196"/>
      <c r="H216" s="195"/>
    </row>
    <row r="217" ht="12.75" customHeight="1">
      <c r="C217" s="148"/>
      <c r="E217" s="195"/>
      <c r="F217" s="195"/>
      <c r="G217" s="196"/>
      <c r="H217" s="195"/>
    </row>
    <row r="218" ht="12.75" customHeight="1">
      <c r="C218" s="148"/>
      <c r="E218" s="195"/>
      <c r="F218" s="195"/>
      <c r="G218" s="196"/>
      <c r="H218" s="195"/>
    </row>
    <row r="219" ht="12.75" customHeight="1">
      <c r="C219" s="148"/>
      <c r="E219" s="195"/>
      <c r="F219" s="195"/>
      <c r="G219" s="196"/>
      <c r="H219" s="195"/>
    </row>
    <row r="220" ht="12.75" customHeight="1">
      <c r="C220" s="148"/>
      <c r="E220" s="195"/>
      <c r="F220" s="195"/>
      <c r="G220" s="196"/>
      <c r="H220" s="195"/>
    </row>
    <row r="221" ht="12.75" customHeight="1">
      <c r="C221" s="148"/>
      <c r="E221" s="195"/>
      <c r="F221" s="195"/>
      <c r="G221" s="196"/>
      <c r="H221" s="195"/>
    </row>
    <row r="222" ht="12.75" customHeight="1">
      <c r="C222" s="148"/>
      <c r="E222" s="195"/>
      <c r="F222" s="195"/>
      <c r="G222" s="196"/>
      <c r="H222" s="195"/>
    </row>
    <row r="223" ht="12.75" customHeight="1">
      <c r="C223" s="148"/>
      <c r="E223" s="195"/>
      <c r="F223" s="195"/>
      <c r="G223" s="196"/>
      <c r="H223" s="195"/>
    </row>
    <row r="224" ht="12.75" customHeight="1">
      <c r="C224" s="148"/>
      <c r="E224" s="195"/>
      <c r="F224" s="195"/>
      <c r="G224" s="196"/>
      <c r="H224" s="195"/>
    </row>
    <row r="225" ht="12.75" customHeight="1">
      <c r="C225" s="148"/>
      <c r="E225" s="195"/>
      <c r="F225" s="195"/>
      <c r="G225" s="196"/>
      <c r="H225" s="195"/>
    </row>
    <row r="226" ht="12.75" customHeight="1">
      <c r="C226" s="148"/>
      <c r="E226" s="195"/>
      <c r="F226" s="195"/>
      <c r="G226" s="196"/>
      <c r="H226" s="195"/>
    </row>
    <row r="227" ht="12.75" customHeight="1">
      <c r="C227" s="148"/>
      <c r="E227" s="195"/>
      <c r="F227" s="195"/>
      <c r="G227" s="196"/>
      <c r="H227" s="195"/>
    </row>
    <row r="228" ht="12.75" customHeight="1">
      <c r="C228" s="148"/>
      <c r="E228" s="195"/>
      <c r="F228" s="195"/>
      <c r="G228" s="196"/>
      <c r="H228" s="195"/>
    </row>
    <row r="229" ht="12.75" customHeight="1">
      <c r="C229" s="148"/>
      <c r="E229" s="195"/>
      <c r="F229" s="195"/>
      <c r="G229" s="196"/>
      <c r="H229" s="195"/>
    </row>
    <row r="230" ht="12.75" customHeight="1">
      <c r="C230" s="148"/>
      <c r="E230" s="195"/>
      <c r="F230" s="195"/>
      <c r="G230" s="196"/>
      <c r="H230" s="195"/>
    </row>
    <row r="231" ht="12.75" customHeight="1">
      <c r="C231" s="148"/>
      <c r="E231" s="195"/>
      <c r="F231" s="195"/>
      <c r="G231" s="196"/>
      <c r="H231" s="195"/>
    </row>
    <row r="232" ht="12.75" customHeight="1">
      <c r="C232" s="148"/>
      <c r="E232" s="195"/>
      <c r="F232" s="195"/>
      <c r="G232" s="196"/>
      <c r="H232" s="195"/>
    </row>
    <row r="233" ht="12.75" customHeight="1">
      <c r="C233" s="148"/>
      <c r="E233" s="195"/>
      <c r="F233" s="195"/>
      <c r="G233" s="196"/>
      <c r="H233" s="195"/>
    </row>
    <row r="234" ht="12.75" customHeight="1">
      <c r="C234" s="148"/>
      <c r="E234" s="195"/>
      <c r="F234" s="195"/>
      <c r="G234" s="196"/>
      <c r="H234" s="195"/>
    </row>
    <row r="235" ht="12.75" customHeight="1">
      <c r="C235" s="148"/>
      <c r="E235" s="195"/>
      <c r="F235" s="195"/>
      <c r="G235" s="196"/>
      <c r="H235" s="195"/>
    </row>
    <row r="236" ht="12.75" customHeight="1">
      <c r="C236" s="148"/>
      <c r="E236" s="195"/>
      <c r="F236" s="195"/>
      <c r="G236" s="196"/>
      <c r="H236" s="195"/>
    </row>
    <row r="237" ht="12.75" customHeight="1">
      <c r="C237" s="148"/>
      <c r="E237" s="195"/>
      <c r="F237" s="195"/>
      <c r="G237" s="196"/>
      <c r="H237" s="195"/>
    </row>
    <row r="238" ht="12.75" customHeight="1">
      <c r="C238" s="148"/>
      <c r="E238" s="195"/>
      <c r="F238" s="195"/>
      <c r="G238" s="196"/>
      <c r="H238" s="195"/>
    </row>
    <row r="239" ht="12.75" customHeight="1">
      <c r="C239" s="148"/>
      <c r="E239" s="195"/>
      <c r="F239" s="195"/>
      <c r="G239" s="196"/>
      <c r="H239" s="195"/>
    </row>
    <row r="240" ht="12.75" customHeight="1">
      <c r="C240" s="148"/>
      <c r="E240" s="195"/>
      <c r="F240" s="195"/>
      <c r="G240" s="196"/>
      <c r="H240" s="195"/>
    </row>
    <row r="241" ht="12.75" customHeight="1">
      <c r="C241" s="148"/>
      <c r="E241" s="195"/>
      <c r="F241" s="195"/>
      <c r="G241" s="196"/>
      <c r="H241" s="195"/>
    </row>
    <row r="242" ht="12.75" customHeight="1">
      <c r="C242" s="148"/>
      <c r="E242" s="195"/>
      <c r="F242" s="195"/>
      <c r="G242" s="196"/>
      <c r="H242" s="195"/>
    </row>
    <row r="243" ht="12.75" customHeight="1">
      <c r="C243" s="148"/>
      <c r="E243" s="195"/>
      <c r="F243" s="195"/>
      <c r="G243" s="196"/>
      <c r="H243" s="195"/>
    </row>
    <row r="244" ht="12.75" customHeight="1">
      <c r="C244" s="148"/>
      <c r="E244" s="195"/>
      <c r="F244" s="195"/>
      <c r="G244" s="196"/>
      <c r="H244" s="195"/>
    </row>
    <row r="245" ht="12.75" customHeight="1">
      <c r="C245" s="148"/>
      <c r="E245" s="195"/>
      <c r="F245" s="195"/>
      <c r="G245" s="196"/>
      <c r="H245" s="195"/>
    </row>
    <row r="246" ht="12.75" customHeight="1">
      <c r="C246" s="148"/>
      <c r="E246" s="195"/>
      <c r="F246" s="195"/>
      <c r="G246" s="196"/>
      <c r="H246" s="195"/>
    </row>
    <row r="247" ht="12.75" customHeight="1">
      <c r="C247" s="148"/>
      <c r="E247" s="195"/>
      <c r="F247" s="195"/>
      <c r="G247" s="196"/>
      <c r="H247" s="195"/>
    </row>
    <row r="248" ht="12.75" customHeight="1">
      <c r="C248" s="148"/>
      <c r="E248" s="195"/>
      <c r="F248" s="195"/>
      <c r="G248" s="196"/>
      <c r="H248" s="195"/>
    </row>
    <row r="249" ht="12.75" customHeight="1">
      <c r="C249" s="148"/>
      <c r="E249" s="195"/>
      <c r="F249" s="195"/>
      <c r="G249" s="196"/>
      <c r="H249" s="195"/>
    </row>
    <row r="250" ht="12.75" customHeight="1">
      <c r="C250" s="148"/>
      <c r="E250" s="195"/>
      <c r="F250" s="195"/>
      <c r="G250" s="196"/>
      <c r="H250" s="195"/>
    </row>
    <row r="251" ht="12.75" customHeight="1">
      <c r="C251" s="148"/>
      <c r="E251" s="195"/>
      <c r="F251" s="195"/>
      <c r="G251" s="196"/>
      <c r="H251" s="195"/>
    </row>
    <row r="252" ht="12.75" customHeight="1">
      <c r="C252" s="148"/>
      <c r="E252" s="195"/>
      <c r="F252" s="195"/>
      <c r="G252" s="196"/>
      <c r="H252" s="195"/>
    </row>
    <row r="253" ht="12.75" customHeight="1">
      <c r="C253" s="148"/>
      <c r="E253" s="195"/>
      <c r="F253" s="195"/>
      <c r="G253" s="196"/>
      <c r="H253" s="195"/>
    </row>
    <row r="254" ht="12.75" customHeight="1">
      <c r="C254" s="148"/>
      <c r="E254" s="195"/>
      <c r="F254" s="195"/>
      <c r="G254" s="196"/>
      <c r="H254" s="195"/>
    </row>
    <row r="255" ht="12.75" customHeight="1">
      <c r="C255" s="148"/>
      <c r="E255" s="195"/>
      <c r="F255" s="195"/>
      <c r="G255" s="196"/>
      <c r="H255" s="195"/>
    </row>
    <row r="256" ht="12.75" customHeight="1">
      <c r="C256" s="148"/>
      <c r="E256" s="195"/>
      <c r="F256" s="195"/>
      <c r="G256" s="196"/>
      <c r="H256" s="195"/>
    </row>
    <row r="257" ht="12.75" customHeight="1">
      <c r="C257" s="148"/>
      <c r="E257" s="195"/>
      <c r="F257" s="195"/>
      <c r="G257" s="196"/>
      <c r="H257" s="195"/>
    </row>
    <row r="258" ht="12.75" customHeight="1">
      <c r="C258" s="148"/>
      <c r="E258" s="195"/>
      <c r="F258" s="195"/>
      <c r="G258" s="196"/>
      <c r="H258" s="195"/>
    </row>
    <row r="259" ht="12.75" customHeight="1">
      <c r="C259" s="148"/>
      <c r="E259" s="195"/>
      <c r="F259" s="195"/>
      <c r="G259" s="196"/>
      <c r="H259" s="195"/>
    </row>
    <row r="260" ht="12.75" customHeight="1">
      <c r="C260" s="148"/>
      <c r="E260" s="195"/>
      <c r="F260" s="195"/>
      <c r="G260" s="196"/>
      <c r="H260" s="195"/>
    </row>
    <row r="261" ht="12.75" customHeight="1">
      <c r="C261" s="148"/>
      <c r="E261" s="195"/>
      <c r="F261" s="195"/>
      <c r="G261" s="196"/>
      <c r="H261" s="195"/>
    </row>
    <row r="262" ht="12.75" customHeight="1">
      <c r="C262" s="148"/>
      <c r="E262" s="195"/>
      <c r="F262" s="195"/>
      <c r="G262" s="196"/>
      <c r="H262" s="195"/>
    </row>
    <row r="263" ht="12.75" customHeight="1">
      <c r="C263" s="148"/>
      <c r="E263" s="195"/>
      <c r="F263" s="195"/>
      <c r="G263" s="196"/>
      <c r="H263" s="195"/>
    </row>
    <row r="264" ht="12.75" customHeight="1">
      <c r="C264" s="148"/>
      <c r="E264" s="195"/>
      <c r="F264" s="195"/>
      <c r="G264" s="196"/>
      <c r="H264" s="195"/>
    </row>
    <row r="265" ht="12.75" customHeight="1">
      <c r="C265" s="148"/>
      <c r="E265" s="195"/>
      <c r="F265" s="195"/>
      <c r="G265" s="196"/>
      <c r="H265" s="195"/>
    </row>
    <row r="266" ht="12.75" customHeight="1">
      <c r="C266" s="148"/>
      <c r="E266" s="195"/>
      <c r="F266" s="195"/>
      <c r="G266" s="196"/>
      <c r="H266" s="195"/>
    </row>
    <row r="267" ht="12.75" customHeight="1">
      <c r="C267" s="148"/>
      <c r="E267" s="195"/>
      <c r="F267" s="195"/>
      <c r="G267" s="196"/>
      <c r="H267" s="195"/>
    </row>
    <row r="268" ht="12.75" customHeight="1">
      <c r="C268" s="148"/>
      <c r="E268" s="195"/>
      <c r="F268" s="195"/>
      <c r="G268" s="196"/>
      <c r="H268" s="195"/>
    </row>
    <row r="269" ht="12.75" customHeight="1">
      <c r="C269" s="148"/>
      <c r="E269" s="195"/>
      <c r="F269" s="195"/>
      <c r="G269" s="196"/>
      <c r="H269" s="195"/>
    </row>
    <row r="270" ht="12.75" customHeight="1">
      <c r="C270" s="148"/>
      <c r="E270" s="195"/>
      <c r="F270" s="195"/>
      <c r="G270" s="196"/>
      <c r="H270" s="195"/>
    </row>
    <row r="271" ht="12.75" customHeight="1">
      <c r="C271" s="148"/>
      <c r="E271" s="195"/>
      <c r="F271" s="195"/>
      <c r="G271" s="196"/>
      <c r="H271" s="195"/>
    </row>
    <row r="272" ht="12.75" customHeight="1">
      <c r="C272" s="148"/>
      <c r="E272" s="195"/>
      <c r="F272" s="195"/>
      <c r="G272" s="196"/>
      <c r="H272" s="195"/>
    </row>
    <row r="273" ht="12.75" customHeight="1">
      <c r="C273" s="148"/>
      <c r="E273" s="195"/>
      <c r="F273" s="195"/>
      <c r="G273" s="196"/>
      <c r="H273" s="195"/>
    </row>
    <row r="274" ht="12.75" customHeight="1">
      <c r="C274" s="148"/>
      <c r="E274" s="195"/>
      <c r="F274" s="195"/>
      <c r="G274" s="196"/>
      <c r="H274" s="195"/>
    </row>
    <row r="275" ht="12.75" customHeight="1">
      <c r="C275" s="148"/>
      <c r="E275" s="195"/>
      <c r="F275" s="195"/>
      <c r="G275" s="196"/>
      <c r="H275" s="195"/>
    </row>
    <row r="276" ht="12.75" customHeight="1">
      <c r="C276" s="148"/>
      <c r="E276" s="195"/>
      <c r="F276" s="195"/>
      <c r="G276" s="196"/>
      <c r="H276" s="195"/>
    </row>
    <row r="277" ht="12.75" customHeight="1">
      <c r="C277" s="148"/>
      <c r="E277" s="195"/>
      <c r="F277" s="195"/>
      <c r="G277" s="196"/>
      <c r="H277" s="195"/>
    </row>
    <row r="278" ht="12.75" customHeight="1">
      <c r="C278" s="148"/>
      <c r="E278" s="195"/>
      <c r="F278" s="195"/>
      <c r="G278" s="196"/>
      <c r="H278" s="195"/>
    </row>
    <row r="279" ht="12.75" customHeight="1">
      <c r="C279" s="148"/>
      <c r="E279" s="195"/>
      <c r="F279" s="195"/>
      <c r="G279" s="196"/>
      <c r="H279" s="195"/>
    </row>
    <row r="280" ht="12.75" customHeight="1">
      <c r="C280" s="148"/>
      <c r="E280" s="195"/>
      <c r="F280" s="195"/>
      <c r="G280" s="196"/>
      <c r="H280" s="195"/>
    </row>
    <row r="281" ht="12.75" customHeight="1">
      <c r="C281" s="148"/>
      <c r="E281" s="195"/>
      <c r="F281" s="195"/>
      <c r="G281" s="196"/>
      <c r="H281" s="195"/>
    </row>
    <row r="282" ht="12.75" customHeight="1">
      <c r="C282" s="148"/>
      <c r="E282" s="195"/>
      <c r="F282" s="195"/>
      <c r="G282" s="196"/>
      <c r="H282" s="195"/>
    </row>
    <row r="283" ht="12.75" customHeight="1">
      <c r="C283" s="148"/>
      <c r="E283" s="195"/>
      <c r="F283" s="195"/>
      <c r="G283" s="196"/>
      <c r="H283" s="195"/>
    </row>
    <row r="284" ht="12.75" customHeight="1">
      <c r="C284" s="148"/>
      <c r="E284" s="195"/>
      <c r="F284" s="195"/>
      <c r="G284" s="196"/>
      <c r="H284" s="195"/>
    </row>
    <row r="285" ht="12.75" customHeight="1">
      <c r="C285" s="148"/>
      <c r="E285" s="195"/>
      <c r="F285" s="195"/>
      <c r="G285" s="196"/>
      <c r="H285" s="195"/>
    </row>
    <row r="286" ht="12.75" customHeight="1">
      <c r="C286" s="148"/>
      <c r="E286" s="195"/>
      <c r="F286" s="195"/>
      <c r="G286" s="196"/>
      <c r="H286" s="195"/>
    </row>
    <row r="287" ht="12.75" customHeight="1">
      <c r="C287" s="148"/>
      <c r="E287" s="195"/>
      <c r="F287" s="195"/>
      <c r="G287" s="196"/>
      <c r="H287" s="195"/>
    </row>
    <row r="288" ht="12.75" customHeight="1">
      <c r="C288" s="148"/>
      <c r="E288" s="195"/>
      <c r="F288" s="195"/>
      <c r="G288" s="196"/>
      <c r="H288" s="195"/>
    </row>
    <row r="289" ht="12.75" customHeight="1">
      <c r="C289" s="148"/>
      <c r="E289" s="195"/>
      <c r="F289" s="195"/>
      <c r="G289" s="196"/>
      <c r="H289" s="195"/>
    </row>
    <row r="290" ht="12.75" customHeight="1">
      <c r="C290" s="148"/>
      <c r="E290" s="195"/>
      <c r="F290" s="195"/>
      <c r="G290" s="196"/>
      <c r="H290" s="195"/>
    </row>
    <row r="291" ht="12.75" customHeight="1">
      <c r="C291" s="148"/>
      <c r="E291" s="195"/>
      <c r="F291" s="195"/>
      <c r="G291" s="196"/>
      <c r="H291" s="195"/>
    </row>
    <row r="292" ht="12.75" customHeight="1">
      <c r="C292" s="148"/>
      <c r="E292" s="195"/>
      <c r="F292" s="195"/>
      <c r="G292" s="196"/>
      <c r="H292" s="195"/>
    </row>
    <row r="293" ht="12.75" customHeight="1">
      <c r="C293" s="148"/>
      <c r="E293" s="195"/>
      <c r="F293" s="195"/>
      <c r="G293" s="196"/>
      <c r="H293" s="195"/>
    </row>
    <row r="294" ht="12.75" customHeight="1">
      <c r="C294" s="148"/>
      <c r="E294" s="195"/>
      <c r="F294" s="195"/>
      <c r="G294" s="196"/>
      <c r="H294" s="195"/>
    </row>
    <row r="295" ht="12.75" customHeight="1">
      <c r="C295" s="148"/>
      <c r="E295" s="195"/>
      <c r="F295" s="195"/>
      <c r="G295" s="196"/>
      <c r="H295" s="195"/>
    </row>
    <row r="296" ht="12.75" customHeight="1">
      <c r="C296" s="148"/>
      <c r="E296" s="195"/>
      <c r="F296" s="195"/>
      <c r="G296" s="196"/>
      <c r="H296" s="195"/>
    </row>
    <row r="297" ht="12.75" customHeight="1">
      <c r="C297" s="148"/>
      <c r="E297" s="195"/>
      <c r="F297" s="195"/>
      <c r="G297" s="196"/>
      <c r="H297" s="195"/>
    </row>
    <row r="298" ht="12.75" customHeight="1">
      <c r="C298" s="148"/>
      <c r="E298" s="195"/>
      <c r="F298" s="195"/>
      <c r="G298" s="196"/>
      <c r="H298" s="195"/>
    </row>
    <row r="299" ht="12.75" customHeight="1">
      <c r="C299" s="148"/>
      <c r="E299" s="195"/>
      <c r="F299" s="195"/>
      <c r="G299" s="196"/>
      <c r="H299" s="195"/>
    </row>
    <row r="300" ht="12.75" customHeight="1">
      <c r="C300" s="148"/>
      <c r="E300" s="195"/>
      <c r="F300" s="195"/>
      <c r="G300" s="196"/>
      <c r="H300" s="195"/>
    </row>
    <row r="301" ht="12.75" customHeight="1">
      <c r="C301" s="148"/>
      <c r="E301" s="195"/>
      <c r="F301" s="195"/>
      <c r="G301" s="196"/>
      <c r="H301" s="195"/>
    </row>
    <row r="302" ht="12.75" customHeight="1">
      <c r="C302" s="148"/>
      <c r="E302" s="195"/>
      <c r="F302" s="195"/>
      <c r="G302" s="196"/>
      <c r="H302" s="195"/>
    </row>
    <row r="303" ht="12.75" customHeight="1">
      <c r="C303" s="148"/>
      <c r="E303" s="195"/>
      <c r="F303" s="195"/>
      <c r="G303" s="196"/>
      <c r="H303" s="195"/>
    </row>
    <row r="304" ht="12.75" customHeight="1">
      <c r="C304" s="148"/>
      <c r="E304" s="195"/>
      <c r="F304" s="195"/>
      <c r="G304" s="196"/>
      <c r="H304" s="195"/>
    </row>
    <row r="305" ht="12.75" customHeight="1">
      <c r="C305" s="148"/>
      <c r="E305" s="195"/>
      <c r="F305" s="195"/>
      <c r="G305" s="196"/>
      <c r="H305" s="195"/>
    </row>
    <row r="306" ht="12.75" customHeight="1">
      <c r="C306" s="148"/>
      <c r="E306" s="195"/>
      <c r="F306" s="195"/>
      <c r="G306" s="196"/>
      <c r="H306" s="195"/>
    </row>
    <row r="307" ht="12.75" customHeight="1">
      <c r="C307" s="148"/>
      <c r="E307" s="195"/>
      <c r="F307" s="195"/>
      <c r="G307" s="196"/>
      <c r="H307" s="195"/>
    </row>
    <row r="308" ht="12.75" customHeight="1">
      <c r="C308" s="148"/>
      <c r="E308" s="195"/>
      <c r="F308" s="195"/>
      <c r="G308" s="196"/>
      <c r="H308" s="195"/>
    </row>
    <row r="309" ht="12.75" customHeight="1">
      <c r="C309" s="148"/>
      <c r="E309" s="195"/>
      <c r="F309" s="195"/>
      <c r="G309" s="196"/>
      <c r="H309" s="195"/>
    </row>
    <row r="310" ht="12.75" customHeight="1">
      <c r="C310" s="148"/>
      <c r="E310" s="195"/>
      <c r="F310" s="195"/>
      <c r="G310" s="196"/>
      <c r="H310" s="195"/>
    </row>
    <row r="311" ht="12.75" customHeight="1">
      <c r="C311" s="148"/>
      <c r="E311" s="195"/>
      <c r="F311" s="195"/>
      <c r="G311" s="196"/>
      <c r="H311" s="195"/>
    </row>
    <row r="312" ht="12.75" customHeight="1">
      <c r="C312" s="148"/>
      <c r="E312" s="195"/>
      <c r="F312" s="195"/>
      <c r="G312" s="196"/>
      <c r="H312" s="195"/>
    </row>
    <row r="313" ht="12.75" customHeight="1">
      <c r="C313" s="148"/>
      <c r="E313" s="195"/>
      <c r="F313" s="195"/>
      <c r="G313" s="196"/>
      <c r="H313" s="195"/>
    </row>
    <row r="314" ht="12.75" customHeight="1">
      <c r="C314" s="148"/>
      <c r="E314" s="195"/>
      <c r="F314" s="195"/>
      <c r="G314" s="196"/>
      <c r="H314" s="195"/>
    </row>
    <row r="315" ht="12.75" customHeight="1">
      <c r="C315" s="148"/>
      <c r="E315" s="195"/>
      <c r="F315" s="195"/>
      <c r="G315" s="196"/>
      <c r="H315" s="195"/>
    </row>
    <row r="316" ht="12.75" customHeight="1">
      <c r="C316" s="148"/>
      <c r="E316" s="195"/>
      <c r="F316" s="195"/>
      <c r="G316" s="196"/>
      <c r="H316" s="195"/>
    </row>
    <row r="317" ht="12.75" customHeight="1">
      <c r="C317" s="148"/>
      <c r="E317" s="195"/>
      <c r="F317" s="195"/>
      <c r="G317" s="196"/>
      <c r="H317" s="195"/>
    </row>
    <row r="318" ht="12.75" customHeight="1">
      <c r="C318" s="148"/>
      <c r="E318" s="195"/>
      <c r="F318" s="195"/>
      <c r="G318" s="196"/>
      <c r="H318" s="195"/>
    </row>
    <row r="319" ht="12.75" customHeight="1">
      <c r="C319" s="148"/>
      <c r="E319" s="195"/>
      <c r="F319" s="195"/>
      <c r="G319" s="196"/>
      <c r="H319" s="195"/>
    </row>
    <row r="320" ht="12.75" customHeight="1">
      <c r="C320" s="148"/>
      <c r="E320" s="195"/>
      <c r="F320" s="195"/>
      <c r="G320" s="196"/>
      <c r="H320" s="195"/>
    </row>
    <row r="321" ht="12.75" customHeight="1">
      <c r="C321" s="148"/>
      <c r="E321" s="195"/>
      <c r="F321" s="195"/>
      <c r="G321" s="196"/>
      <c r="H321" s="195"/>
    </row>
    <row r="322" ht="12.75" customHeight="1">
      <c r="C322" s="148"/>
      <c r="E322" s="195"/>
      <c r="F322" s="195"/>
      <c r="G322" s="196"/>
      <c r="H322" s="195"/>
    </row>
    <row r="323" ht="12.75" customHeight="1">
      <c r="C323" s="148"/>
      <c r="E323" s="195"/>
      <c r="F323" s="195"/>
      <c r="G323" s="196"/>
      <c r="H323" s="195"/>
    </row>
    <row r="324" ht="12.75" customHeight="1">
      <c r="C324" s="148"/>
      <c r="E324" s="195"/>
      <c r="F324" s="195"/>
      <c r="G324" s="196"/>
      <c r="H324" s="195"/>
    </row>
    <row r="325" ht="12.75" customHeight="1">
      <c r="C325" s="148"/>
      <c r="E325" s="195"/>
      <c r="F325" s="195"/>
      <c r="G325" s="196"/>
      <c r="H325" s="195"/>
    </row>
    <row r="326" ht="12.75" customHeight="1">
      <c r="C326" s="148"/>
      <c r="E326" s="195"/>
      <c r="F326" s="195"/>
      <c r="G326" s="196"/>
      <c r="H326" s="195"/>
    </row>
    <row r="327" ht="12.75" customHeight="1">
      <c r="C327" s="148"/>
      <c r="E327" s="195"/>
      <c r="F327" s="195"/>
      <c r="G327" s="196"/>
      <c r="H327" s="195"/>
    </row>
    <row r="328" ht="12.75" customHeight="1">
      <c r="C328" s="148"/>
      <c r="E328" s="195"/>
      <c r="F328" s="195"/>
      <c r="G328" s="196"/>
      <c r="H328" s="195"/>
    </row>
    <row r="329" ht="12.75" customHeight="1">
      <c r="C329" s="148"/>
      <c r="E329" s="195"/>
      <c r="F329" s="195"/>
      <c r="G329" s="196"/>
      <c r="H329" s="195"/>
    </row>
    <row r="330" ht="12.75" customHeight="1">
      <c r="C330" s="148"/>
      <c r="E330" s="195"/>
      <c r="F330" s="195"/>
      <c r="G330" s="196"/>
      <c r="H330" s="195"/>
    </row>
    <row r="331" ht="12.75" customHeight="1">
      <c r="C331" s="148"/>
      <c r="E331" s="195"/>
      <c r="F331" s="195"/>
      <c r="G331" s="196"/>
      <c r="H331" s="195"/>
    </row>
    <row r="332" ht="12.75" customHeight="1">
      <c r="C332" s="148"/>
      <c r="E332" s="195"/>
      <c r="F332" s="195"/>
      <c r="G332" s="196"/>
      <c r="H332" s="195"/>
    </row>
    <row r="333" ht="12.75" customHeight="1">
      <c r="C333" s="148"/>
      <c r="E333" s="195"/>
      <c r="F333" s="195"/>
      <c r="G333" s="196"/>
      <c r="H333" s="195"/>
    </row>
    <row r="334" ht="12.75" customHeight="1">
      <c r="C334" s="148"/>
      <c r="E334" s="195"/>
      <c r="F334" s="195"/>
      <c r="G334" s="196"/>
      <c r="H334" s="195"/>
    </row>
    <row r="335" ht="12.75" customHeight="1">
      <c r="C335" s="148"/>
      <c r="E335" s="195"/>
      <c r="F335" s="195"/>
      <c r="G335" s="196"/>
      <c r="H335" s="195"/>
    </row>
    <row r="336" ht="12.75" customHeight="1">
      <c r="C336" s="148"/>
      <c r="E336" s="195"/>
      <c r="F336" s="195"/>
      <c r="G336" s="196"/>
      <c r="H336" s="195"/>
    </row>
    <row r="337" ht="12.75" customHeight="1">
      <c r="C337" s="148"/>
      <c r="E337" s="195"/>
      <c r="F337" s="195"/>
      <c r="G337" s="196"/>
      <c r="H337" s="195"/>
    </row>
    <row r="338" ht="12.75" customHeight="1">
      <c r="C338" s="148"/>
      <c r="E338" s="195"/>
      <c r="F338" s="195"/>
      <c r="G338" s="196"/>
      <c r="H338" s="195"/>
    </row>
    <row r="339" ht="12.75" customHeight="1">
      <c r="C339" s="148"/>
      <c r="E339" s="195"/>
      <c r="F339" s="195"/>
      <c r="G339" s="196"/>
      <c r="H339" s="195"/>
    </row>
    <row r="340" ht="12.75" customHeight="1">
      <c r="C340" s="148"/>
      <c r="E340" s="195"/>
      <c r="F340" s="195"/>
      <c r="G340" s="196"/>
      <c r="H340" s="195"/>
    </row>
    <row r="341" ht="12.75" customHeight="1">
      <c r="C341" s="148"/>
      <c r="E341" s="195"/>
      <c r="F341" s="195"/>
      <c r="G341" s="196"/>
      <c r="H341" s="195"/>
    </row>
    <row r="342" ht="12.75" customHeight="1">
      <c r="C342" s="148"/>
      <c r="E342" s="195"/>
      <c r="F342" s="195"/>
      <c r="G342" s="196"/>
      <c r="H342" s="195"/>
    </row>
    <row r="343" ht="12.75" customHeight="1">
      <c r="C343" s="148"/>
      <c r="E343" s="195"/>
      <c r="F343" s="195"/>
      <c r="G343" s="196"/>
      <c r="H343" s="195"/>
    </row>
    <row r="344" ht="12.75" customHeight="1">
      <c r="C344" s="148"/>
      <c r="E344" s="195"/>
      <c r="F344" s="195"/>
      <c r="G344" s="196"/>
      <c r="H344" s="195"/>
    </row>
    <row r="345" ht="12.75" customHeight="1">
      <c r="C345" s="148"/>
      <c r="E345" s="195"/>
      <c r="F345" s="195"/>
      <c r="G345" s="196"/>
      <c r="H345" s="195"/>
    </row>
    <row r="346" ht="12.75" customHeight="1">
      <c r="C346" s="148"/>
      <c r="E346" s="195"/>
      <c r="F346" s="195"/>
      <c r="G346" s="196"/>
      <c r="H346" s="195"/>
    </row>
    <row r="347" ht="12.75" customHeight="1">
      <c r="C347" s="148"/>
      <c r="E347" s="195"/>
      <c r="F347" s="195"/>
      <c r="G347" s="196"/>
      <c r="H347" s="195"/>
    </row>
    <row r="348" ht="12.75" customHeight="1">
      <c r="C348" s="148"/>
      <c r="E348" s="195"/>
      <c r="F348" s="195"/>
      <c r="G348" s="196"/>
      <c r="H348" s="195"/>
    </row>
    <row r="349" ht="12.75" customHeight="1">
      <c r="C349" s="148"/>
      <c r="E349" s="195"/>
      <c r="F349" s="195"/>
      <c r="G349" s="196"/>
      <c r="H349" s="195"/>
    </row>
    <row r="350" ht="12.75" customHeight="1">
      <c r="C350" s="148"/>
      <c r="E350" s="195"/>
      <c r="F350" s="195"/>
      <c r="G350" s="196"/>
      <c r="H350" s="195"/>
    </row>
    <row r="351" ht="12.75" customHeight="1">
      <c r="C351" s="148"/>
      <c r="E351" s="195"/>
      <c r="F351" s="195"/>
      <c r="G351" s="196"/>
      <c r="H351" s="195"/>
    </row>
    <row r="352" ht="12.75" customHeight="1">
      <c r="C352" s="148"/>
      <c r="E352" s="195"/>
      <c r="F352" s="195"/>
      <c r="G352" s="196"/>
      <c r="H352" s="195"/>
    </row>
    <row r="353" ht="12.75" customHeight="1">
      <c r="C353" s="148"/>
      <c r="E353" s="195"/>
      <c r="F353" s="195"/>
      <c r="G353" s="196"/>
      <c r="H353" s="195"/>
    </row>
    <row r="354" ht="12.75" customHeight="1">
      <c r="C354" s="148"/>
      <c r="E354" s="195"/>
      <c r="F354" s="195"/>
      <c r="G354" s="196"/>
      <c r="H354" s="195"/>
    </row>
    <row r="355" ht="12.75" customHeight="1">
      <c r="C355" s="148"/>
      <c r="E355" s="195"/>
      <c r="F355" s="195"/>
      <c r="G355" s="196"/>
      <c r="H355" s="195"/>
    </row>
    <row r="356" ht="12.75" customHeight="1">
      <c r="C356" s="148"/>
      <c r="E356" s="195"/>
      <c r="F356" s="195"/>
      <c r="G356" s="196"/>
      <c r="H356" s="195"/>
    </row>
    <row r="357" ht="12.75" customHeight="1">
      <c r="C357" s="148"/>
      <c r="E357" s="195"/>
      <c r="F357" s="195"/>
      <c r="G357" s="196"/>
      <c r="H357" s="195"/>
    </row>
    <row r="358" ht="12.75" customHeight="1">
      <c r="C358" s="148"/>
      <c r="E358" s="195"/>
      <c r="F358" s="195"/>
      <c r="G358" s="196"/>
      <c r="H358" s="195"/>
    </row>
    <row r="359" ht="12.75" customHeight="1">
      <c r="C359" s="148"/>
      <c r="E359" s="195"/>
      <c r="F359" s="195"/>
      <c r="G359" s="196"/>
      <c r="H359" s="195"/>
    </row>
    <row r="360" ht="12.75" customHeight="1">
      <c r="C360" s="148"/>
      <c r="E360" s="195"/>
      <c r="F360" s="195"/>
      <c r="G360" s="196"/>
      <c r="H360" s="195"/>
    </row>
    <row r="361" ht="12.75" customHeight="1">
      <c r="C361" s="148"/>
      <c r="E361" s="195"/>
      <c r="F361" s="195"/>
      <c r="G361" s="196"/>
      <c r="H361" s="195"/>
    </row>
    <row r="362" ht="12.75" customHeight="1">
      <c r="C362" s="148"/>
      <c r="E362" s="195"/>
      <c r="F362" s="195"/>
      <c r="G362" s="196"/>
      <c r="H362" s="195"/>
    </row>
    <row r="363" ht="12.75" customHeight="1">
      <c r="C363" s="148"/>
      <c r="E363" s="195"/>
      <c r="F363" s="195"/>
      <c r="G363" s="196"/>
      <c r="H363" s="195"/>
    </row>
    <row r="364" ht="12.75" customHeight="1">
      <c r="C364" s="148"/>
      <c r="E364" s="195"/>
      <c r="F364" s="195"/>
      <c r="G364" s="196"/>
      <c r="H364" s="195"/>
    </row>
    <row r="365" ht="12.75" customHeight="1">
      <c r="C365" s="148"/>
      <c r="E365" s="195"/>
      <c r="F365" s="195"/>
      <c r="G365" s="196"/>
      <c r="H365" s="195"/>
    </row>
    <row r="366" ht="12.75" customHeight="1">
      <c r="C366" s="148"/>
      <c r="E366" s="195"/>
      <c r="F366" s="195"/>
      <c r="G366" s="196"/>
      <c r="H366" s="195"/>
    </row>
    <row r="367" ht="12.75" customHeight="1">
      <c r="C367" s="148"/>
      <c r="E367" s="195"/>
      <c r="F367" s="195"/>
      <c r="G367" s="196"/>
      <c r="H367" s="195"/>
    </row>
    <row r="368" ht="12.75" customHeight="1">
      <c r="C368" s="148"/>
      <c r="E368" s="195"/>
      <c r="F368" s="195"/>
      <c r="G368" s="196"/>
      <c r="H368" s="195"/>
    </row>
    <row r="369" ht="12.75" customHeight="1">
      <c r="C369" s="148"/>
      <c r="E369" s="195"/>
      <c r="F369" s="195"/>
      <c r="G369" s="196"/>
      <c r="H369" s="195"/>
    </row>
    <row r="370" ht="12.75" customHeight="1">
      <c r="C370" s="148"/>
      <c r="E370" s="195"/>
      <c r="F370" s="195"/>
      <c r="G370" s="196"/>
      <c r="H370" s="195"/>
    </row>
    <row r="371" ht="12.75" customHeight="1">
      <c r="C371" s="148"/>
      <c r="E371" s="195"/>
      <c r="F371" s="195"/>
      <c r="G371" s="196"/>
      <c r="H371" s="195"/>
    </row>
    <row r="372" ht="12.75" customHeight="1">
      <c r="C372" s="148"/>
      <c r="E372" s="195"/>
      <c r="F372" s="195"/>
      <c r="G372" s="196"/>
      <c r="H372" s="195"/>
    </row>
    <row r="373" ht="12.75" customHeight="1">
      <c r="C373" s="148"/>
      <c r="E373" s="195"/>
      <c r="F373" s="195"/>
      <c r="G373" s="196"/>
      <c r="H373" s="195"/>
    </row>
    <row r="374" ht="12.75" customHeight="1">
      <c r="C374" s="148"/>
      <c r="E374" s="195"/>
      <c r="F374" s="195"/>
      <c r="G374" s="196"/>
      <c r="H374" s="195"/>
    </row>
    <row r="375" ht="12.75" customHeight="1">
      <c r="C375" s="148"/>
      <c r="E375" s="195"/>
      <c r="F375" s="195"/>
      <c r="G375" s="196"/>
      <c r="H375" s="195"/>
    </row>
    <row r="376" ht="12.75" customHeight="1">
      <c r="C376" s="148"/>
      <c r="E376" s="195"/>
      <c r="F376" s="195"/>
      <c r="G376" s="196"/>
      <c r="H376" s="195"/>
    </row>
    <row r="377" ht="12.75" customHeight="1">
      <c r="C377" s="148"/>
      <c r="E377" s="195"/>
      <c r="F377" s="195"/>
      <c r="G377" s="196"/>
      <c r="H377" s="195"/>
    </row>
    <row r="378" ht="12.75" customHeight="1">
      <c r="C378" s="148"/>
      <c r="E378" s="195"/>
      <c r="F378" s="195"/>
      <c r="G378" s="196"/>
      <c r="H378" s="195"/>
    </row>
    <row r="379" ht="12.75" customHeight="1">
      <c r="C379" s="148"/>
      <c r="E379" s="195"/>
      <c r="F379" s="195"/>
      <c r="G379" s="196"/>
      <c r="H379" s="195"/>
    </row>
    <row r="380" ht="12.75" customHeight="1">
      <c r="C380" s="148"/>
      <c r="E380" s="195"/>
      <c r="F380" s="195"/>
      <c r="G380" s="196"/>
      <c r="H380" s="195"/>
    </row>
    <row r="381" ht="12.75" customHeight="1">
      <c r="C381" s="148"/>
      <c r="E381" s="195"/>
      <c r="F381" s="195"/>
      <c r="G381" s="196"/>
      <c r="H381" s="195"/>
    </row>
    <row r="382" ht="12.75" customHeight="1">
      <c r="C382" s="148"/>
      <c r="E382" s="195"/>
      <c r="F382" s="195"/>
      <c r="G382" s="196"/>
      <c r="H382" s="195"/>
    </row>
    <row r="383" ht="12.75" customHeight="1">
      <c r="C383" s="148"/>
      <c r="E383" s="195"/>
      <c r="F383" s="195"/>
      <c r="G383" s="196"/>
      <c r="H383" s="195"/>
    </row>
    <row r="384" ht="12.75" customHeight="1">
      <c r="C384" s="148"/>
      <c r="E384" s="195"/>
      <c r="F384" s="195"/>
      <c r="G384" s="196"/>
      <c r="H384" s="195"/>
    </row>
    <row r="385" ht="12.75" customHeight="1">
      <c r="C385" s="148"/>
      <c r="E385" s="195"/>
      <c r="F385" s="195"/>
      <c r="G385" s="196"/>
      <c r="H385" s="195"/>
    </row>
    <row r="386" ht="12.75" customHeight="1">
      <c r="C386" s="148"/>
      <c r="E386" s="195"/>
      <c r="F386" s="195"/>
      <c r="G386" s="196"/>
      <c r="H386" s="195"/>
    </row>
    <row r="387" ht="12.75" customHeight="1">
      <c r="C387" s="148"/>
      <c r="E387" s="195"/>
      <c r="F387" s="195"/>
      <c r="G387" s="196"/>
      <c r="H387" s="195"/>
    </row>
    <row r="388" ht="12.75" customHeight="1">
      <c r="C388" s="148"/>
      <c r="E388" s="195"/>
      <c r="F388" s="195"/>
      <c r="G388" s="196"/>
      <c r="H388" s="195"/>
    </row>
    <row r="389" ht="12.75" customHeight="1">
      <c r="C389" s="148"/>
      <c r="E389" s="195"/>
      <c r="F389" s="195"/>
      <c r="G389" s="196"/>
      <c r="H389" s="195"/>
    </row>
    <row r="390" ht="12.75" customHeight="1">
      <c r="C390" s="148"/>
      <c r="E390" s="195"/>
      <c r="F390" s="195"/>
      <c r="G390" s="196"/>
      <c r="H390" s="195"/>
    </row>
    <row r="391" ht="12.75" customHeight="1">
      <c r="C391" s="148"/>
      <c r="E391" s="195"/>
      <c r="F391" s="195"/>
      <c r="G391" s="196"/>
      <c r="H391" s="195"/>
    </row>
    <row r="392" ht="12.75" customHeight="1">
      <c r="C392" s="148"/>
      <c r="E392" s="195"/>
      <c r="F392" s="195"/>
      <c r="G392" s="196"/>
      <c r="H392" s="195"/>
    </row>
    <row r="393" ht="12.75" customHeight="1">
      <c r="C393" s="148"/>
      <c r="E393" s="195"/>
      <c r="F393" s="195"/>
      <c r="G393" s="196"/>
      <c r="H393" s="195"/>
    </row>
    <row r="394" ht="12.75" customHeight="1">
      <c r="C394" s="148"/>
      <c r="E394" s="195"/>
      <c r="F394" s="195"/>
      <c r="G394" s="196"/>
      <c r="H394" s="195"/>
    </row>
    <row r="395" ht="12.75" customHeight="1">
      <c r="C395" s="148"/>
      <c r="E395" s="195"/>
      <c r="F395" s="195"/>
      <c r="G395" s="196"/>
      <c r="H395" s="195"/>
    </row>
    <row r="396" ht="12.75" customHeight="1">
      <c r="C396" s="148"/>
      <c r="E396" s="195"/>
      <c r="F396" s="195"/>
      <c r="G396" s="196"/>
      <c r="H396" s="195"/>
    </row>
    <row r="397" ht="12.75" customHeight="1">
      <c r="C397" s="148"/>
      <c r="E397" s="195"/>
      <c r="F397" s="195"/>
      <c r="G397" s="196"/>
      <c r="H397" s="195"/>
    </row>
    <row r="398" ht="12.75" customHeight="1">
      <c r="C398" s="148"/>
      <c r="E398" s="195"/>
      <c r="F398" s="195"/>
      <c r="G398" s="196"/>
      <c r="H398" s="195"/>
    </row>
    <row r="399" ht="12.75" customHeight="1">
      <c r="C399" s="148"/>
      <c r="E399" s="195"/>
      <c r="F399" s="195"/>
      <c r="G399" s="196"/>
      <c r="H399" s="195"/>
    </row>
    <row r="400" ht="12.75" customHeight="1">
      <c r="C400" s="148"/>
      <c r="E400" s="195"/>
      <c r="F400" s="195"/>
      <c r="G400" s="196"/>
      <c r="H400" s="195"/>
    </row>
    <row r="401" ht="12.75" customHeight="1">
      <c r="C401" s="148"/>
      <c r="E401" s="195"/>
      <c r="F401" s="195"/>
      <c r="G401" s="196"/>
      <c r="H401" s="195"/>
    </row>
    <row r="402" ht="12.75" customHeight="1">
      <c r="C402" s="148"/>
      <c r="E402" s="195"/>
      <c r="F402" s="195"/>
      <c r="G402" s="196"/>
      <c r="H402" s="195"/>
    </row>
    <row r="403" ht="12.75" customHeight="1">
      <c r="C403" s="148"/>
      <c r="E403" s="195"/>
      <c r="F403" s="195"/>
      <c r="G403" s="196"/>
      <c r="H403" s="195"/>
    </row>
    <row r="404" ht="12.75" customHeight="1">
      <c r="C404" s="148"/>
      <c r="E404" s="195"/>
      <c r="F404" s="195"/>
      <c r="G404" s="196"/>
      <c r="H404" s="195"/>
    </row>
    <row r="405" ht="12.75" customHeight="1">
      <c r="C405" s="148"/>
      <c r="E405" s="195"/>
      <c r="F405" s="195"/>
      <c r="G405" s="196"/>
      <c r="H405" s="195"/>
    </row>
    <row r="406" ht="12.75" customHeight="1">
      <c r="C406" s="148"/>
      <c r="E406" s="195"/>
      <c r="F406" s="195"/>
      <c r="G406" s="196"/>
      <c r="H406" s="195"/>
    </row>
    <row r="407" ht="12.75" customHeight="1">
      <c r="C407" s="148"/>
      <c r="E407" s="195"/>
      <c r="F407" s="195"/>
      <c r="G407" s="196"/>
      <c r="H407" s="195"/>
    </row>
    <row r="408" ht="12.75" customHeight="1">
      <c r="C408" s="148"/>
      <c r="E408" s="195"/>
      <c r="F408" s="195"/>
      <c r="G408" s="196"/>
      <c r="H408" s="195"/>
    </row>
    <row r="409" ht="12.75" customHeight="1">
      <c r="C409" s="148"/>
      <c r="E409" s="195"/>
      <c r="F409" s="195"/>
      <c r="G409" s="196"/>
      <c r="H409" s="195"/>
    </row>
    <row r="410" ht="12.75" customHeight="1">
      <c r="C410" s="148"/>
      <c r="E410" s="195"/>
      <c r="F410" s="195"/>
      <c r="G410" s="196"/>
      <c r="H410" s="195"/>
    </row>
    <row r="411" ht="12.75" customHeight="1">
      <c r="C411" s="148"/>
      <c r="E411" s="195"/>
      <c r="F411" s="195"/>
      <c r="G411" s="196"/>
      <c r="H411" s="195"/>
    </row>
    <row r="412" ht="12.75" customHeight="1">
      <c r="C412" s="148"/>
      <c r="E412" s="195"/>
      <c r="F412" s="195"/>
      <c r="G412" s="196"/>
      <c r="H412" s="195"/>
    </row>
    <row r="413" ht="12.75" customHeight="1">
      <c r="C413" s="148"/>
      <c r="E413" s="195"/>
      <c r="F413" s="195"/>
      <c r="G413" s="196"/>
      <c r="H413" s="195"/>
    </row>
    <row r="414" ht="12.75" customHeight="1">
      <c r="C414" s="148"/>
      <c r="E414" s="195"/>
      <c r="F414" s="195"/>
      <c r="G414" s="196"/>
      <c r="H414" s="195"/>
    </row>
    <row r="415" ht="12.75" customHeight="1">
      <c r="C415" s="148"/>
      <c r="E415" s="195"/>
      <c r="F415" s="195"/>
      <c r="G415" s="196"/>
      <c r="H415" s="195"/>
    </row>
    <row r="416" ht="12.75" customHeight="1">
      <c r="C416" s="148"/>
      <c r="E416" s="195"/>
      <c r="F416" s="195"/>
      <c r="G416" s="196"/>
      <c r="H416" s="195"/>
    </row>
    <row r="417" ht="12.75" customHeight="1">
      <c r="C417" s="148"/>
      <c r="E417" s="195"/>
      <c r="F417" s="195"/>
      <c r="G417" s="196"/>
      <c r="H417" s="195"/>
    </row>
    <row r="418" ht="12.75" customHeight="1">
      <c r="C418" s="148"/>
      <c r="E418" s="195"/>
      <c r="F418" s="195"/>
      <c r="G418" s="196"/>
      <c r="H418" s="195"/>
    </row>
    <row r="419" ht="12.75" customHeight="1">
      <c r="C419" s="148"/>
      <c r="E419" s="195"/>
      <c r="F419" s="195"/>
      <c r="G419" s="196"/>
      <c r="H419" s="195"/>
    </row>
    <row r="420" ht="12.75" customHeight="1">
      <c r="C420" s="148"/>
      <c r="E420" s="195"/>
      <c r="F420" s="195"/>
      <c r="G420" s="196"/>
      <c r="H420" s="195"/>
    </row>
    <row r="421" ht="12.75" customHeight="1">
      <c r="C421" s="148"/>
      <c r="E421" s="195"/>
      <c r="F421" s="195"/>
      <c r="G421" s="196"/>
      <c r="H421" s="195"/>
    </row>
    <row r="422" ht="12.75" customHeight="1">
      <c r="C422" s="148"/>
      <c r="E422" s="195"/>
      <c r="F422" s="195"/>
      <c r="G422" s="196"/>
      <c r="H422" s="195"/>
    </row>
    <row r="423" ht="12.75" customHeight="1">
      <c r="C423" s="148"/>
      <c r="E423" s="195"/>
      <c r="F423" s="195"/>
      <c r="G423" s="196"/>
      <c r="H423" s="195"/>
    </row>
    <row r="424" ht="12.75" customHeight="1">
      <c r="C424" s="148"/>
      <c r="E424" s="195"/>
      <c r="F424" s="195"/>
      <c r="G424" s="196"/>
      <c r="H424" s="195"/>
    </row>
    <row r="425" ht="12.75" customHeight="1">
      <c r="C425" s="148"/>
      <c r="E425" s="195"/>
      <c r="F425" s="195"/>
      <c r="G425" s="196"/>
      <c r="H425" s="195"/>
    </row>
    <row r="426" ht="12.75" customHeight="1">
      <c r="C426" s="148"/>
      <c r="E426" s="195"/>
      <c r="F426" s="195"/>
      <c r="G426" s="196"/>
      <c r="H426" s="195"/>
    </row>
    <row r="427" ht="12.75" customHeight="1">
      <c r="C427" s="148"/>
      <c r="E427" s="195"/>
      <c r="F427" s="195"/>
      <c r="G427" s="196"/>
      <c r="H427" s="195"/>
    </row>
    <row r="428" ht="12.75" customHeight="1">
      <c r="C428" s="148"/>
      <c r="E428" s="195"/>
      <c r="F428" s="195"/>
      <c r="G428" s="196"/>
      <c r="H428" s="195"/>
    </row>
    <row r="429" ht="12.75" customHeight="1">
      <c r="C429" s="148"/>
      <c r="E429" s="195"/>
      <c r="F429" s="195"/>
      <c r="G429" s="196"/>
      <c r="H429" s="195"/>
    </row>
    <row r="430" ht="12.75" customHeight="1">
      <c r="C430" s="148"/>
      <c r="E430" s="195"/>
      <c r="F430" s="195"/>
      <c r="G430" s="196"/>
      <c r="H430" s="195"/>
    </row>
    <row r="431" ht="12.75" customHeight="1">
      <c r="C431" s="148"/>
      <c r="E431" s="195"/>
      <c r="F431" s="195"/>
      <c r="G431" s="196"/>
      <c r="H431" s="195"/>
    </row>
    <row r="432" ht="12.75" customHeight="1">
      <c r="C432" s="148"/>
      <c r="E432" s="195"/>
      <c r="F432" s="195"/>
      <c r="G432" s="196"/>
      <c r="H432" s="195"/>
    </row>
    <row r="433" ht="12.75" customHeight="1">
      <c r="C433" s="148"/>
      <c r="E433" s="195"/>
      <c r="F433" s="195"/>
      <c r="G433" s="196"/>
      <c r="H433" s="195"/>
    </row>
    <row r="434" ht="12.75" customHeight="1">
      <c r="C434" s="148"/>
      <c r="E434" s="195"/>
      <c r="F434" s="195"/>
      <c r="G434" s="196"/>
      <c r="H434" s="195"/>
    </row>
    <row r="435" ht="12.75" customHeight="1">
      <c r="C435" s="148"/>
      <c r="E435" s="195"/>
      <c r="F435" s="195"/>
      <c r="G435" s="196"/>
      <c r="H435" s="195"/>
    </row>
    <row r="436" ht="12.75" customHeight="1">
      <c r="C436" s="148"/>
      <c r="E436" s="195"/>
      <c r="F436" s="195"/>
      <c r="G436" s="196"/>
      <c r="H436" s="195"/>
    </row>
    <row r="437" ht="12.75" customHeight="1">
      <c r="C437" s="148"/>
      <c r="E437" s="195"/>
      <c r="F437" s="195"/>
      <c r="G437" s="196"/>
      <c r="H437" s="195"/>
    </row>
    <row r="438" ht="12.75" customHeight="1">
      <c r="C438" s="148"/>
      <c r="E438" s="195"/>
      <c r="F438" s="195"/>
      <c r="G438" s="196"/>
      <c r="H438" s="195"/>
    </row>
    <row r="439" ht="12.75" customHeight="1">
      <c r="C439" s="148"/>
      <c r="E439" s="195"/>
      <c r="F439" s="195"/>
      <c r="G439" s="196"/>
      <c r="H439" s="195"/>
    </row>
    <row r="440" ht="12.75" customHeight="1">
      <c r="C440" s="148"/>
      <c r="E440" s="195"/>
      <c r="F440" s="195"/>
      <c r="G440" s="196"/>
      <c r="H440" s="195"/>
    </row>
    <row r="441" ht="12.75" customHeight="1">
      <c r="C441" s="148"/>
      <c r="E441" s="195"/>
      <c r="F441" s="195"/>
      <c r="G441" s="196"/>
      <c r="H441" s="195"/>
    </row>
    <row r="442" ht="12.75" customHeight="1">
      <c r="C442" s="148"/>
      <c r="E442" s="195"/>
      <c r="F442" s="195"/>
      <c r="G442" s="196"/>
      <c r="H442" s="195"/>
    </row>
    <row r="443" ht="12.75" customHeight="1">
      <c r="C443" s="148"/>
      <c r="E443" s="195"/>
      <c r="F443" s="195"/>
      <c r="G443" s="196"/>
      <c r="H443" s="195"/>
    </row>
    <row r="444" ht="12.75" customHeight="1">
      <c r="C444" s="148"/>
      <c r="E444" s="195"/>
      <c r="F444" s="195"/>
      <c r="G444" s="196"/>
      <c r="H444" s="195"/>
    </row>
    <row r="445" ht="12.75" customHeight="1">
      <c r="C445" s="148"/>
      <c r="E445" s="195"/>
      <c r="F445" s="195"/>
      <c r="G445" s="196"/>
      <c r="H445" s="195"/>
    </row>
    <row r="446" ht="12.75" customHeight="1">
      <c r="C446" s="148"/>
      <c r="E446" s="195"/>
      <c r="F446" s="195"/>
      <c r="G446" s="196"/>
      <c r="H446" s="195"/>
    </row>
    <row r="447" ht="12.75" customHeight="1">
      <c r="C447" s="148"/>
      <c r="E447" s="195"/>
      <c r="F447" s="195"/>
      <c r="G447" s="196"/>
      <c r="H447" s="195"/>
    </row>
    <row r="448" ht="12.75" customHeight="1">
      <c r="C448" s="148"/>
      <c r="E448" s="195"/>
      <c r="F448" s="195"/>
      <c r="G448" s="196"/>
      <c r="H448" s="195"/>
    </row>
    <row r="449" ht="12.75" customHeight="1">
      <c r="C449" s="148"/>
      <c r="E449" s="195"/>
      <c r="F449" s="195"/>
      <c r="G449" s="196"/>
      <c r="H449" s="195"/>
    </row>
    <row r="450" ht="12.75" customHeight="1">
      <c r="C450" s="148"/>
      <c r="E450" s="195"/>
      <c r="F450" s="195"/>
      <c r="G450" s="196"/>
      <c r="H450" s="195"/>
    </row>
    <row r="451" ht="12.75" customHeight="1">
      <c r="C451" s="148"/>
      <c r="E451" s="195"/>
      <c r="F451" s="195"/>
      <c r="G451" s="196"/>
      <c r="H451" s="195"/>
    </row>
    <row r="452" ht="12.75" customHeight="1">
      <c r="C452" s="148"/>
      <c r="E452" s="195"/>
      <c r="F452" s="195"/>
      <c r="G452" s="196"/>
      <c r="H452" s="195"/>
    </row>
    <row r="453" ht="12.75" customHeight="1">
      <c r="C453" s="148"/>
      <c r="E453" s="195"/>
      <c r="F453" s="195"/>
      <c r="G453" s="196"/>
      <c r="H453" s="195"/>
    </row>
    <row r="454" ht="12.75" customHeight="1">
      <c r="C454" s="148"/>
      <c r="E454" s="195"/>
      <c r="F454" s="195"/>
      <c r="G454" s="196"/>
      <c r="H454" s="195"/>
    </row>
    <row r="455" ht="12.75" customHeight="1">
      <c r="C455" s="148"/>
      <c r="E455" s="195"/>
      <c r="F455" s="195"/>
      <c r="G455" s="196"/>
      <c r="H455" s="195"/>
    </row>
    <row r="456" ht="12.75" customHeight="1">
      <c r="C456" s="148"/>
      <c r="E456" s="195"/>
      <c r="F456" s="195"/>
      <c r="G456" s="196"/>
      <c r="H456" s="195"/>
    </row>
    <row r="457" ht="12.75" customHeight="1">
      <c r="C457" s="148"/>
      <c r="E457" s="195"/>
      <c r="F457" s="195"/>
      <c r="G457" s="196"/>
      <c r="H457" s="195"/>
    </row>
    <row r="458" ht="12.75" customHeight="1">
      <c r="C458" s="148"/>
      <c r="E458" s="195"/>
      <c r="F458" s="195"/>
      <c r="G458" s="196"/>
      <c r="H458" s="195"/>
    </row>
    <row r="459" ht="12.75" customHeight="1">
      <c r="C459" s="148"/>
      <c r="E459" s="195"/>
      <c r="F459" s="195"/>
      <c r="G459" s="196"/>
      <c r="H459" s="195"/>
    </row>
    <row r="460" ht="12.75" customHeight="1">
      <c r="C460" s="148"/>
      <c r="E460" s="195"/>
      <c r="F460" s="195"/>
      <c r="G460" s="196"/>
      <c r="H460" s="195"/>
    </row>
    <row r="461" ht="12.75" customHeight="1">
      <c r="C461" s="148"/>
      <c r="E461" s="195"/>
      <c r="F461" s="195"/>
      <c r="G461" s="196"/>
      <c r="H461" s="195"/>
    </row>
    <row r="462" ht="12.75" customHeight="1">
      <c r="C462" s="148"/>
      <c r="E462" s="195"/>
      <c r="F462" s="195"/>
      <c r="G462" s="196"/>
      <c r="H462" s="195"/>
    </row>
    <row r="463" ht="12.75" customHeight="1">
      <c r="C463" s="148"/>
      <c r="E463" s="195"/>
      <c r="F463" s="195"/>
      <c r="G463" s="196"/>
      <c r="H463" s="195"/>
    </row>
    <row r="464" ht="12.75" customHeight="1">
      <c r="C464" s="148"/>
      <c r="E464" s="195"/>
      <c r="F464" s="195"/>
      <c r="G464" s="196"/>
      <c r="H464" s="195"/>
    </row>
    <row r="465" ht="12.75" customHeight="1">
      <c r="C465" s="148"/>
      <c r="E465" s="195"/>
      <c r="F465" s="195"/>
      <c r="G465" s="196"/>
      <c r="H465" s="195"/>
    </row>
    <row r="466" ht="12.75" customHeight="1">
      <c r="C466" s="148"/>
      <c r="E466" s="195"/>
      <c r="F466" s="195"/>
      <c r="G466" s="196"/>
      <c r="H466" s="195"/>
    </row>
    <row r="467" ht="12.75" customHeight="1">
      <c r="C467" s="148"/>
      <c r="E467" s="195"/>
      <c r="F467" s="195"/>
      <c r="G467" s="196"/>
      <c r="H467" s="195"/>
    </row>
    <row r="468" ht="12.75" customHeight="1">
      <c r="C468" s="148"/>
      <c r="E468" s="195"/>
      <c r="F468" s="195"/>
      <c r="G468" s="196"/>
      <c r="H468" s="195"/>
    </row>
    <row r="469" ht="12.75" customHeight="1">
      <c r="C469" s="148"/>
      <c r="E469" s="195"/>
      <c r="F469" s="195"/>
      <c r="G469" s="196"/>
      <c r="H469" s="195"/>
    </row>
    <row r="470" ht="12.75" customHeight="1">
      <c r="C470" s="148"/>
      <c r="E470" s="195"/>
      <c r="F470" s="195"/>
      <c r="G470" s="196"/>
      <c r="H470" s="195"/>
    </row>
    <row r="471" ht="12.75" customHeight="1">
      <c r="C471" s="148"/>
      <c r="E471" s="195"/>
      <c r="F471" s="195"/>
      <c r="G471" s="196"/>
      <c r="H471" s="195"/>
    </row>
    <row r="472" ht="12.75" customHeight="1">
      <c r="C472" s="148"/>
      <c r="E472" s="195"/>
      <c r="F472" s="195"/>
      <c r="G472" s="196"/>
      <c r="H472" s="195"/>
    </row>
    <row r="473" ht="12.75" customHeight="1">
      <c r="C473" s="148"/>
      <c r="E473" s="195"/>
      <c r="F473" s="195"/>
      <c r="G473" s="196"/>
      <c r="H473" s="195"/>
    </row>
    <row r="474" ht="12.75" customHeight="1">
      <c r="C474" s="148"/>
      <c r="E474" s="195"/>
      <c r="F474" s="195"/>
      <c r="G474" s="196"/>
      <c r="H474" s="195"/>
    </row>
    <row r="475" ht="12.75" customHeight="1">
      <c r="C475" s="148"/>
      <c r="E475" s="195"/>
      <c r="F475" s="195"/>
      <c r="G475" s="196"/>
      <c r="H475" s="195"/>
    </row>
    <row r="476" ht="12.75" customHeight="1">
      <c r="C476" s="148"/>
      <c r="E476" s="195"/>
      <c r="F476" s="195"/>
      <c r="G476" s="196"/>
      <c r="H476" s="195"/>
    </row>
    <row r="477" ht="12.75" customHeight="1">
      <c r="C477" s="148"/>
      <c r="E477" s="195"/>
      <c r="F477" s="195"/>
      <c r="G477" s="196"/>
      <c r="H477" s="195"/>
    </row>
    <row r="478" ht="12.75" customHeight="1">
      <c r="C478" s="148"/>
      <c r="E478" s="195"/>
      <c r="F478" s="195"/>
      <c r="G478" s="196"/>
      <c r="H478" s="195"/>
    </row>
    <row r="479" ht="12.75" customHeight="1">
      <c r="C479" s="148"/>
      <c r="E479" s="195"/>
      <c r="F479" s="195"/>
      <c r="G479" s="196"/>
      <c r="H479" s="195"/>
    </row>
    <row r="480" ht="12.75" customHeight="1">
      <c r="C480" s="148"/>
      <c r="E480" s="195"/>
      <c r="F480" s="195"/>
      <c r="G480" s="196"/>
      <c r="H480" s="195"/>
    </row>
    <row r="481" ht="12.75" customHeight="1">
      <c r="C481" s="148"/>
      <c r="E481" s="195"/>
      <c r="F481" s="195"/>
      <c r="G481" s="196"/>
      <c r="H481" s="195"/>
    </row>
    <row r="482" ht="12.75" customHeight="1">
      <c r="C482" s="148"/>
      <c r="E482" s="195"/>
      <c r="F482" s="195"/>
      <c r="G482" s="196"/>
      <c r="H482" s="195"/>
    </row>
    <row r="483" ht="12.75" customHeight="1">
      <c r="C483" s="148"/>
      <c r="E483" s="195"/>
      <c r="F483" s="195"/>
      <c r="G483" s="196"/>
      <c r="H483" s="195"/>
    </row>
    <row r="484" ht="12.75" customHeight="1">
      <c r="C484" s="148"/>
      <c r="E484" s="195"/>
      <c r="F484" s="195"/>
      <c r="G484" s="196"/>
      <c r="H484" s="195"/>
    </row>
    <row r="485" ht="12.75" customHeight="1">
      <c r="C485" s="148"/>
      <c r="E485" s="195"/>
      <c r="F485" s="195"/>
      <c r="G485" s="196"/>
      <c r="H485" s="195"/>
    </row>
    <row r="486" ht="12.75" customHeight="1">
      <c r="C486" s="148"/>
      <c r="E486" s="195"/>
      <c r="F486" s="195"/>
      <c r="G486" s="196"/>
      <c r="H486" s="195"/>
    </row>
    <row r="487" ht="12.75" customHeight="1">
      <c r="C487" s="148"/>
      <c r="E487" s="195"/>
      <c r="F487" s="195"/>
      <c r="G487" s="196"/>
      <c r="H487" s="195"/>
    </row>
    <row r="488" ht="12.75" customHeight="1">
      <c r="C488" s="148"/>
      <c r="E488" s="195"/>
      <c r="F488" s="195"/>
      <c r="G488" s="196"/>
      <c r="H488" s="195"/>
    </row>
    <row r="489" ht="12.75" customHeight="1">
      <c r="C489" s="148"/>
      <c r="E489" s="195"/>
      <c r="F489" s="195"/>
      <c r="G489" s="196"/>
      <c r="H489" s="195"/>
    </row>
    <row r="490" ht="12.75" customHeight="1">
      <c r="C490" s="148"/>
      <c r="E490" s="195"/>
      <c r="F490" s="195"/>
      <c r="G490" s="196"/>
      <c r="H490" s="195"/>
    </row>
    <row r="491" ht="12.75" customHeight="1">
      <c r="C491" s="148"/>
      <c r="E491" s="195"/>
      <c r="F491" s="195"/>
      <c r="G491" s="196"/>
      <c r="H491" s="195"/>
    </row>
    <row r="492" ht="12.75" customHeight="1">
      <c r="C492" s="148"/>
      <c r="E492" s="195"/>
      <c r="F492" s="195"/>
      <c r="G492" s="196"/>
      <c r="H492" s="195"/>
    </row>
    <row r="493" ht="12.75" customHeight="1">
      <c r="C493" s="148"/>
      <c r="E493" s="195"/>
      <c r="F493" s="195"/>
      <c r="G493" s="196"/>
      <c r="H493" s="195"/>
    </row>
    <row r="494" ht="12.75" customHeight="1">
      <c r="C494" s="148"/>
      <c r="E494" s="195"/>
      <c r="F494" s="195"/>
      <c r="G494" s="196"/>
      <c r="H494" s="195"/>
    </row>
    <row r="495" ht="12.75" customHeight="1">
      <c r="C495" s="148"/>
      <c r="E495" s="195"/>
      <c r="F495" s="195"/>
      <c r="G495" s="196"/>
      <c r="H495" s="195"/>
    </row>
    <row r="496" ht="12.75" customHeight="1">
      <c r="C496" s="148"/>
      <c r="E496" s="195"/>
      <c r="F496" s="195"/>
      <c r="G496" s="196"/>
      <c r="H496" s="195"/>
    </row>
    <row r="497" ht="12.75" customHeight="1">
      <c r="C497" s="148"/>
      <c r="E497" s="195"/>
      <c r="F497" s="195"/>
      <c r="G497" s="196"/>
      <c r="H497" s="195"/>
    </row>
    <row r="498" ht="12.75" customHeight="1">
      <c r="C498" s="148"/>
      <c r="E498" s="195"/>
      <c r="F498" s="195"/>
      <c r="G498" s="196"/>
      <c r="H498" s="195"/>
    </row>
    <row r="499" ht="12.75" customHeight="1">
      <c r="C499" s="148"/>
      <c r="E499" s="195"/>
      <c r="F499" s="195"/>
      <c r="G499" s="196"/>
      <c r="H499" s="195"/>
    </row>
    <row r="500" ht="12.75" customHeight="1">
      <c r="C500" s="148"/>
      <c r="E500" s="195"/>
      <c r="F500" s="195"/>
      <c r="G500" s="196"/>
      <c r="H500" s="195"/>
    </row>
    <row r="501" ht="12.75" customHeight="1">
      <c r="C501" s="148"/>
      <c r="E501" s="195"/>
      <c r="F501" s="195"/>
      <c r="G501" s="196"/>
      <c r="H501" s="195"/>
    </row>
    <row r="502" ht="12.75" customHeight="1">
      <c r="C502" s="148"/>
      <c r="E502" s="195"/>
      <c r="F502" s="195"/>
      <c r="G502" s="196"/>
      <c r="H502" s="195"/>
    </row>
    <row r="503" ht="12.75" customHeight="1">
      <c r="C503" s="148"/>
      <c r="E503" s="195"/>
      <c r="F503" s="195"/>
      <c r="G503" s="196"/>
      <c r="H503" s="195"/>
    </row>
    <row r="504" ht="12.75" customHeight="1">
      <c r="C504" s="148"/>
      <c r="E504" s="195"/>
      <c r="F504" s="195"/>
      <c r="G504" s="196"/>
      <c r="H504" s="195"/>
    </row>
    <row r="505" ht="12.75" customHeight="1">
      <c r="C505" s="148"/>
      <c r="E505" s="195"/>
      <c r="F505" s="195"/>
      <c r="G505" s="196"/>
      <c r="H505" s="195"/>
    </row>
    <row r="506" ht="12.75" customHeight="1">
      <c r="C506" s="148"/>
      <c r="E506" s="195"/>
      <c r="F506" s="195"/>
      <c r="G506" s="196"/>
      <c r="H506" s="195"/>
    </row>
    <row r="507" ht="12.75" customHeight="1">
      <c r="C507" s="148"/>
      <c r="E507" s="195"/>
      <c r="F507" s="195"/>
      <c r="G507" s="196"/>
      <c r="H507" s="195"/>
    </row>
    <row r="508" ht="12.75" customHeight="1">
      <c r="C508" s="148"/>
      <c r="E508" s="195"/>
      <c r="F508" s="195"/>
      <c r="G508" s="196"/>
      <c r="H508" s="195"/>
    </row>
    <row r="509" ht="12.75" customHeight="1">
      <c r="C509" s="148"/>
      <c r="E509" s="195"/>
      <c r="F509" s="195"/>
      <c r="G509" s="196"/>
      <c r="H509" s="195"/>
    </row>
    <row r="510" ht="12.75" customHeight="1">
      <c r="C510" s="148"/>
      <c r="E510" s="195"/>
      <c r="F510" s="195"/>
      <c r="G510" s="196"/>
      <c r="H510" s="195"/>
    </row>
    <row r="511" ht="12.75" customHeight="1">
      <c r="C511" s="148"/>
      <c r="E511" s="195"/>
      <c r="F511" s="195"/>
      <c r="G511" s="196"/>
      <c r="H511" s="195"/>
    </row>
    <row r="512" ht="12.75" customHeight="1">
      <c r="C512" s="148"/>
      <c r="E512" s="195"/>
      <c r="F512" s="195"/>
      <c r="G512" s="196"/>
      <c r="H512" s="195"/>
    </row>
    <row r="513" ht="12.75" customHeight="1">
      <c r="C513" s="148"/>
      <c r="E513" s="195"/>
      <c r="F513" s="195"/>
      <c r="G513" s="196"/>
      <c r="H513" s="195"/>
    </row>
    <row r="514" ht="12.75" customHeight="1">
      <c r="C514" s="148"/>
      <c r="E514" s="195"/>
      <c r="F514" s="195"/>
      <c r="G514" s="196"/>
      <c r="H514" s="195"/>
    </row>
    <row r="515" ht="12.75" customHeight="1">
      <c r="C515" s="148"/>
      <c r="E515" s="195"/>
      <c r="F515" s="195"/>
      <c r="G515" s="196"/>
      <c r="H515" s="195"/>
    </row>
    <row r="516" ht="12.75" customHeight="1">
      <c r="C516" s="148"/>
      <c r="E516" s="195"/>
      <c r="F516" s="195"/>
      <c r="G516" s="196"/>
      <c r="H516" s="195"/>
    </row>
    <row r="517" ht="12.75" customHeight="1">
      <c r="C517" s="148"/>
      <c r="E517" s="195"/>
      <c r="F517" s="195"/>
      <c r="G517" s="196"/>
      <c r="H517" s="195"/>
    </row>
    <row r="518" ht="12.75" customHeight="1">
      <c r="C518" s="148"/>
      <c r="E518" s="195"/>
      <c r="F518" s="195"/>
      <c r="G518" s="196"/>
      <c r="H518" s="195"/>
    </row>
    <row r="519" ht="12.75" customHeight="1">
      <c r="C519" s="148"/>
      <c r="E519" s="195"/>
      <c r="F519" s="195"/>
      <c r="G519" s="196"/>
      <c r="H519" s="195"/>
    </row>
    <row r="520" ht="12.75" customHeight="1">
      <c r="C520" s="148"/>
      <c r="E520" s="195"/>
      <c r="F520" s="195"/>
      <c r="G520" s="196"/>
      <c r="H520" s="195"/>
    </row>
    <row r="521" ht="12.75" customHeight="1">
      <c r="C521" s="148"/>
      <c r="E521" s="195"/>
      <c r="F521" s="195"/>
      <c r="G521" s="196"/>
      <c r="H521" s="195"/>
    </row>
    <row r="522" ht="12.75" customHeight="1">
      <c r="C522" s="148"/>
      <c r="E522" s="195"/>
      <c r="F522" s="195"/>
      <c r="G522" s="196"/>
      <c r="H522" s="195"/>
    </row>
    <row r="523" ht="12.75" customHeight="1">
      <c r="C523" s="148"/>
      <c r="E523" s="195"/>
      <c r="F523" s="195"/>
      <c r="G523" s="196"/>
      <c r="H523" s="195"/>
    </row>
    <row r="524" ht="12.75" customHeight="1">
      <c r="C524" s="148"/>
      <c r="E524" s="195"/>
      <c r="F524" s="195"/>
      <c r="G524" s="196"/>
      <c r="H524" s="195"/>
    </row>
    <row r="525" ht="12.75" customHeight="1">
      <c r="C525" s="148"/>
      <c r="E525" s="195"/>
      <c r="F525" s="195"/>
      <c r="G525" s="196"/>
      <c r="H525" s="195"/>
    </row>
    <row r="526" ht="12.75" customHeight="1">
      <c r="C526" s="148"/>
      <c r="E526" s="195"/>
      <c r="F526" s="195"/>
      <c r="G526" s="196"/>
      <c r="H526" s="195"/>
    </row>
    <row r="527" ht="12.75" customHeight="1">
      <c r="C527" s="148"/>
      <c r="E527" s="195"/>
      <c r="F527" s="195"/>
      <c r="G527" s="196"/>
      <c r="H527" s="195"/>
    </row>
    <row r="528" ht="12.75" customHeight="1">
      <c r="C528" s="148"/>
      <c r="E528" s="195"/>
      <c r="F528" s="195"/>
      <c r="G528" s="196"/>
      <c r="H528" s="195"/>
    </row>
    <row r="529" ht="12.75" customHeight="1">
      <c r="C529" s="148"/>
      <c r="E529" s="195"/>
      <c r="F529" s="195"/>
      <c r="G529" s="196"/>
      <c r="H529" s="195"/>
    </row>
    <row r="530" ht="12.75" customHeight="1">
      <c r="C530" s="148"/>
      <c r="E530" s="195"/>
      <c r="F530" s="195"/>
      <c r="G530" s="196"/>
      <c r="H530" s="195"/>
    </row>
    <row r="531" ht="12.75" customHeight="1">
      <c r="C531" s="148"/>
      <c r="E531" s="195"/>
      <c r="F531" s="195"/>
      <c r="G531" s="196"/>
      <c r="H531" s="195"/>
    </row>
    <row r="532" ht="12.75" customHeight="1">
      <c r="C532" s="148"/>
      <c r="E532" s="195"/>
      <c r="F532" s="195"/>
      <c r="G532" s="196"/>
      <c r="H532" s="195"/>
    </row>
    <row r="533" ht="12.75" customHeight="1">
      <c r="C533" s="148"/>
      <c r="E533" s="195"/>
      <c r="F533" s="195"/>
      <c r="G533" s="196"/>
      <c r="H533" s="195"/>
    </row>
    <row r="534" ht="12.75" customHeight="1">
      <c r="C534" s="148"/>
      <c r="E534" s="195"/>
      <c r="F534" s="195"/>
      <c r="G534" s="196"/>
      <c r="H534" s="195"/>
    </row>
    <row r="535" ht="12.75" customHeight="1">
      <c r="C535" s="148"/>
      <c r="E535" s="195"/>
      <c r="F535" s="195"/>
      <c r="G535" s="196"/>
      <c r="H535" s="195"/>
    </row>
    <row r="536" ht="12.75" customHeight="1">
      <c r="C536" s="148"/>
      <c r="E536" s="195"/>
      <c r="F536" s="195"/>
      <c r="G536" s="196"/>
      <c r="H536" s="195"/>
    </row>
    <row r="537" ht="12.75" customHeight="1">
      <c r="C537" s="148"/>
      <c r="E537" s="195"/>
      <c r="F537" s="195"/>
      <c r="G537" s="196"/>
      <c r="H537" s="195"/>
    </row>
    <row r="538" ht="12.75" customHeight="1">
      <c r="C538" s="148"/>
      <c r="E538" s="195"/>
      <c r="F538" s="195"/>
      <c r="G538" s="196"/>
      <c r="H538" s="195"/>
    </row>
    <row r="539" ht="12.75" customHeight="1">
      <c r="C539" s="148"/>
      <c r="E539" s="195"/>
      <c r="F539" s="195"/>
      <c r="G539" s="196"/>
      <c r="H539" s="195"/>
    </row>
    <row r="540" ht="12.75" customHeight="1">
      <c r="C540" s="148"/>
      <c r="E540" s="195"/>
      <c r="F540" s="195"/>
      <c r="G540" s="196"/>
      <c r="H540" s="195"/>
    </row>
    <row r="541" ht="12.75" customHeight="1">
      <c r="C541" s="148"/>
      <c r="E541" s="195"/>
      <c r="F541" s="195"/>
      <c r="G541" s="196"/>
      <c r="H541" s="195"/>
    </row>
    <row r="542" ht="12.75" customHeight="1">
      <c r="C542" s="148"/>
      <c r="E542" s="195"/>
      <c r="F542" s="195"/>
      <c r="G542" s="196"/>
      <c r="H542" s="195"/>
    </row>
    <row r="543" ht="12.75" customHeight="1">
      <c r="C543" s="148"/>
      <c r="E543" s="195"/>
      <c r="F543" s="195"/>
      <c r="G543" s="196"/>
      <c r="H543" s="195"/>
    </row>
    <row r="544" ht="12.75" customHeight="1">
      <c r="C544" s="148"/>
      <c r="E544" s="195"/>
      <c r="F544" s="195"/>
      <c r="G544" s="196"/>
      <c r="H544" s="195"/>
    </row>
    <row r="545" ht="12.75" customHeight="1">
      <c r="C545" s="148"/>
      <c r="E545" s="195"/>
      <c r="F545" s="195"/>
      <c r="G545" s="196"/>
      <c r="H545" s="195"/>
    </row>
    <row r="546" ht="12.75" customHeight="1">
      <c r="C546" s="148"/>
      <c r="E546" s="195"/>
      <c r="F546" s="195"/>
      <c r="G546" s="196"/>
      <c r="H546" s="195"/>
    </row>
    <row r="547" ht="12.75" customHeight="1">
      <c r="C547" s="148"/>
      <c r="E547" s="195"/>
      <c r="F547" s="195"/>
      <c r="G547" s="196"/>
      <c r="H547" s="195"/>
    </row>
    <row r="548" ht="12.75" customHeight="1">
      <c r="C548" s="148"/>
      <c r="E548" s="195"/>
      <c r="F548" s="195"/>
      <c r="G548" s="196"/>
      <c r="H548" s="195"/>
    </row>
    <row r="549" ht="12.75" customHeight="1">
      <c r="C549" s="148"/>
      <c r="E549" s="195"/>
      <c r="F549" s="195"/>
      <c r="G549" s="196"/>
      <c r="H549" s="195"/>
    </row>
    <row r="550" ht="12.75" customHeight="1">
      <c r="C550" s="148"/>
      <c r="E550" s="195"/>
      <c r="F550" s="195"/>
      <c r="G550" s="196"/>
      <c r="H550" s="195"/>
    </row>
    <row r="551" ht="12.75" customHeight="1">
      <c r="C551" s="148"/>
      <c r="E551" s="195"/>
      <c r="F551" s="195"/>
      <c r="G551" s="196"/>
      <c r="H551" s="195"/>
    </row>
    <row r="552" ht="12.75" customHeight="1">
      <c r="C552" s="148"/>
      <c r="E552" s="195"/>
      <c r="F552" s="195"/>
      <c r="G552" s="196"/>
      <c r="H552" s="195"/>
    </row>
    <row r="553" ht="12.75" customHeight="1">
      <c r="C553" s="148"/>
      <c r="E553" s="195"/>
      <c r="F553" s="195"/>
      <c r="G553" s="196"/>
      <c r="H553" s="195"/>
    </row>
    <row r="554" ht="12.75" customHeight="1">
      <c r="C554" s="148"/>
      <c r="E554" s="195"/>
      <c r="F554" s="195"/>
      <c r="G554" s="196"/>
      <c r="H554" s="195"/>
    </row>
    <row r="555" ht="12.75" customHeight="1">
      <c r="C555" s="148"/>
      <c r="E555" s="195"/>
      <c r="F555" s="195"/>
      <c r="G555" s="196"/>
      <c r="H555" s="195"/>
    </row>
    <row r="556" ht="12.75" customHeight="1">
      <c r="C556" s="148"/>
      <c r="E556" s="195"/>
      <c r="F556" s="195"/>
      <c r="G556" s="196"/>
      <c r="H556" s="195"/>
    </row>
    <row r="557" ht="12.75" customHeight="1">
      <c r="C557" s="148"/>
      <c r="E557" s="195"/>
      <c r="F557" s="195"/>
      <c r="G557" s="196"/>
      <c r="H557" s="195"/>
    </row>
    <row r="558" ht="12.75" customHeight="1">
      <c r="C558" s="148"/>
      <c r="E558" s="195"/>
      <c r="F558" s="195"/>
      <c r="G558" s="196"/>
      <c r="H558" s="195"/>
    </row>
    <row r="559" ht="12.75" customHeight="1">
      <c r="C559" s="148"/>
      <c r="E559" s="195"/>
      <c r="F559" s="195"/>
      <c r="G559" s="196"/>
      <c r="H559" s="195"/>
    </row>
    <row r="560" ht="12.75" customHeight="1">
      <c r="C560" s="148"/>
      <c r="E560" s="195"/>
      <c r="F560" s="195"/>
      <c r="G560" s="196"/>
      <c r="H560" s="195"/>
    </row>
    <row r="561" ht="12.75" customHeight="1">
      <c r="C561" s="148"/>
      <c r="E561" s="195"/>
      <c r="F561" s="195"/>
      <c r="G561" s="196"/>
      <c r="H561" s="195"/>
    </row>
    <row r="562" ht="12.75" customHeight="1">
      <c r="C562" s="148"/>
      <c r="E562" s="195"/>
      <c r="F562" s="195"/>
      <c r="G562" s="196"/>
      <c r="H562" s="195"/>
    </row>
    <row r="563" ht="12.75" customHeight="1">
      <c r="C563" s="148"/>
      <c r="E563" s="195"/>
      <c r="F563" s="195"/>
      <c r="G563" s="196"/>
      <c r="H563" s="195"/>
    </row>
    <row r="564" ht="12.75" customHeight="1">
      <c r="C564" s="148"/>
      <c r="E564" s="195"/>
      <c r="F564" s="195"/>
      <c r="G564" s="196"/>
      <c r="H564" s="195"/>
    </row>
    <row r="565" ht="12.75" customHeight="1">
      <c r="C565" s="148"/>
      <c r="E565" s="195"/>
      <c r="F565" s="195"/>
      <c r="G565" s="196"/>
      <c r="H565" s="195"/>
    </row>
    <row r="566" ht="12.75" customHeight="1">
      <c r="C566" s="148"/>
      <c r="E566" s="195"/>
      <c r="F566" s="195"/>
      <c r="G566" s="196"/>
      <c r="H566" s="195"/>
    </row>
    <row r="567" ht="12.75" customHeight="1">
      <c r="C567" s="148"/>
      <c r="E567" s="195"/>
      <c r="F567" s="195"/>
      <c r="G567" s="196"/>
      <c r="H567" s="195"/>
    </row>
    <row r="568" ht="12.75" customHeight="1">
      <c r="C568" s="148"/>
      <c r="E568" s="195"/>
      <c r="F568" s="195"/>
      <c r="G568" s="196"/>
      <c r="H568" s="195"/>
    </row>
    <row r="569" ht="12.75" customHeight="1">
      <c r="C569" s="148"/>
      <c r="E569" s="195"/>
      <c r="F569" s="195"/>
      <c r="G569" s="196"/>
      <c r="H569" s="195"/>
    </row>
    <row r="570" ht="12.75" customHeight="1">
      <c r="C570" s="148"/>
      <c r="E570" s="195"/>
      <c r="F570" s="195"/>
      <c r="G570" s="196"/>
      <c r="H570" s="195"/>
    </row>
    <row r="571" ht="12.75" customHeight="1">
      <c r="C571" s="148"/>
      <c r="E571" s="195"/>
      <c r="F571" s="195"/>
      <c r="G571" s="196"/>
      <c r="H571" s="195"/>
    </row>
    <row r="572" ht="12.75" customHeight="1">
      <c r="C572" s="148"/>
      <c r="E572" s="195"/>
      <c r="F572" s="195"/>
      <c r="G572" s="196"/>
      <c r="H572" s="195"/>
    </row>
    <row r="573" ht="12.75" customHeight="1">
      <c r="C573" s="148"/>
      <c r="E573" s="195"/>
      <c r="F573" s="195"/>
      <c r="G573" s="196"/>
      <c r="H573" s="195"/>
    </row>
    <row r="574" ht="12.75" customHeight="1">
      <c r="C574" s="148"/>
      <c r="E574" s="195"/>
      <c r="F574" s="195"/>
      <c r="G574" s="196"/>
      <c r="H574" s="195"/>
    </row>
    <row r="575" ht="12.75" customHeight="1">
      <c r="C575" s="148"/>
      <c r="E575" s="195"/>
      <c r="F575" s="195"/>
      <c r="G575" s="196"/>
      <c r="H575" s="195"/>
    </row>
    <row r="576" ht="12.75" customHeight="1">
      <c r="C576" s="148"/>
      <c r="E576" s="195"/>
      <c r="F576" s="195"/>
      <c r="G576" s="196"/>
      <c r="H576" s="195"/>
    </row>
    <row r="577" ht="12.75" customHeight="1">
      <c r="C577" s="148"/>
      <c r="E577" s="195"/>
      <c r="F577" s="195"/>
      <c r="G577" s="196"/>
      <c r="H577" s="195"/>
    </row>
    <row r="578" ht="12.75" customHeight="1">
      <c r="C578" s="148"/>
      <c r="E578" s="195"/>
      <c r="F578" s="195"/>
      <c r="G578" s="196"/>
      <c r="H578" s="195"/>
    </row>
    <row r="579" ht="12.75" customHeight="1">
      <c r="C579" s="148"/>
      <c r="E579" s="195"/>
      <c r="F579" s="195"/>
      <c r="G579" s="196"/>
      <c r="H579" s="195"/>
    </row>
    <row r="580" ht="12.75" customHeight="1">
      <c r="C580" s="148"/>
      <c r="E580" s="195"/>
      <c r="F580" s="195"/>
      <c r="G580" s="196"/>
      <c r="H580" s="195"/>
    </row>
    <row r="581" ht="12.75" customHeight="1">
      <c r="C581" s="148"/>
      <c r="E581" s="195"/>
      <c r="F581" s="195"/>
      <c r="G581" s="196"/>
      <c r="H581" s="195"/>
    </row>
    <row r="582" ht="12.75" customHeight="1">
      <c r="C582" s="148"/>
      <c r="E582" s="195"/>
      <c r="F582" s="195"/>
      <c r="G582" s="196"/>
      <c r="H582" s="195"/>
    </row>
    <row r="583" ht="12.75" customHeight="1">
      <c r="C583" s="148"/>
      <c r="E583" s="195"/>
      <c r="F583" s="195"/>
      <c r="G583" s="196"/>
      <c r="H583" s="195"/>
    </row>
    <row r="584" ht="12.75" customHeight="1">
      <c r="C584" s="148"/>
      <c r="E584" s="195"/>
      <c r="F584" s="195"/>
      <c r="G584" s="196"/>
      <c r="H584" s="195"/>
    </row>
    <row r="585" ht="12.75" customHeight="1">
      <c r="C585" s="148"/>
      <c r="E585" s="195"/>
      <c r="F585" s="195"/>
      <c r="G585" s="196"/>
      <c r="H585" s="195"/>
    </row>
    <row r="586" ht="12.75" customHeight="1">
      <c r="C586" s="148"/>
      <c r="E586" s="195"/>
      <c r="F586" s="195"/>
      <c r="G586" s="196"/>
      <c r="H586" s="195"/>
    </row>
    <row r="587" ht="12.75" customHeight="1">
      <c r="C587" s="148"/>
      <c r="E587" s="195"/>
      <c r="F587" s="195"/>
      <c r="G587" s="196"/>
      <c r="H587" s="195"/>
    </row>
    <row r="588" ht="12.75" customHeight="1">
      <c r="C588" s="148"/>
      <c r="E588" s="195"/>
      <c r="F588" s="195"/>
      <c r="G588" s="196"/>
      <c r="H588" s="195"/>
    </row>
    <row r="589" ht="12.75" customHeight="1">
      <c r="C589" s="148"/>
      <c r="E589" s="195"/>
      <c r="F589" s="195"/>
      <c r="G589" s="196"/>
      <c r="H589" s="195"/>
    </row>
    <row r="590" ht="12.75" customHeight="1">
      <c r="C590" s="148"/>
      <c r="E590" s="195"/>
      <c r="F590" s="195"/>
      <c r="G590" s="196"/>
      <c r="H590" s="195"/>
    </row>
    <row r="591" ht="12.75" customHeight="1">
      <c r="C591" s="148"/>
      <c r="E591" s="195"/>
      <c r="F591" s="195"/>
      <c r="G591" s="196"/>
      <c r="H591" s="195"/>
    </row>
    <row r="592" ht="12.75" customHeight="1">
      <c r="C592" s="148"/>
      <c r="E592" s="195"/>
      <c r="F592" s="195"/>
      <c r="G592" s="196"/>
      <c r="H592" s="195"/>
    </row>
    <row r="593" ht="12.75" customHeight="1">
      <c r="C593" s="148"/>
      <c r="E593" s="195"/>
      <c r="F593" s="195"/>
      <c r="G593" s="196"/>
      <c r="H593" s="195"/>
    </row>
    <row r="594" ht="12.75" customHeight="1">
      <c r="C594" s="148"/>
      <c r="E594" s="195"/>
      <c r="F594" s="195"/>
      <c r="G594" s="196"/>
      <c r="H594" s="195"/>
    </row>
    <row r="595" ht="12.75" customHeight="1">
      <c r="C595" s="148"/>
      <c r="E595" s="195"/>
      <c r="F595" s="195"/>
      <c r="G595" s="196"/>
      <c r="H595" s="195"/>
    </row>
    <row r="596" ht="12.75" customHeight="1">
      <c r="C596" s="148"/>
      <c r="E596" s="195"/>
      <c r="F596" s="195"/>
      <c r="G596" s="196"/>
      <c r="H596" s="195"/>
    </row>
    <row r="597" ht="12.75" customHeight="1">
      <c r="C597" s="148"/>
      <c r="E597" s="195"/>
      <c r="F597" s="195"/>
      <c r="G597" s="196"/>
      <c r="H597" s="195"/>
    </row>
    <row r="598" ht="12.75" customHeight="1">
      <c r="C598" s="148"/>
      <c r="E598" s="195"/>
      <c r="F598" s="195"/>
      <c r="G598" s="196"/>
      <c r="H598" s="195"/>
    </row>
    <row r="599" ht="12.75" customHeight="1">
      <c r="C599" s="148"/>
      <c r="E599" s="195"/>
      <c r="F599" s="195"/>
      <c r="G599" s="196"/>
      <c r="H599" s="195"/>
    </row>
    <row r="600" ht="12.75" customHeight="1">
      <c r="C600" s="148"/>
      <c r="E600" s="195"/>
      <c r="F600" s="195"/>
      <c r="G600" s="196"/>
      <c r="H600" s="195"/>
    </row>
    <row r="601" ht="12.75" customHeight="1">
      <c r="C601" s="148"/>
      <c r="E601" s="195"/>
      <c r="F601" s="195"/>
      <c r="G601" s="196"/>
      <c r="H601" s="195"/>
    </row>
    <row r="602" ht="12.75" customHeight="1">
      <c r="C602" s="148"/>
      <c r="E602" s="195"/>
      <c r="F602" s="195"/>
      <c r="G602" s="196"/>
      <c r="H602" s="195"/>
    </row>
    <row r="603" ht="12.75" customHeight="1">
      <c r="C603" s="148"/>
      <c r="E603" s="195"/>
      <c r="F603" s="195"/>
      <c r="G603" s="196"/>
      <c r="H603" s="195"/>
    </row>
    <row r="604" ht="12.75" customHeight="1">
      <c r="C604" s="148"/>
      <c r="E604" s="195"/>
      <c r="F604" s="195"/>
      <c r="G604" s="196"/>
      <c r="H604" s="195"/>
    </row>
    <row r="605" ht="12.75" customHeight="1">
      <c r="C605" s="148"/>
      <c r="E605" s="195"/>
      <c r="F605" s="195"/>
      <c r="G605" s="196"/>
      <c r="H605" s="195"/>
    </row>
    <row r="606" ht="12.75" customHeight="1">
      <c r="C606" s="148"/>
      <c r="E606" s="195"/>
      <c r="F606" s="195"/>
      <c r="G606" s="196"/>
      <c r="H606" s="195"/>
    </row>
    <row r="607" ht="12.75" customHeight="1">
      <c r="C607" s="148"/>
      <c r="E607" s="195"/>
      <c r="F607" s="195"/>
      <c r="G607" s="196"/>
      <c r="H607" s="195"/>
    </row>
    <row r="608" ht="12.75" customHeight="1">
      <c r="C608" s="148"/>
      <c r="E608" s="195"/>
      <c r="F608" s="195"/>
      <c r="G608" s="196"/>
      <c r="H608" s="195"/>
    </row>
    <row r="609" ht="12.75" customHeight="1">
      <c r="C609" s="148"/>
      <c r="E609" s="195"/>
      <c r="F609" s="195"/>
      <c r="G609" s="196"/>
      <c r="H609" s="195"/>
    </row>
    <row r="610" ht="12.75" customHeight="1">
      <c r="C610" s="148"/>
      <c r="E610" s="195"/>
      <c r="F610" s="195"/>
      <c r="G610" s="196"/>
      <c r="H610" s="195"/>
    </row>
    <row r="611" ht="12.75" customHeight="1">
      <c r="C611" s="148"/>
      <c r="E611" s="195"/>
      <c r="F611" s="195"/>
      <c r="G611" s="196"/>
      <c r="H611" s="195"/>
    </row>
    <row r="612" ht="12.75" customHeight="1">
      <c r="C612" s="148"/>
      <c r="E612" s="195"/>
      <c r="F612" s="195"/>
      <c r="G612" s="196"/>
      <c r="H612" s="195"/>
    </row>
    <row r="613" ht="12.75" customHeight="1">
      <c r="C613" s="148"/>
      <c r="E613" s="195"/>
      <c r="F613" s="195"/>
      <c r="G613" s="196"/>
      <c r="H613" s="195"/>
    </row>
    <row r="614" ht="12.75" customHeight="1">
      <c r="C614" s="148"/>
      <c r="E614" s="195"/>
      <c r="F614" s="195"/>
      <c r="G614" s="196"/>
      <c r="H614" s="195"/>
    </row>
    <row r="615" ht="12.75" customHeight="1">
      <c r="C615" s="148"/>
      <c r="E615" s="195"/>
      <c r="F615" s="195"/>
      <c r="G615" s="196"/>
      <c r="H615" s="195"/>
    </row>
    <row r="616" ht="12.75" customHeight="1">
      <c r="C616" s="148"/>
      <c r="E616" s="195"/>
      <c r="F616" s="195"/>
      <c r="G616" s="196"/>
      <c r="H616" s="195"/>
    </row>
    <row r="617" ht="12.75" customHeight="1">
      <c r="C617" s="148"/>
      <c r="E617" s="195"/>
      <c r="F617" s="195"/>
      <c r="G617" s="196"/>
      <c r="H617" s="195"/>
    </row>
    <row r="618" ht="12.75" customHeight="1">
      <c r="C618" s="148"/>
      <c r="E618" s="195"/>
      <c r="F618" s="195"/>
      <c r="G618" s="196"/>
      <c r="H618" s="195"/>
    </row>
    <row r="619" ht="12.75" customHeight="1">
      <c r="C619" s="148"/>
      <c r="E619" s="195"/>
      <c r="F619" s="195"/>
      <c r="G619" s="196"/>
      <c r="H619" s="195"/>
    </row>
    <row r="620" ht="12.75" customHeight="1">
      <c r="C620" s="148"/>
      <c r="E620" s="195"/>
      <c r="F620" s="195"/>
      <c r="G620" s="196"/>
      <c r="H620" s="195"/>
    </row>
    <row r="621" ht="12.75" customHeight="1">
      <c r="C621" s="148"/>
      <c r="E621" s="195"/>
      <c r="F621" s="195"/>
      <c r="G621" s="196"/>
      <c r="H621" s="195"/>
    </row>
    <row r="622" ht="12.75" customHeight="1">
      <c r="C622" s="148"/>
      <c r="E622" s="195"/>
      <c r="F622" s="195"/>
      <c r="G622" s="196"/>
      <c r="H622" s="195"/>
    </row>
    <row r="623" ht="12.75" customHeight="1">
      <c r="C623" s="148"/>
      <c r="E623" s="195"/>
      <c r="F623" s="195"/>
      <c r="G623" s="196"/>
      <c r="H623" s="195"/>
    </row>
    <row r="624" ht="12.75" customHeight="1">
      <c r="C624" s="148"/>
      <c r="E624" s="195"/>
      <c r="F624" s="195"/>
      <c r="G624" s="196"/>
      <c r="H624" s="195"/>
    </row>
    <row r="625" ht="12.75" customHeight="1">
      <c r="C625" s="148"/>
      <c r="E625" s="195"/>
      <c r="F625" s="195"/>
      <c r="G625" s="196"/>
      <c r="H625" s="195"/>
    </row>
    <row r="626" ht="12.75" customHeight="1">
      <c r="C626" s="148"/>
      <c r="E626" s="195"/>
      <c r="F626" s="195"/>
      <c r="G626" s="196"/>
      <c r="H626" s="195"/>
    </row>
    <row r="627" ht="12.75" customHeight="1">
      <c r="C627" s="148"/>
      <c r="E627" s="195"/>
      <c r="F627" s="195"/>
      <c r="G627" s="196"/>
      <c r="H627" s="195"/>
    </row>
    <row r="628" ht="12.75" customHeight="1">
      <c r="C628" s="148"/>
      <c r="E628" s="195"/>
      <c r="F628" s="195"/>
      <c r="G628" s="196"/>
      <c r="H628" s="195"/>
    </row>
    <row r="629" ht="12.75" customHeight="1">
      <c r="C629" s="148"/>
      <c r="E629" s="195"/>
      <c r="F629" s="195"/>
      <c r="G629" s="196"/>
      <c r="H629" s="195"/>
    </row>
    <row r="630" ht="12.75" customHeight="1">
      <c r="C630" s="148"/>
      <c r="E630" s="195"/>
      <c r="F630" s="195"/>
      <c r="G630" s="196"/>
      <c r="H630" s="195"/>
    </row>
    <row r="631" ht="12.75" customHeight="1">
      <c r="C631" s="148"/>
      <c r="E631" s="195"/>
      <c r="F631" s="195"/>
      <c r="G631" s="196"/>
      <c r="H631" s="195"/>
    </row>
    <row r="632" ht="12.75" customHeight="1">
      <c r="C632" s="148"/>
      <c r="E632" s="195"/>
      <c r="F632" s="195"/>
      <c r="G632" s="196"/>
      <c r="H632" s="195"/>
    </row>
    <row r="633" ht="12.75" customHeight="1">
      <c r="C633" s="148"/>
      <c r="E633" s="195"/>
      <c r="F633" s="195"/>
      <c r="G633" s="196"/>
      <c r="H633" s="195"/>
    </row>
    <row r="634" ht="12.75" customHeight="1">
      <c r="C634" s="148"/>
      <c r="E634" s="195"/>
      <c r="F634" s="195"/>
      <c r="G634" s="196"/>
      <c r="H634" s="195"/>
    </row>
    <row r="635" ht="12.75" customHeight="1">
      <c r="C635" s="148"/>
      <c r="E635" s="195"/>
      <c r="F635" s="195"/>
      <c r="G635" s="196"/>
      <c r="H635" s="195"/>
    </row>
    <row r="636" ht="12.75" customHeight="1">
      <c r="C636" s="148"/>
      <c r="E636" s="195"/>
      <c r="F636" s="195"/>
      <c r="G636" s="196"/>
      <c r="H636" s="195"/>
    </row>
    <row r="637" ht="12.75" customHeight="1">
      <c r="C637" s="148"/>
      <c r="E637" s="195"/>
      <c r="F637" s="195"/>
      <c r="G637" s="196"/>
      <c r="H637" s="195"/>
    </row>
    <row r="638" ht="12.75" customHeight="1">
      <c r="C638" s="148"/>
      <c r="E638" s="195"/>
      <c r="F638" s="195"/>
      <c r="G638" s="196"/>
      <c r="H638" s="195"/>
    </row>
    <row r="639" ht="12.75" customHeight="1">
      <c r="C639" s="148"/>
      <c r="E639" s="195"/>
      <c r="F639" s="195"/>
      <c r="G639" s="196"/>
      <c r="H639" s="195"/>
    </row>
    <row r="640" ht="12.75" customHeight="1">
      <c r="C640" s="148"/>
      <c r="E640" s="195"/>
      <c r="F640" s="195"/>
      <c r="G640" s="196"/>
      <c r="H640" s="195"/>
    </row>
    <row r="641" ht="12.75" customHeight="1">
      <c r="C641" s="148"/>
      <c r="E641" s="195"/>
      <c r="F641" s="195"/>
      <c r="G641" s="196"/>
      <c r="H641" s="195"/>
    </row>
    <row r="642" ht="12.75" customHeight="1">
      <c r="C642" s="148"/>
      <c r="E642" s="195"/>
      <c r="F642" s="195"/>
      <c r="G642" s="196"/>
      <c r="H642" s="195"/>
    </row>
    <row r="643" ht="12.75" customHeight="1">
      <c r="C643" s="148"/>
      <c r="E643" s="195"/>
      <c r="F643" s="195"/>
      <c r="G643" s="196"/>
      <c r="H643" s="195"/>
    </row>
    <row r="644" ht="12.75" customHeight="1">
      <c r="C644" s="148"/>
      <c r="E644" s="195"/>
      <c r="F644" s="195"/>
      <c r="G644" s="196"/>
      <c r="H644" s="195"/>
    </row>
    <row r="645" ht="12.75" customHeight="1">
      <c r="C645" s="148"/>
      <c r="E645" s="195"/>
      <c r="F645" s="195"/>
      <c r="G645" s="196"/>
      <c r="H645" s="195"/>
    </row>
    <row r="646" ht="12.75" customHeight="1">
      <c r="C646" s="148"/>
      <c r="E646" s="195"/>
      <c r="F646" s="195"/>
      <c r="G646" s="196"/>
      <c r="H646" s="195"/>
    </row>
    <row r="647" ht="12.75" customHeight="1">
      <c r="C647" s="148"/>
      <c r="E647" s="195"/>
      <c r="F647" s="195"/>
      <c r="G647" s="196"/>
      <c r="H647" s="195"/>
    </row>
    <row r="648" ht="12.75" customHeight="1">
      <c r="C648" s="148"/>
      <c r="E648" s="195"/>
      <c r="F648" s="195"/>
      <c r="G648" s="196"/>
      <c r="H648" s="195"/>
    </row>
    <row r="649" ht="12.75" customHeight="1">
      <c r="C649" s="148"/>
      <c r="E649" s="195"/>
      <c r="F649" s="195"/>
      <c r="G649" s="196"/>
      <c r="H649" s="195"/>
    </row>
    <row r="650" ht="12.75" customHeight="1">
      <c r="C650" s="148"/>
      <c r="E650" s="195"/>
      <c r="F650" s="195"/>
      <c r="G650" s="196"/>
      <c r="H650" s="195"/>
    </row>
    <row r="651" ht="12.75" customHeight="1">
      <c r="C651" s="148"/>
      <c r="E651" s="195"/>
      <c r="F651" s="195"/>
      <c r="G651" s="196"/>
      <c r="H651" s="195"/>
    </row>
    <row r="652" ht="12.75" customHeight="1">
      <c r="C652" s="148"/>
      <c r="E652" s="195"/>
      <c r="F652" s="195"/>
      <c r="G652" s="196"/>
      <c r="H652" s="195"/>
    </row>
    <row r="653" ht="12.75" customHeight="1">
      <c r="C653" s="148"/>
      <c r="E653" s="195"/>
      <c r="F653" s="195"/>
      <c r="G653" s="196"/>
      <c r="H653" s="195"/>
    </row>
    <row r="654" ht="12.75" customHeight="1">
      <c r="C654" s="148"/>
      <c r="E654" s="195"/>
      <c r="F654" s="195"/>
      <c r="G654" s="196"/>
      <c r="H654" s="195"/>
    </row>
    <row r="655" ht="12.75" customHeight="1">
      <c r="C655" s="148"/>
      <c r="E655" s="195"/>
      <c r="F655" s="195"/>
      <c r="G655" s="196"/>
      <c r="H655" s="195"/>
    </row>
    <row r="656" ht="12.75" customHeight="1">
      <c r="C656" s="148"/>
      <c r="E656" s="195"/>
      <c r="F656" s="195"/>
      <c r="G656" s="196"/>
      <c r="H656" s="195"/>
    </row>
    <row r="657" ht="12.75" customHeight="1">
      <c r="C657" s="148"/>
      <c r="E657" s="195"/>
      <c r="F657" s="195"/>
      <c r="G657" s="196"/>
      <c r="H657" s="195"/>
    </row>
    <row r="658" ht="12.75" customHeight="1">
      <c r="C658" s="148"/>
      <c r="E658" s="195"/>
      <c r="F658" s="195"/>
      <c r="G658" s="196"/>
      <c r="H658" s="195"/>
    </row>
    <row r="659" ht="12.75" customHeight="1">
      <c r="C659" s="148"/>
      <c r="E659" s="195"/>
      <c r="F659" s="195"/>
      <c r="G659" s="196"/>
      <c r="H659" s="195"/>
    </row>
    <row r="660" ht="12.75" customHeight="1">
      <c r="C660" s="148"/>
      <c r="E660" s="195"/>
      <c r="F660" s="195"/>
      <c r="G660" s="196"/>
      <c r="H660" s="195"/>
    </row>
    <row r="661" ht="12.75" customHeight="1">
      <c r="C661" s="148"/>
      <c r="E661" s="195"/>
      <c r="F661" s="195"/>
      <c r="G661" s="196"/>
      <c r="H661" s="195"/>
    </row>
    <row r="662" ht="12.75" customHeight="1">
      <c r="C662" s="148"/>
      <c r="E662" s="195"/>
      <c r="F662" s="195"/>
      <c r="G662" s="196"/>
      <c r="H662" s="195"/>
    </row>
    <row r="663" ht="12.75" customHeight="1">
      <c r="C663" s="148"/>
      <c r="E663" s="195"/>
      <c r="F663" s="195"/>
      <c r="G663" s="196"/>
      <c r="H663" s="195"/>
    </row>
    <row r="664" ht="12.75" customHeight="1">
      <c r="C664" s="148"/>
      <c r="E664" s="195"/>
      <c r="F664" s="195"/>
      <c r="G664" s="196"/>
      <c r="H664" s="195"/>
    </row>
    <row r="665" ht="12.75" customHeight="1">
      <c r="C665" s="148"/>
      <c r="E665" s="195"/>
      <c r="F665" s="195"/>
      <c r="G665" s="196"/>
      <c r="H665" s="195"/>
    </row>
    <row r="666" ht="12.75" customHeight="1">
      <c r="C666" s="148"/>
      <c r="E666" s="195"/>
      <c r="F666" s="195"/>
      <c r="G666" s="196"/>
      <c r="H666" s="195"/>
    </row>
    <row r="667" ht="12.75" customHeight="1">
      <c r="C667" s="148"/>
      <c r="E667" s="195"/>
      <c r="F667" s="195"/>
      <c r="G667" s="196"/>
      <c r="H667" s="195"/>
    </row>
    <row r="668" ht="12.75" customHeight="1">
      <c r="C668" s="148"/>
      <c r="E668" s="195"/>
      <c r="F668" s="195"/>
      <c r="G668" s="196"/>
      <c r="H668" s="195"/>
    </row>
    <row r="669" ht="12.75" customHeight="1">
      <c r="C669" s="148"/>
      <c r="E669" s="195"/>
      <c r="F669" s="195"/>
      <c r="G669" s="196"/>
      <c r="H669" s="195"/>
    </row>
    <row r="670" ht="12.75" customHeight="1">
      <c r="C670" s="148"/>
      <c r="E670" s="195"/>
      <c r="F670" s="195"/>
      <c r="G670" s="196"/>
      <c r="H670" s="195"/>
    </row>
    <row r="671" ht="12.75" customHeight="1">
      <c r="C671" s="148"/>
      <c r="E671" s="195"/>
      <c r="F671" s="195"/>
      <c r="G671" s="196"/>
      <c r="H671" s="195"/>
    </row>
    <row r="672" ht="12.75" customHeight="1">
      <c r="C672" s="148"/>
      <c r="E672" s="195"/>
      <c r="F672" s="195"/>
      <c r="G672" s="196"/>
      <c r="H672" s="195"/>
    </row>
    <row r="673" ht="12.75" customHeight="1">
      <c r="C673" s="148"/>
      <c r="E673" s="195"/>
      <c r="F673" s="195"/>
      <c r="G673" s="196"/>
      <c r="H673" s="195"/>
    </row>
    <row r="674" ht="12.75" customHeight="1">
      <c r="C674" s="148"/>
      <c r="E674" s="195"/>
      <c r="F674" s="195"/>
      <c r="G674" s="196"/>
      <c r="H674" s="195"/>
    </row>
    <row r="675" ht="12.75" customHeight="1">
      <c r="C675" s="148"/>
      <c r="E675" s="195"/>
      <c r="F675" s="195"/>
      <c r="G675" s="196"/>
      <c r="H675" s="195"/>
    </row>
    <row r="676" ht="12.75" customHeight="1">
      <c r="C676" s="148"/>
      <c r="E676" s="195"/>
      <c r="F676" s="195"/>
      <c r="G676" s="196"/>
      <c r="H676" s="195"/>
    </row>
    <row r="677" ht="12.75" customHeight="1">
      <c r="C677" s="148"/>
      <c r="E677" s="195"/>
      <c r="F677" s="195"/>
      <c r="G677" s="196"/>
      <c r="H677" s="195"/>
    </row>
    <row r="678" ht="12.75" customHeight="1">
      <c r="C678" s="148"/>
      <c r="E678" s="195"/>
      <c r="F678" s="195"/>
      <c r="G678" s="196"/>
      <c r="H678" s="195"/>
    </row>
    <row r="679" ht="12.75" customHeight="1">
      <c r="C679" s="148"/>
      <c r="E679" s="195"/>
      <c r="F679" s="195"/>
      <c r="G679" s="196"/>
      <c r="H679" s="195"/>
    </row>
    <row r="680" ht="12.75" customHeight="1">
      <c r="C680" s="148"/>
      <c r="E680" s="195"/>
      <c r="F680" s="195"/>
      <c r="G680" s="196"/>
      <c r="H680" s="195"/>
    </row>
    <row r="681" ht="12.75" customHeight="1">
      <c r="C681" s="148"/>
      <c r="E681" s="195"/>
      <c r="F681" s="195"/>
      <c r="G681" s="196"/>
      <c r="H681" s="195"/>
    </row>
    <row r="682" ht="12.75" customHeight="1">
      <c r="C682" s="148"/>
      <c r="E682" s="195"/>
      <c r="F682" s="195"/>
      <c r="G682" s="196"/>
      <c r="H682" s="195"/>
    </row>
    <row r="683" ht="12.75" customHeight="1">
      <c r="C683" s="148"/>
      <c r="E683" s="195"/>
      <c r="F683" s="195"/>
      <c r="G683" s="196"/>
      <c r="H683" s="195"/>
    </row>
    <row r="684" ht="12.75" customHeight="1">
      <c r="C684" s="148"/>
      <c r="E684" s="195"/>
      <c r="F684" s="195"/>
      <c r="G684" s="196"/>
      <c r="H684" s="195"/>
    </row>
    <row r="685" ht="12.75" customHeight="1">
      <c r="C685" s="148"/>
      <c r="E685" s="195"/>
      <c r="F685" s="195"/>
      <c r="G685" s="196"/>
      <c r="H685" s="195"/>
    </row>
    <row r="686" ht="12.75" customHeight="1">
      <c r="C686" s="148"/>
      <c r="E686" s="195"/>
      <c r="F686" s="195"/>
      <c r="G686" s="196"/>
      <c r="H686" s="195"/>
    </row>
    <row r="687" ht="12.75" customHeight="1">
      <c r="C687" s="148"/>
      <c r="E687" s="195"/>
      <c r="F687" s="195"/>
      <c r="G687" s="196"/>
      <c r="H687" s="195"/>
    </row>
    <row r="688" ht="12.75" customHeight="1">
      <c r="C688" s="148"/>
      <c r="E688" s="195"/>
      <c r="F688" s="195"/>
      <c r="G688" s="196"/>
      <c r="H688" s="195"/>
    </row>
    <row r="689" ht="12.75" customHeight="1">
      <c r="C689" s="148"/>
      <c r="E689" s="195"/>
      <c r="F689" s="195"/>
      <c r="G689" s="196"/>
      <c r="H689" s="195"/>
    </row>
    <row r="690" ht="12.75" customHeight="1">
      <c r="C690" s="148"/>
      <c r="E690" s="195"/>
      <c r="F690" s="195"/>
      <c r="G690" s="196"/>
      <c r="H690" s="195"/>
    </row>
    <row r="691" ht="12.75" customHeight="1">
      <c r="C691" s="148"/>
      <c r="E691" s="195"/>
      <c r="F691" s="195"/>
      <c r="G691" s="196"/>
      <c r="H691" s="195"/>
    </row>
    <row r="692" ht="12.75" customHeight="1">
      <c r="C692" s="148"/>
      <c r="E692" s="195"/>
      <c r="F692" s="195"/>
      <c r="G692" s="196"/>
      <c r="H692" s="195"/>
    </row>
    <row r="693" ht="12.75" customHeight="1">
      <c r="C693" s="148"/>
      <c r="E693" s="195"/>
      <c r="F693" s="195"/>
      <c r="G693" s="196"/>
      <c r="H693" s="195"/>
    </row>
    <row r="694" ht="12.75" customHeight="1">
      <c r="C694" s="148"/>
      <c r="E694" s="195"/>
      <c r="F694" s="195"/>
      <c r="G694" s="196"/>
      <c r="H694" s="195"/>
    </row>
    <row r="695" ht="12.75" customHeight="1">
      <c r="C695" s="148"/>
      <c r="E695" s="195"/>
      <c r="F695" s="195"/>
      <c r="G695" s="196"/>
      <c r="H695" s="195"/>
    </row>
    <row r="696" ht="12.75" customHeight="1">
      <c r="C696" s="148"/>
      <c r="E696" s="195"/>
      <c r="F696" s="195"/>
      <c r="G696" s="196"/>
      <c r="H696" s="195"/>
    </row>
    <row r="697" ht="12.75" customHeight="1">
      <c r="C697" s="148"/>
      <c r="E697" s="195"/>
      <c r="F697" s="195"/>
      <c r="G697" s="196"/>
      <c r="H697" s="195"/>
    </row>
    <row r="698" ht="12.75" customHeight="1">
      <c r="C698" s="148"/>
      <c r="E698" s="195"/>
      <c r="F698" s="195"/>
      <c r="G698" s="196"/>
      <c r="H698" s="195"/>
    </row>
    <row r="699" ht="12.75" customHeight="1">
      <c r="C699" s="148"/>
      <c r="E699" s="195"/>
      <c r="F699" s="195"/>
      <c r="G699" s="196"/>
      <c r="H699" s="195"/>
    </row>
    <row r="700" ht="12.75" customHeight="1">
      <c r="C700" s="148"/>
      <c r="E700" s="195"/>
      <c r="F700" s="195"/>
      <c r="G700" s="196"/>
      <c r="H700" s="195"/>
    </row>
    <row r="701" ht="12.75" customHeight="1">
      <c r="C701" s="148"/>
      <c r="E701" s="195"/>
      <c r="F701" s="195"/>
      <c r="G701" s="196"/>
      <c r="H701" s="195"/>
    </row>
    <row r="702" ht="12.75" customHeight="1">
      <c r="C702" s="148"/>
      <c r="E702" s="195"/>
      <c r="F702" s="195"/>
      <c r="G702" s="196"/>
      <c r="H702" s="195"/>
    </row>
    <row r="703" ht="12.75" customHeight="1">
      <c r="C703" s="148"/>
      <c r="E703" s="195"/>
      <c r="F703" s="195"/>
      <c r="G703" s="196"/>
      <c r="H703" s="195"/>
    </row>
    <row r="704" ht="12.75" customHeight="1">
      <c r="C704" s="148"/>
      <c r="E704" s="195"/>
      <c r="F704" s="195"/>
      <c r="G704" s="196"/>
      <c r="H704" s="195"/>
    </row>
    <row r="705" ht="12.75" customHeight="1">
      <c r="C705" s="148"/>
      <c r="E705" s="195"/>
      <c r="F705" s="195"/>
      <c r="G705" s="196"/>
      <c r="H705" s="195"/>
    </row>
    <row r="706" ht="12.75" customHeight="1">
      <c r="C706" s="148"/>
      <c r="E706" s="195"/>
      <c r="F706" s="195"/>
      <c r="G706" s="196"/>
      <c r="H706" s="195"/>
    </row>
    <row r="707" ht="12.75" customHeight="1">
      <c r="C707" s="148"/>
      <c r="E707" s="195"/>
      <c r="F707" s="195"/>
      <c r="G707" s="196"/>
      <c r="H707" s="195"/>
    </row>
    <row r="708" ht="12.75" customHeight="1">
      <c r="C708" s="148"/>
      <c r="E708" s="195"/>
      <c r="F708" s="195"/>
      <c r="G708" s="196"/>
      <c r="H708" s="195"/>
    </row>
    <row r="709" ht="12.75" customHeight="1">
      <c r="C709" s="148"/>
      <c r="E709" s="195"/>
      <c r="F709" s="195"/>
      <c r="G709" s="196"/>
      <c r="H709" s="195"/>
    </row>
    <row r="710" ht="12.75" customHeight="1">
      <c r="C710" s="148"/>
      <c r="E710" s="195"/>
      <c r="F710" s="195"/>
      <c r="G710" s="196"/>
      <c r="H710" s="195"/>
    </row>
    <row r="711" ht="12.75" customHeight="1">
      <c r="C711" s="148"/>
      <c r="E711" s="195"/>
      <c r="F711" s="195"/>
      <c r="G711" s="196"/>
      <c r="H711" s="195"/>
    </row>
    <row r="712" ht="12.75" customHeight="1">
      <c r="C712" s="148"/>
      <c r="E712" s="195"/>
      <c r="F712" s="195"/>
      <c r="G712" s="196"/>
      <c r="H712" s="195"/>
    </row>
    <row r="713" ht="12.75" customHeight="1">
      <c r="C713" s="148"/>
      <c r="E713" s="195"/>
      <c r="F713" s="195"/>
      <c r="G713" s="196"/>
      <c r="H713" s="195"/>
    </row>
    <row r="714" ht="12.75" customHeight="1">
      <c r="C714" s="148"/>
      <c r="E714" s="195"/>
      <c r="F714" s="195"/>
      <c r="G714" s="196"/>
      <c r="H714" s="195"/>
    </row>
    <row r="715" ht="12.75" customHeight="1">
      <c r="C715" s="148"/>
      <c r="E715" s="195"/>
      <c r="F715" s="195"/>
      <c r="G715" s="196"/>
      <c r="H715" s="195"/>
    </row>
    <row r="716" ht="12.75" customHeight="1">
      <c r="C716" s="148"/>
      <c r="E716" s="195"/>
      <c r="F716" s="195"/>
      <c r="G716" s="196"/>
      <c r="H716" s="195"/>
    </row>
    <row r="717" ht="12.75" customHeight="1">
      <c r="C717" s="148"/>
      <c r="E717" s="195"/>
      <c r="F717" s="195"/>
      <c r="G717" s="196"/>
      <c r="H717" s="195"/>
    </row>
    <row r="718" ht="12.75" customHeight="1">
      <c r="C718" s="148"/>
      <c r="E718" s="195"/>
      <c r="F718" s="195"/>
      <c r="G718" s="196"/>
      <c r="H718" s="195"/>
    </row>
    <row r="719" ht="12.75" customHeight="1">
      <c r="C719" s="148"/>
      <c r="E719" s="195"/>
      <c r="F719" s="195"/>
      <c r="G719" s="196"/>
      <c r="H719" s="195"/>
    </row>
    <row r="720" ht="12.75" customHeight="1">
      <c r="C720" s="148"/>
      <c r="E720" s="195"/>
      <c r="F720" s="195"/>
      <c r="G720" s="196"/>
      <c r="H720" s="195"/>
    </row>
    <row r="721" ht="12.75" customHeight="1">
      <c r="C721" s="148"/>
      <c r="E721" s="195"/>
      <c r="F721" s="195"/>
      <c r="G721" s="196"/>
      <c r="H721" s="195"/>
    </row>
    <row r="722" ht="12.75" customHeight="1">
      <c r="C722" s="148"/>
      <c r="E722" s="195"/>
      <c r="F722" s="195"/>
      <c r="G722" s="196"/>
      <c r="H722" s="195"/>
    </row>
    <row r="723" ht="12.75" customHeight="1">
      <c r="C723" s="148"/>
      <c r="E723" s="195"/>
      <c r="F723" s="195"/>
      <c r="G723" s="196"/>
      <c r="H723" s="195"/>
    </row>
    <row r="724" ht="12.75" customHeight="1">
      <c r="C724" s="148"/>
      <c r="E724" s="195"/>
      <c r="F724" s="195"/>
      <c r="G724" s="196"/>
      <c r="H724" s="195"/>
    </row>
    <row r="725" ht="12.75" customHeight="1">
      <c r="C725" s="148"/>
      <c r="E725" s="195"/>
      <c r="F725" s="195"/>
      <c r="G725" s="196"/>
      <c r="H725" s="195"/>
    </row>
    <row r="726" ht="12.75" customHeight="1">
      <c r="C726" s="148"/>
      <c r="E726" s="195"/>
      <c r="F726" s="195"/>
      <c r="G726" s="196"/>
      <c r="H726" s="195"/>
    </row>
    <row r="727" ht="12.75" customHeight="1">
      <c r="C727" s="148"/>
      <c r="E727" s="195"/>
      <c r="F727" s="195"/>
      <c r="G727" s="196"/>
      <c r="H727" s="195"/>
    </row>
    <row r="728" ht="12.75" customHeight="1">
      <c r="C728" s="148"/>
      <c r="E728" s="195"/>
      <c r="F728" s="195"/>
      <c r="G728" s="196"/>
      <c r="H728" s="195"/>
    </row>
    <row r="729" ht="12.75" customHeight="1">
      <c r="C729" s="148"/>
      <c r="E729" s="195"/>
      <c r="F729" s="195"/>
      <c r="G729" s="196"/>
      <c r="H729" s="195"/>
    </row>
    <row r="730" ht="12.75" customHeight="1">
      <c r="C730" s="148"/>
      <c r="E730" s="195"/>
      <c r="F730" s="195"/>
      <c r="G730" s="196"/>
      <c r="H730" s="195"/>
    </row>
    <row r="731" ht="12.75" customHeight="1">
      <c r="C731" s="148"/>
      <c r="E731" s="195"/>
      <c r="F731" s="195"/>
      <c r="G731" s="196"/>
      <c r="H731" s="195"/>
    </row>
    <row r="732" ht="12.75" customHeight="1">
      <c r="C732" s="148"/>
      <c r="E732" s="195"/>
      <c r="F732" s="195"/>
      <c r="G732" s="196"/>
      <c r="H732" s="195"/>
    </row>
    <row r="733" ht="12.75" customHeight="1">
      <c r="C733" s="148"/>
      <c r="E733" s="195"/>
      <c r="F733" s="195"/>
      <c r="G733" s="196"/>
      <c r="H733" s="195"/>
    </row>
    <row r="734" ht="12.75" customHeight="1">
      <c r="C734" s="148"/>
      <c r="E734" s="195"/>
      <c r="F734" s="195"/>
      <c r="G734" s="196"/>
      <c r="H734" s="195"/>
    </row>
    <row r="735" ht="12.75" customHeight="1">
      <c r="C735" s="148"/>
      <c r="E735" s="195"/>
      <c r="F735" s="195"/>
      <c r="G735" s="196"/>
      <c r="H735" s="195"/>
    </row>
    <row r="736" ht="12.75" customHeight="1">
      <c r="C736" s="148"/>
      <c r="E736" s="195"/>
      <c r="F736" s="195"/>
      <c r="G736" s="196"/>
      <c r="H736" s="195"/>
    </row>
    <row r="737" ht="12.75" customHeight="1">
      <c r="C737" s="148"/>
      <c r="E737" s="195"/>
      <c r="F737" s="195"/>
      <c r="G737" s="196"/>
      <c r="H737" s="195"/>
    </row>
    <row r="738" ht="12.75" customHeight="1">
      <c r="C738" s="148"/>
      <c r="E738" s="195"/>
      <c r="F738" s="195"/>
      <c r="G738" s="196"/>
      <c r="H738" s="195"/>
    </row>
    <row r="739" ht="12.75" customHeight="1">
      <c r="C739" s="148"/>
      <c r="E739" s="195"/>
      <c r="F739" s="195"/>
      <c r="G739" s="196"/>
      <c r="H739" s="195"/>
    </row>
    <row r="740" ht="12.75" customHeight="1">
      <c r="C740" s="148"/>
      <c r="E740" s="195"/>
      <c r="F740" s="195"/>
      <c r="G740" s="196"/>
      <c r="H740" s="195"/>
    </row>
    <row r="741" ht="12.75" customHeight="1">
      <c r="C741" s="148"/>
      <c r="E741" s="195"/>
      <c r="F741" s="195"/>
      <c r="G741" s="196"/>
      <c r="H741" s="195"/>
    </row>
    <row r="742" ht="12.75" customHeight="1">
      <c r="C742" s="148"/>
      <c r="E742" s="195"/>
      <c r="F742" s="195"/>
      <c r="G742" s="196"/>
      <c r="H742" s="195"/>
    </row>
    <row r="743" ht="12.75" customHeight="1">
      <c r="C743" s="148"/>
      <c r="E743" s="195"/>
      <c r="F743" s="195"/>
      <c r="G743" s="196"/>
      <c r="H743" s="195"/>
    </row>
    <row r="744" ht="12.75" customHeight="1">
      <c r="C744" s="148"/>
      <c r="E744" s="195"/>
      <c r="F744" s="195"/>
      <c r="G744" s="196"/>
      <c r="H744" s="195"/>
    </row>
    <row r="745" ht="12.75" customHeight="1">
      <c r="C745" s="148"/>
      <c r="E745" s="195"/>
      <c r="F745" s="195"/>
      <c r="G745" s="196"/>
      <c r="H745" s="195"/>
    </row>
    <row r="746" ht="12.75" customHeight="1">
      <c r="C746" s="148"/>
      <c r="E746" s="195"/>
      <c r="F746" s="195"/>
      <c r="G746" s="196"/>
      <c r="H746" s="195"/>
    </row>
    <row r="747" ht="12.75" customHeight="1">
      <c r="C747" s="148"/>
      <c r="E747" s="195"/>
      <c r="F747" s="195"/>
      <c r="G747" s="196"/>
      <c r="H747" s="195"/>
    </row>
    <row r="748" ht="12.75" customHeight="1">
      <c r="C748" s="148"/>
      <c r="E748" s="195"/>
      <c r="F748" s="195"/>
      <c r="G748" s="196"/>
      <c r="H748" s="195"/>
    </row>
    <row r="749" ht="12.75" customHeight="1">
      <c r="C749" s="148"/>
      <c r="E749" s="195"/>
      <c r="F749" s="195"/>
      <c r="G749" s="196"/>
      <c r="H749" s="195"/>
    </row>
    <row r="750" ht="12.75" customHeight="1">
      <c r="C750" s="148"/>
      <c r="E750" s="195"/>
      <c r="F750" s="195"/>
      <c r="G750" s="196"/>
      <c r="H750" s="195"/>
    </row>
    <row r="751" ht="12.75" customHeight="1">
      <c r="C751" s="148"/>
      <c r="E751" s="195"/>
      <c r="F751" s="195"/>
      <c r="G751" s="196"/>
      <c r="H751" s="195"/>
    </row>
    <row r="752" ht="12.75" customHeight="1">
      <c r="C752" s="148"/>
      <c r="E752" s="195"/>
      <c r="F752" s="195"/>
      <c r="G752" s="196"/>
      <c r="H752" s="195"/>
    </row>
    <row r="753" ht="12.75" customHeight="1">
      <c r="C753" s="148"/>
      <c r="E753" s="195"/>
      <c r="F753" s="195"/>
      <c r="G753" s="196"/>
      <c r="H753" s="195"/>
    </row>
    <row r="754" ht="12.75" customHeight="1">
      <c r="C754" s="148"/>
      <c r="E754" s="195"/>
      <c r="F754" s="195"/>
      <c r="G754" s="196"/>
      <c r="H754" s="195"/>
    </row>
    <row r="755" ht="12.75" customHeight="1">
      <c r="C755" s="148"/>
      <c r="E755" s="195"/>
      <c r="F755" s="195"/>
      <c r="G755" s="196"/>
      <c r="H755" s="195"/>
    </row>
    <row r="756" ht="12.75" customHeight="1">
      <c r="C756" s="148"/>
      <c r="E756" s="195"/>
      <c r="F756" s="195"/>
      <c r="G756" s="196"/>
      <c r="H756" s="195"/>
    </row>
    <row r="757" ht="12.75" customHeight="1">
      <c r="C757" s="148"/>
      <c r="E757" s="195"/>
      <c r="F757" s="195"/>
      <c r="G757" s="196"/>
      <c r="H757" s="195"/>
    </row>
    <row r="758" ht="12.75" customHeight="1">
      <c r="C758" s="148"/>
      <c r="E758" s="195"/>
      <c r="F758" s="195"/>
      <c r="G758" s="196"/>
      <c r="H758" s="195"/>
    </row>
    <row r="759" ht="12.75" customHeight="1">
      <c r="C759" s="148"/>
      <c r="E759" s="195"/>
      <c r="F759" s="195"/>
      <c r="G759" s="196"/>
      <c r="H759" s="195"/>
    </row>
    <row r="760" ht="12.75" customHeight="1">
      <c r="C760" s="148"/>
      <c r="E760" s="195"/>
      <c r="F760" s="195"/>
      <c r="G760" s="196"/>
      <c r="H760" s="195"/>
    </row>
    <row r="761" ht="12.75" customHeight="1">
      <c r="C761" s="148"/>
      <c r="E761" s="195"/>
      <c r="F761" s="195"/>
      <c r="G761" s="196"/>
      <c r="H761" s="195"/>
    </row>
    <row r="762" ht="12.75" customHeight="1">
      <c r="C762" s="148"/>
      <c r="E762" s="195"/>
      <c r="F762" s="195"/>
      <c r="G762" s="196"/>
      <c r="H762" s="195"/>
    </row>
    <row r="763" ht="12.75" customHeight="1">
      <c r="C763" s="148"/>
      <c r="E763" s="195"/>
      <c r="F763" s="195"/>
      <c r="G763" s="196"/>
      <c r="H763" s="195"/>
    </row>
    <row r="764" ht="12.75" customHeight="1">
      <c r="C764" s="148"/>
      <c r="E764" s="195"/>
      <c r="F764" s="195"/>
      <c r="G764" s="196"/>
      <c r="H764" s="195"/>
    </row>
    <row r="765" ht="12.75" customHeight="1">
      <c r="C765" s="148"/>
      <c r="E765" s="195"/>
      <c r="F765" s="195"/>
      <c r="G765" s="196"/>
      <c r="H765" s="195"/>
    </row>
    <row r="766" ht="12.75" customHeight="1">
      <c r="C766" s="148"/>
      <c r="E766" s="195"/>
      <c r="F766" s="195"/>
      <c r="G766" s="196"/>
      <c r="H766" s="195"/>
    </row>
    <row r="767" ht="12.75" customHeight="1">
      <c r="C767" s="148"/>
      <c r="E767" s="195"/>
      <c r="F767" s="195"/>
      <c r="G767" s="196"/>
      <c r="H767" s="195"/>
    </row>
    <row r="768" ht="12.75" customHeight="1">
      <c r="C768" s="148"/>
      <c r="E768" s="195"/>
      <c r="F768" s="195"/>
      <c r="G768" s="196"/>
      <c r="H768" s="195"/>
    </row>
    <row r="769" ht="12.75" customHeight="1">
      <c r="C769" s="148"/>
      <c r="E769" s="195"/>
      <c r="F769" s="195"/>
      <c r="G769" s="196"/>
      <c r="H769" s="195"/>
    </row>
    <row r="770" ht="12.75" customHeight="1">
      <c r="C770" s="148"/>
      <c r="E770" s="195"/>
      <c r="F770" s="195"/>
      <c r="G770" s="196"/>
      <c r="H770" s="195"/>
    </row>
    <row r="771" ht="12.75" customHeight="1">
      <c r="C771" s="148"/>
      <c r="E771" s="195"/>
      <c r="F771" s="195"/>
      <c r="G771" s="196"/>
      <c r="H771" s="195"/>
    </row>
    <row r="772" ht="12.75" customHeight="1">
      <c r="C772" s="148"/>
      <c r="E772" s="195"/>
      <c r="F772" s="195"/>
      <c r="G772" s="196"/>
      <c r="H772" s="195"/>
    </row>
    <row r="773" ht="12.75" customHeight="1">
      <c r="C773" s="148"/>
      <c r="E773" s="195"/>
      <c r="F773" s="195"/>
      <c r="G773" s="196"/>
      <c r="H773" s="195"/>
    </row>
    <row r="774" ht="12.75" customHeight="1">
      <c r="C774" s="148"/>
      <c r="E774" s="195"/>
      <c r="F774" s="195"/>
      <c r="G774" s="196"/>
      <c r="H774" s="195"/>
    </row>
    <row r="775" ht="12.75" customHeight="1">
      <c r="C775" s="148"/>
      <c r="E775" s="195"/>
      <c r="F775" s="195"/>
      <c r="G775" s="196"/>
      <c r="H775" s="195"/>
    </row>
    <row r="776" ht="12.75" customHeight="1">
      <c r="C776" s="148"/>
      <c r="E776" s="195"/>
      <c r="F776" s="195"/>
      <c r="G776" s="196"/>
      <c r="H776" s="195"/>
    </row>
    <row r="777" ht="12.75" customHeight="1">
      <c r="C777" s="148"/>
      <c r="E777" s="195"/>
      <c r="F777" s="195"/>
      <c r="G777" s="196"/>
      <c r="H777" s="195"/>
    </row>
    <row r="778" ht="12.75" customHeight="1">
      <c r="C778" s="148"/>
      <c r="E778" s="195"/>
      <c r="F778" s="195"/>
      <c r="G778" s="196"/>
      <c r="H778" s="195"/>
    </row>
    <row r="779" ht="12.75" customHeight="1">
      <c r="C779" s="148"/>
      <c r="E779" s="195"/>
      <c r="F779" s="195"/>
      <c r="G779" s="196"/>
      <c r="H779" s="195"/>
    </row>
    <row r="780" ht="12.75" customHeight="1">
      <c r="C780" s="148"/>
      <c r="E780" s="195"/>
      <c r="F780" s="195"/>
      <c r="G780" s="196"/>
      <c r="H780" s="195"/>
    </row>
    <row r="781" ht="12.75" customHeight="1">
      <c r="C781" s="148"/>
      <c r="E781" s="195"/>
      <c r="F781" s="195"/>
      <c r="G781" s="196"/>
      <c r="H781" s="195"/>
    </row>
    <row r="782" ht="12.75" customHeight="1">
      <c r="C782" s="148"/>
      <c r="E782" s="195"/>
      <c r="F782" s="195"/>
      <c r="G782" s="196"/>
      <c r="H782" s="195"/>
    </row>
    <row r="783" ht="12.75" customHeight="1">
      <c r="C783" s="148"/>
      <c r="E783" s="195"/>
      <c r="F783" s="195"/>
      <c r="G783" s="196"/>
      <c r="H783" s="195"/>
    </row>
    <row r="784" ht="12.75" customHeight="1">
      <c r="C784" s="148"/>
      <c r="E784" s="195"/>
      <c r="F784" s="195"/>
      <c r="G784" s="196"/>
      <c r="H784" s="195"/>
    </row>
    <row r="785" ht="12.75" customHeight="1">
      <c r="C785" s="148"/>
      <c r="E785" s="195"/>
      <c r="F785" s="195"/>
      <c r="G785" s="196"/>
      <c r="H785" s="195"/>
    </row>
    <row r="786" ht="12.75" customHeight="1">
      <c r="C786" s="148"/>
      <c r="E786" s="195"/>
      <c r="F786" s="195"/>
      <c r="G786" s="196"/>
      <c r="H786" s="195"/>
    </row>
    <row r="787" ht="12.75" customHeight="1">
      <c r="C787" s="148"/>
      <c r="E787" s="195"/>
      <c r="F787" s="195"/>
      <c r="G787" s="196"/>
      <c r="H787" s="195"/>
    </row>
    <row r="788" ht="12.75" customHeight="1">
      <c r="C788" s="148"/>
      <c r="E788" s="195"/>
      <c r="F788" s="195"/>
      <c r="G788" s="196"/>
      <c r="H788" s="195"/>
    </row>
    <row r="789" ht="12.75" customHeight="1">
      <c r="C789" s="148"/>
      <c r="E789" s="195"/>
      <c r="F789" s="195"/>
      <c r="G789" s="196"/>
      <c r="H789" s="195"/>
    </row>
    <row r="790" ht="12.75" customHeight="1">
      <c r="C790" s="148"/>
      <c r="E790" s="195"/>
      <c r="F790" s="195"/>
      <c r="G790" s="196"/>
      <c r="H790" s="195"/>
    </row>
    <row r="791" ht="12.75" customHeight="1">
      <c r="C791" s="148"/>
      <c r="E791" s="195"/>
      <c r="F791" s="195"/>
      <c r="G791" s="196"/>
      <c r="H791" s="195"/>
    </row>
    <row r="792" ht="12.75" customHeight="1">
      <c r="C792" s="148"/>
      <c r="E792" s="195"/>
      <c r="F792" s="195"/>
      <c r="G792" s="196"/>
      <c r="H792" s="195"/>
    </row>
    <row r="793" ht="12.75" customHeight="1">
      <c r="C793" s="148"/>
      <c r="E793" s="195"/>
      <c r="F793" s="195"/>
      <c r="G793" s="196"/>
      <c r="H793" s="195"/>
    </row>
    <row r="794" ht="12.75" customHeight="1">
      <c r="C794" s="148"/>
      <c r="E794" s="195"/>
      <c r="F794" s="195"/>
      <c r="G794" s="196"/>
      <c r="H794" s="195"/>
    </row>
    <row r="795" ht="12.75" customHeight="1">
      <c r="C795" s="148"/>
      <c r="E795" s="195"/>
      <c r="F795" s="195"/>
      <c r="G795" s="196"/>
      <c r="H795" s="195"/>
    </row>
    <row r="796" ht="12.75" customHeight="1">
      <c r="C796" s="148"/>
      <c r="E796" s="195"/>
      <c r="F796" s="195"/>
      <c r="G796" s="196"/>
      <c r="H796" s="195"/>
    </row>
    <row r="797" ht="12.75" customHeight="1">
      <c r="C797" s="148"/>
      <c r="E797" s="195"/>
      <c r="F797" s="195"/>
      <c r="G797" s="196"/>
      <c r="H797" s="195"/>
    </row>
    <row r="798" ht="12.75" customHeight="1">
      <c r="C798" s="148"/>
      <c r="E798" s="195"/>
      <c r="F798" s="195"/>
      <c r="G798" s="196"/>
      <c r="H798" s="195"/>
    </row>
    <row r="799" ht="12.75" customHeight="1">
      <c r="C799" s="148"/>
      <c r="E799" s="195"/>
      <c r="F799" s="195"/>
      <c r="G799" s="196"/>
      <c r="H799" s="195"/>
    </row>
    <row r="800" ht="12.75" customHeight="1">
      <c r="C800" s="148"/>
      <c r="E800" s="195"/>
      <c r="F800" s="195"/>
      <c r="G800" s="196"/>
      <c r="H800" s="195"/>
    </row>
    <row r="801" ht="12.75" customHeight="1">
      <c r="C801" s="148"/>
      <c r="E801" s="195"/>
      <c r="F801" s="195"/>
      <c r="G801" s="196"/>
      <c r="H801" s="195"/>
    </row>
    <row r="802" ht="12.75" customHeight="1">
      <c r="C802" s="148"/>
      <c r="E802" s="195"/>
      <c r="F802" s="195"/>
      <c r="G802" s="196"/>
      <c r="H802" s="195"/>
    </row>
    <row r="803" ht="12.75" customHeight="1">
      <c r="C803" s="148"/>
      <c r="E803" s="195"/>
      <c r="F803" s="195"/>
      <c r="G803" s="196"/>
      <c r="H803" s="195"/>
    </row>
    <row r="804" ht="12.75" customHeight="1">
      <c r="C804" s="148"/>
      <c r="E804" s="195"/>
      <c r="F804" s="195"/>
      <c r="G804" s="196"/>
      <c r="H804" s="195"/>
    </row>
    <row r="805" ht="12.75" customHeight="1">
      <c r="C805" s="148"/>
      <c r="E805" s="195"/>
      <c r="F805" s="195"/>
      <c r="G805" s="196"/>
      <c r="H805" s="195"/>
    </row>
    <row r="806" ht="12.75" customHeight="1">
      <c r="C806" s="148"/>
      <c r="E806" s="195"/>
      <c r="F806" s="195"/>
      <c r="G806" s="196"/>
      <c r="H806" s="195"/>
    </row>
    <row r="807" ht="12.75" customHeight="1">
      <c r="C807" s="148"/>
      <c r="E807" s="195"/>
      <c r="F807" s="195"/>
      <c r="G807" s="196"/>
      <c r="H807" s="195"/>
    </row>
    <row r="808" ht="12.75" customHeight="1">
      <c r="C808" s="148"/>
      <c r="E808" s="195"/>
      <c r="F808" s="195"/>
      <c r="G808" s="196"/>
      <c r="H808" s="195"/>
    </row>
    <row r="809" ht="12.75" customHeight="1">
      <c r="C809" s="148"/>
      <c r="E809" s="195"/>
      <c r="F809" s="195"/>
      <c r="G809" s="196"/>
      <c r="H809" s="195"/>
    </row>
    <row r="810" ht="12.75" customHeight="1">
      <c r="C810" s="148"/>
      <c r="E810" s="195"/>
      <c r="F810" s="195"/>
      <c r="G810" s="196"/>
      <c r="H810" s="195"/>
    </row>
    <row r="811" ht="12.75" customHeight="1">
      <c r="C811" s="148"/>
      <c r="E811" s="195"/>
      <c r="F811" s="195"/>
      <c r="G811" s="196"/>
      <c r="H811" s="195"/>
    </row>
    <row r="812" ht="12.75" customHeight="1">
      <c r="C812" s="148"/>
      <c r="E812" s="195"/>
      <c r="F812" s="195"/>
      <c r="G812" s="196"/>
      <c r="H812" s="195"/>
    </row>
    <row r="813" ht="12.75" customHeight="1">
      <c r="C813" s="148"/>
      <c r="E813" s="195"/>
      <c r="F813" s="195"/>
      <c r="G813" s="196"/>
      <c r="H813" s="195"/>
    </row>
    <row r="814" ht="12.75" customHeight="1">
      <c r="C814" s="148"/>
      <c r="E814" s="195"/>
      <c r="F814" s="195"/>
      <c r="G814" s="196"/>
      <c r="H814" s="195"/>
    </row>
    <row r="815" ht="12.75" customHeight="1">
      <c r="C815" s="148"/>
      <c r="E815" s="195"/>
      <c r="F815" s="195"/>
      <c r="G815" s="196"/>
      <c r="H815" s="195"/>
    </row>
    <row r="816" ht="12.75" customHeight="1">
      <c r="C816" s="148"/>
      <c r="E816" s="195"/>
      <c r="F816" s="195"/>
      <c r="G816" s="196"/>
      <c r="H816" s="195"/>
    </row>
    <row r="817" ht="12.75" customHeight="1">
      <c r="C817" s="148"/>
      <c r="E817" s="195"/>
      <c r="F817" s="195"/>
      <c r="G817" s="196"/>
      <c r="H817" s="195"/>
    </row>
    <row r="818" ht="12.75" customHeight="1">
      <c r="C818" s="148"/>
      <c r="E818" s="195"/>
      <c r="F818" s="195"/>
      <c r="G818" s="196"/>
      <c r="H818" s="195"/>
    </row>
    <row r="819" ht="12.75" customHeight="1">
      <c r="C819" s="148"/>
      <c r="E819" s="195"/>
      <c r="F819" s="195"/>
      <c r="G819" s="196"/>
      <c r="H819" s="195"/>
    </row>
    <row r="820" ht="12.75" customHeight="1">
      <c r="C820" s="148"/>
      <c r="E820" s="195"/>
      <c r="F820" s="195"/>
      <c r="G820" s="196"/>
      <c r="H820" s="195"/>
    </row>
    <row r="821" ht="12.75" customHeight="1">
      <c r="C821" s="148"/>
      <c r="E821" s="195"/>
      <c r="F821" s="195"/>
      <c r="G821" s="196"/>
      <c r="H821" s="195"/>
    </row>
    <row r="822" ht="12.75" customHeight="1">
      <c r="C822" s="148"/>
      <c r="E822" s="195"/>
      <c r="F822" s="195"/>
      <c r="G822" s="196"/>
      <c r="H822" s="195"/>
    </row>
    <row r="823" ht="12.75" customHeight="1">
      <c r="C823" s="148"/>
      <c r="E823" s="195"/>
      <c r="F823" s="195"/>
      <c r="G823" s="196"/>
      <c r="H823" s="195"/>
    </row>
    <row r="824" ht="12.75" customHeight="1">
      <c r="C824" s="148"/>
      <c r="E824" s="195"/>
      <c r="F824" s="195"/>
      <c r="G824" s="196"/>
      <c r="H824" s="195"/>
    </row>
    <row r="825" ht="12.75" customHeight="1">
      <c r="C825" s="148"/>
      <c r="E825" s="195"/>
      <c r="F825" s="195"/>
      <c r="G825" s="196"/>
      <c r="H825" s="195"/>
    </row>
    <row r="826" ht="12.75" customHeight="1">
      <c r="C826" s="148"/>
      <c r="E826" s="195"/>
      <c r="F826" s="195"/>
      <c r="G826" s="196"/>
      <c r="H826" s="195"/>
    </row>
    <row r="827" ht="12.75" customHeight="1">
      <c r="C827" s="148"/>
      <c r="E827" s="195"/>
      <c r="F827" s="195"/>
      <c r="G827" s="196"/>
      <c r="H827" s="195"/>
    </row>
    <row r="828" ht="12.75" customHeight="1">
      <c r="C828" s="148"/>
      <c r="E828" s="195"/>
      <c r="F828" s="195"/>
      <c r="G828" s="196"/>
      <c r="H828" s="195"/>
    </row>
    <row r="829" ht="12.75" customHeight="1">
      <c r="C829" s="148"/>
      <c r="E829" s="195"/>
      <c r="F829" s="195"/>
      <c r="G829" s="196"/>
      <c r="H829" s="195"/>
    </row>
    <row r="830" ht="12.75" customHeight="1">
      <c r="C830" s="148"/>
      <c r="E830" s="195"/>
      <c r="F830" s="195"/>
      <c r="G830" s="196"/>
      <c r="H830" s="195"/>
    </row>
    <row r="831" ht="12.75" customHeight="1">
      <c r="C831" s="148"/>
      <c r="E831" s="195"/>
      <c r="F831" s="195"/>
      <c r="G831" s="196"/>
      <c r="H831" s="195"/>
    </row>
    <row r="832" ht="12.75" customHeight="1">
      <c r="C832" s="148"/>
      <c r="E832" s="195"/>
      <c r="F832" s="195"/>
      <c r="G832" s="196"/>
      <c r="H832" s="195"/>
    </row>
    <row r="833" ht="12.75" customHeight="1">
      <c r="C833" s="148"/>
      <c r="E833" s="195"/>
      <c r="F833" s="195"/>
      <c r="G833" s="196"/>
      <c r="H833" s="195"/>
    </row>
    <row r="834" ht="12.75" customHeight="1">
      <c r="C834" s="148"/>
      <c r="E834" s="195"/>
      <c r="F834" s="195"/>
      <c r="G834" s="196"/>
      <c r="H834" s="195"/>
    </row>
    <row r="835" ht="12.75" customHeight="1">
      <c r="C835" s="148"/>
      <c r="E835" s="195"/>
      <c r="F835" s="195"/>
      <c r="G835" s="196"/>
      <c r="H835" s="195"/>
    </row>
    <row r="836" ht="12.75" customHeight="1">
      <c r="C836" s="148"/>
      <c r="E836" s="195"/>
      <c r="F836" s="195"/>
      <c r="G836" s="196"/>
      <c r="H836" s="195"/>
    </row>
    <row r="837" ht="12.75" customHeight="1">
      <c r="C837" s="148"/>
      <c r="E837" s="195"/>
      <c r="F837" s="195"/>
      <c r="G837" s="196"/>
      <c r="H837" s="195"/>
    </row>
    <row r="838" ht="12.75" customHeight="1">
      <c r="C838" s="148"/>
      <c r="E838" s="195"/>
      <c r="F838" s="195"/>
      <c r="G838" s="196"/>
      <c r="H838" s="195"/>
    </row>
    <row r="839" ht="12.75" customHeight="1">
      <c r="C839" s="148"/>
      <c r="E839" s="195"/>
      <c r="F839" s="195"/>
      <c r="G839" s="196"/>
      <c r="H839" s="195"/>
    </row>
    <row r="840" ht="12.75" customHeight="1">
      <c r="C840" s="148"/>
      <c r="E840" s="195"/>
      <c r="F840" s="195"/>
      <c r="G840" s="196"/>
      <c r="H840" s="195"/>
    </row>
    <row r="841" ht="12.75" customHeight="1">
      <c r="C841" s="148"/>
      <c r="E841" s="195"/>
      <c r="F841" s="195"/>
      <c r="G841" s="196"/>
      <c r="H841" s="195"/>
    </row>
    <row r="842" ht="12.75" customHeight="1">
      <c r="C842" s="148"/>
      <c r="E842" s="195"/>
      <c r="F842" s="195"/>
      <c r="G842" s="196"/>
      <c r="H842" s="195"/>
    </row>
    <row r="843" ht="12.75" customHeight="1">
      <c r="C843" s="148"/>
      <c r="E843" s="195"/>
      <c r="F843" s="195"/>
      <c r="G843" s="196"/>
      <c r="H843" s="195"/>
    </row>
    <row r="844" ht="12.75" customHeight="1">
      <c r="C844" s="148"/>
      <c r="E844" s="195"/>
      <c r="F844" s="195"/>
      <c r="G844" s="196"/>
      <c r="H844" s="195"/>
    </row>
    <row r="845" ht="12.75" customHeight="1">
      <c r="C845" s="148"/>
      <c r="E845" s="195"/>
      <c r="F845" s="195"/>
      <c r="G845" s="196"/>
      <c r="H845" s="195"/>
    </row>
    <row r="846" ht="12.75" customHeight="1">
      <c r="C846" s="148"/>
      <c r="E846" s="195"/>
      <c r="F846" s="195"/>
      <c r="G846" s="196"/>
      <c r="H846" s="195"/>
    </row>
    <row r="847" ht="12.75" customHeight="1">
      <c r="C847" s="148"/>
      <c r="E847" s="195"/>
      <c r="F847" s="195"/>
      <c r="G847" s="196"/>
      <c r="H847" s="195"/>
    </row>
    <row r="848" ht="12.75" customHeight="1">
      <c r="C848" s="148"/>
      <c r="E848" s="195"/>
      <c r="F848" s="195"/>
      <c r="G848" s="196"/>
      <c r="H848" s="195"/>
    </row>
    <row r="849" ht="12.75" customHeight="1">
      <c r="C849" s="148"/>
      <c r="E849" s="195"/>
      <c r="F849" s="195"/>
      <c r="G849" s="196"/>
      <c r="H849" s="195"/>
    </row>
    <row r="850" ht="12.75" customHeight="1">
      <c r="C850" s="148"/>
      <c r="E850" s="195"/>
      <c r="F850" s="195"/>
      <c r="G850" s="196"/>
      <c r="H850" s="195"/>
    </row>
    <row r="851" ht="12.75" customHeight="1">
      <c r="C851" s="148"/>
      <c r="E851" s="195"/>
      <c r="F851" s="195"/>
      <c r="G851" s="196"/>
      <c r="H851" s="195"/>
    </row>
    <row r="852" ht="12.75" customHeight="1">
      <c r="C852" s="148"/>
      <c r="E852" s="195"/>
      <c r="F852" s="195"/>
      <c r="G852" s="196"/>
      <c r="H852" s="195"/>
    </row>
    <row r="853" ht="12.75" customHeight="1">
      <c r="C853" s="148"/>
      <c r="E853" s="195"/>
      <c r="F853" s="195"/>
      <c r="G853" s="196"/>
      <c r="H853" s="195"/>
    </row>
    <row r="854" ht="12.75" customHeight="1">
      <c r="C854" s="148"/>
      <c r="E854" s="195"/>
      <c r="F854" s="195"/>
      <c r="G854" s="196"/>
      <c r="H854" s="195"/>
    </row>
    <row r="855" ht="12.75" customHeight="1">
      <c r="C855" s="148"/>
      <c r="E855" s="195"/>
      <c r="F855" s="195"/>
      <c r="G855" s="196"/>
      <c r="H855" s="195"/>
    </row>
    <row r="856" ht="12.75" customHeight="1">
      <c r="C856" s="148"/>
      <c r="E856" s="195"/>
      <c r="F856" s="195"/>
      <c r="G856" s="196"/>
      <c r="H856" s="195"/>
    </row>
    <row r="857" ht="12.75" customHeight="1">
      <c r="C857" s="148"/>
      <c r="E857" s="195"/>
      <c r="F857" s="195"/>
      <c r="G857" s="196"/>
      <c r="H857" s="195"/>
    </row>
    <row r="858" ht="12.75" customHeight="1">
      <c r="C858" s="148"/>
      <c r="E858" s="195"/>
      <c r="F858" s="195"/>
      <c r="G858" s="196"/>
      <c r="H858" s="195"/>
    </row>
    <row r="859" ht="12.75" customHeight="1">
      <c r="C859" s="148"/>
      <c r="E859" s="195"/>
      <c r="F859" s="195"/>
      <c r="G859" s="196"/>
      <c r="H859" s="195"/>
    </row>
    <row r="860" ht="12.75" customHeight="1">
      <c r="C860" s="148"/>
      <c r="E860" s="195"/>
      <c r="F860" s="195"/>
      <c r="G860" s="196"/>
      <c r="H860" s="195"/>
    </row>
    <row r="861" ht="12.75" customHeight="1">
      <c r="C861" s="148"/>
      <c r="E861" s="195"/>
      <c r="F861" s="195"/>
      <c r="G861" s="196"/>
      <c r="H861" s="195"/>
    </row>
    <row r="862" ht="12.75" customHeight="1">
      <c r="C862" s="148"/>
      <c r="E862" s="195"/>
      <c r="F862" s="195"/>
      <c r="G862" s="196"/>
      <c r="H862" s="195"/>
    </row>
    <row r="863" ht="12.75" customHeight="1">
      <c r="C863" s="148"/>
      <c r="E863" s="195"/>
      <c r="F863" s="195"/>
      <c r="G863" s="196"/>
      <c r="H863" s="195"/>
    </row>
    <row r="864" ht="12.75" customHeight="1">
      <c r="C864" s="148"/>
      <c r="E864" s="195"/>
      <c r="F864" s="195"/>
      <c r="G864" s="196"/>
      <c r="H864" s="195"/>
    </row>
    <row r="865" ht="12.75" customHeight="1">
      <c r="C865" s="148"/>
      <c r="E865" s="195"/>
      <c r="F865" s="195"/>
      <c r="G865" s="196"/>
      <c r="H865" s="195"/>
    </row>
    <row r="866" ht="12.75" customHeight="1">
      <c r="C866" s="148"/>
      <c r="E866" s="195"/>
      <c r="F866" s="195"/>
      <c r="G866" s="196"/>
      <c r="H866" s="195"/>
    </row>
    <row r="867" ht="12.75" customHeight="1">
      <c r="C867" s="148"/>
      <c r="E867" s="195"/>
      <c r="F867" s="195"/>
      <c r="G867" s="196"/>
      <c r="H867" s="195"/>
    </row>
    <row r="868" ht="12.75" customHeight="1">
      <c r="C868" s="148"/>
      <c r="E868" s="195"/>
      <c r="F868" s="195"/>
      <c r="G868" s="196"/>
      <c r="H868" s="195"/>
    </row>
    <row r="869" ht="12.75" customHeight="1">
      <c r="C869" s="148"/>
      <c r="E869" s="195"/>
      <c r="F869" s="195"/>
      <c r="G869" s="196"/>
      <c r="H869" s="195"/>
    </row>
    <row r="870" ht="12.75" customHeight="1">
      <c r="C870" s="148"/>
      <c r="E870" s="195"/>
      <c r="F870" s="195"/>
      <c r="G870" s="196"/>
      <c r="H870" s="195"/>
    </row>
    <row r="871" ht="12.75" customHeight="1">
      <c r="C871" s="148"/>
      <c r="E871" s="195"/>
      <c r="F871" s="195"/>
      <c r="G871" s="196"/>
      <c r="H871" s="195"/>
    </row>
    <row r="872" ht="12.75" customHeight="1">
      <c r="C872" s="148"/>
      <c r="E872" s="195"/>
      <c r="F872" s="195"/>
      <c r="G872" s="196"/>
      <c r="H872" s="195"/>
    </row>
    <row r="873" ht="12.75" customHeight="1">
      <c r="C873" s="148"/>
      <c r="E873" s="195"/>
      <c r="F873" s="195"/>
      <c r="G873" s="196"/>
      <c r="H873" s="195"/>
    </row>
    <row r="874" ht="12.75" customHeight="1">
      <c r="C874" s="148"/>
      <c r="E874" s="195"/>
      <c r="F874" s="195"/>
      <c r="G874" s="196"/>
      <c r="H874" s="195"/>
    </row>
    <row r="875" ht="12.75" customHeight="1">
      <c r="C875" s="148"/>
      <c r="E875" s="195"/>
      <c r="F875" s="195"/>
      <c r="G875" s="196"/>
      <c r="H875" s="195"/>
    </row>
    <row r="876" ht="12.75" customHeight="1">
      <c r="C876" s="148"/>
      <c r="E876" s="195"/>
      <c r="F876" s="195"/>
      <c r="G876" s="196"/>
      <c r="H876" s="195"/>
    </row>
    <row r="877" ht="12.75" customHeight="1">
      <c r="C877" s="148"/>
      <c r="E877" s="195"/>
      <c r="F877" s="195"/>
      <c r="G877" s="196"/>
      <c r="H877" s="195"/>
    </row>
    <row r="878" ht="12.75" customHeight="1">
      <c r="C878" s="148"/>
      <c r="E878" s="195"/>
      <c r="F878" s="195"/>
      <c r="G878" s="196"/>
      <c r="H878" s="195"/>
    </row>
    <row r="879" ht="12.75" customHeight="1">
      <c r="C879" s="148"/>
      <c r="E879" s="195"/>
      <c r="F879" s="195"/>
      <c r="G879" s="196"/>
      <c r="H879" s="195"/>
    </row>
    <row r="880" ht="12.75" customHeight="1">
      <c r="C880" s="148"/>
      <c r="E880" s="195"/>
      <c r="F880" s="195"/>
      <c r="G880" s="196"/>
      <c r="H880" s="195"/>
    </row>
    <row r="881" ht="12.75" customHeight="1">
      <c r="C881" s="148"/>
      <c r="E881" s="195"/>
      <c r="F881" s="195"/>
      <c r="G881" s="196"/>
      <c r="H881" s="195"/>
    </row>
    <row r="882" ht="12.75" customHeight="1">
      <c r="C882" s="148"/>
      <c r="E882" s="195"/>
      <c r="F882" s="195"/>
      <c r="G882" s="196"/>
      <c r="H882" s="195"/>
    </row>
    <row r="883" ht="12.75" customHeight="1">
      <c r="C883" s="148"/>
      <c r="E883" s="195"/>
      <c r="F883" s="195"/>
      <c r="G883" s="196"/>
      <c r="H883" s="195"/>
    </row>
    <row r="884" ht="12.75" customHeight="1">
      <c r="C884" s="148"/>
      <c r="E884" s="195"/>
      <c r="F884" s="195"/>
      <c r="G884" s="196"/>
      <c r="H884" s="195"/>
    </row>
    <row r="885" ht="12.75" customHeight="1">
      <c r="C885" s="148"/>
      <c r="E885" s="195"/>
      <c r="F885" s="195"/>
      <c r="G885" s="196"/>
      <c r="H885" s="195"/>
    </row>
    <row r="886" ht="12.75" customHeight="1">
      <c r="C886" s="148"/>
      <c r="E886" s="195"/>
      <c r="F886" s="195"/>
      <c r="G886" s="196"/>
      <c r="H886" s="195"/>
    </row>
    <row r="887" ht="12.75" customHeight="1">
      <c r="C887" s="148"/>
      <c r="E887" s="195"/>
      <c r="F887" s="195"/>
      <c r="G887" s="196"/>
      <c r="H887" s="195"/>
    </row>
    <row r="888" ht="12.75" customHeight="1">
      <c r="C888" s="148"/>
      <c r="E888" s="195"/>
      <c r="F888" s="195"/>
      <c r="G888" s="196"/>
      <c r="H888" s="195"/>
    </row>
    <row r="889" ht="12.75" customHeight="1">
      <c r="C889" s="148"/>
      <c r="E889" s="195"/>
      <c r="F889" s="195"/>
      <c r="G889" s="196"/>
      <c r="H889" s="195"/>
    </row>
    <row r="890" ht="12.75" customHeight="1">
      <c r="C890" s="148"/>
      <c r="E890" s="195"/>
      <c r="F890" s="195"/>
      <c r="G890" s="196"/>
      <c r="H890" s="195"/>
    </row>
    <row r="891" ht="12.75" customHeight="1">
      <c r="C891" s="148"/>
      <c r="E891" s="195"/>
      <c r="F891" s="195"/>
      <c r="G891" s="196"/>
      <c r="H891" s="195"/>
    </row>
    <row r="892" ht="12.75" customHeight="1">
      <c r="C892" s="148"/>
      <c r="E892" s="195"/>
      <c r="F892" s="195"/>
      <c r="G892" s="196"/>
      <c r="H892" s="195"/>
    </row>
    <row r="893" ht="12.75" customHeight="1">
      <c r="C893" s="148"/>
      <c r="E893" s="195"/>
      <c r="F893" s="195"/>
      <c r="G893" s="196"/>
      <c r="H893" s="195"/>
    </row>
    <row r="894" ht="12.75" customHeight="1">
      <c r="C894" s="148"/>
      <c r="E894" s="195"/>
      <c r="F894" s="195"/>
      <c r="G894" s="196"/>
      <c r="H894" s="195"/>
    </row>
    <row r="895" ht="12.75" customHeight="1">
      <c r="C895" s="148"/>
      <c r="E895" s="195"/>
      <c r="F895" s="195"/>
      <c r="G895" s="196"/>
      <c r="H895" s="195"/>
    </row>
    <row r="896" ht="12.75" customHeight="1">
      <c r="C896" s="148"/>
      <c r="E896" s="195"/>
      <c r="F896" s="195"/>
      <c r="G896" s="196"/>
      <c r="H896" s="195"/>
    </row>
    <row r="897" ht="12.75" customHeight="1">
      <c r="C897" s="148"/>
      <c r="E897" s="195"/>
      <c r="F897" s="195"/>
      <c r="G897" s="196"/>
      <c r="H897" s="195"/>
    </row>
    <row r="898" ht="12.75" customHeight="1">
      <c r="C898" s="148"/>
      <c r="E898" s="195"/>
      <c r="F898" s="195"/>
      <c r="G898" s="196"/>
      <c r="H898" s="195"/>
    </row>
    <row r="899" ht="12.75" customHeight="1">
      <c r="C899" s="148"/>
      <c r="E899" s="195"/>
      <c r="F899" s="195"/>
      <c r="G899" s="196"/>
      <c r="H899" s="195"/>
    </row>
    <row r="900" ht="12.75" customHeight="1">
      <c r="C900" s="148"/>
      <c r="E900" s="195"/>
      <c r="F900" s="195"/>
      <c r="G900" s="196"/>
      <c r="H900" s="195"/>
    </row>
    <row r="901" ht="12.75" customHeight="1">
      <c r="C901" s="148"/>
      <c r="E901" s="195"/>
      <c r="F901" s="195"/>
      <c r="G901" s="196"/>
      <c r="H901" s="195"/>
    </row>
    <row r="902" ht="12.75" customHeight="1">
      <c r="C902" s="148"/>
      <c r="E902" s="195"/>
      <c r="F902" s="195"/>
      <c r="G902" s="196"/>
      <c r="H902" s="195"/>
    </row>
    <row r="903" ht="12.75" customHeight="1">
      <c r="C903" s="148"/>
      <c r="E903" s="195"/>
      <c r="F903" s="195"/>
      <c r="G903" s="196"/>
      <c r="H903" s="195"/>
    </row>
    <row r="904" ht="12.75" customHeight="1">
      <c r="C904" s="148"/>
      <c r="E904" s="195"/>
      <c r="F904" s="195"/>
      <c r="G904" s="196"/>
      <c r="H904" s="195"/>
    </row>
    <row r="905" ht="12.75" customHeight="1">
      <c r="C905" s="148"/>
      <c r="E905" s="195"/>
      <c r="F905" s="195"/>
      <c r="G905" s="196"/>
      <c r="H905" s="195"/>
    </row>
    <row r="906" ht="12.75" customHeight="1">
      <c r="C906" s="148"/>
      <c r="E906" s="195"/>
      <c r="F906" s="195"/>
      <c r="G906" s="196"/>
      <c r="H906" s="195"/>
    </row>
    <row r="907" ht="12.75" customHeight="1">
      <c r="C907" s="148"/>
      <c r="E907" s="195"/>
      <c r="F907" s="195"/>
      <c r="G907" s="196"/>
      <c r="H907" s="195"/>
    </row>
    <row r="908" ht="12.75" customHeight="1">
      <c r="C908" s="148"/>
      <c r="E908" s="195"/>
      <c r="F908" s="195"/>
      <c r="G908" s="196"/>
      <c r="H908" s="195"/>
    </row>
    <row r="909" ht="12.75" customHeight="1">
      <c r="C909" s="148"/>
      <c r="E909" s="195"/>
      <c r="F909" s="195"/>
      <c r="G909" s="196"/>
      <c r="H909" s="195"/>
    </row>
    <row r="910" ht="12.75" customHeight="1">
      <c r="C910" s="148"/>
      <c r="E910" s="195"/>
      <c r="F910" s="195"/>
      <c r="G910" s="196"/>
      <c r="H910" s="195"/>
    </row>
    <row r="911" ht="12.75" customHeight="1">
      <c r="C911" s="148"/>
      <c r="E911" s="195"/>
      <c r="F911" s="195"/>
      <c r="G911" s="196"/>
      <c r="H911" s="195"/>
    </row>
    <row r="912" ht="12.75" customHeight="1">
      <c r="C912" s="148"/>
      <c r="E912" s="195"/>
      <c r="F912" s="195"/>
      <c r="G912" s="196"/>
      <c r="H912" s="195"/>
    </row>
    <row r="913" ht="12.75" customHeight="1">
      <c r="C913" s="148"/>
      <c r="E913" s="195"/>
      <c r="F913" s="195"/>
      <c r="G913" s="196"/>
      <c r="H913" s="195"/>
    </row>
    <row r="914" ht="12.75" customHeight="1">
      <c r="C914" s="148"/>
      <c r="E914" s="195"/>
      <c r="F914" s="195"/>
      <c r="G914" s="196"/>
      <c r="H914" s="195"/>
    </row>
    <row r="915" ht="12.75" customHeight="1">
      <c r="C915" s="148"/>
      <c r="E915" s="195"/>
      <c r="F915" s="195"/>
      <c r="G915" s="196"/>
      <c r="H915" s="195"/>
    </row>
    <row r="916" ht="12.75" customHeight="1">
      <c r="C916" s="148"/>
      <c r="E916" s="195"/>
      <c r="F916" s="195"/>
      <c r="G916" s="196"/>
      <c r="H916" s="195"/>
    </row>
    <row r="917" ht="12.75" customHeight="1">
      <c r="C917" s="148"/>
      <c r="E917" s="195"/>
      <c r="F917" s="195"/>
      <c r="G917" s="196"/>
      <c r="H917" s="195"/>
    </row>
    <row r="918" ht="12.75" customHeight="1">
      <c r="C918" s="148"/>
      <c r="E918" s="195"/>
      <c r="F918" s="195"/>
      <c r="G918" s="196"/>
      <c r="H918" s="195"/>
    </row>
    <row r="919" ht="12.75" customHeight="1">
      <c r="C919" s="148"/>
      <c r="E919" s="195"/>
      <c r="F919" s="195"/>
      <c r="G919" s="196"/>
      <c r="H919" s="195"/>
    </row>
    <row r="920" ht="12.75" customHeight="1">
      <c r="C920" s="148"/>
      <c r="E920" s="195"/>
      <c r="F920" s="195"/>
      <c r="G920" s="196"/>
      <c r="H920" s="195"/>
    </row>
    <row r="921" ht="12.75" customHeight="1">
      <c r="C921" s="148"/>
      <c r="E921" s="195"/>
      <c r="F921" s="195"/>
      <c r="G921" s="196"/>
      <c r="H921" s="195"/>
    </row>
    <row r="922" ht="12.75" customHeight="1">
      <c r="C922" s="148"/>
      <c r="E922" s="195"/>
      <c r="F922" s="195"/>
      <c r="G922" s="196"/>
      <c r="H922" s="195"/>
    </row>
    <row r="923" ht="12.75" customHeight="1">
      <c r="C923" s="148"/>
      <c r="E923" s="195"/>
      <c r="F923" s="195"/>
      <c r="G923" s="196"/>
      <c r="H923" s="195"/>
    </row>
    <row r="924" ht="12.75" customHeight="1">
      <c r="C924" s="148"/>
      <c r="E924" s="195"/>
      <c r="F924" s="195"/>
      <c r="G924" s="196"/>
      <c r="H924" s="195"/>
    </row>
    <row r="925" ht="12.75" customHeight="1">
      <c r="C925" s="148"/>
      <c r="E925" s="195"/>
      <c r="F925" s="195"/>
      <c r="G925" s="196"/>
      <c r="H925" s="195"/>
    </row>
    <row r="926" ht="12.75" customHeight="1">
      <c r="C926" s="148"/>
      <c r="E926" s="195"/>
      <c r="F926" s="195"/>
      <c r="G926" s="196"/>
      <c r="H926" s="195"/>
    </row>
    <row r="927" ht="12.75" customHeight="1">
      <c r="C927" s="148"/>
      <c r="E927" s="195"/>
      <c r="F927" s="195"/>
      <c r="G927" s="196"/>
      <c r="H927" s="195"/>
    </row>
    <row r="928" ht="12.75" customHeight="1">
      <c r="C928" s="148"/>
      <c r="E928" s="195"/>
      <c r="F928" s="195"/>
      <c r="G928" s="196"/>
      <c r="H928" s="195"/>
    </row>
    <row r="929" ht="12.75" customHeight="1">
      <c r="C929" s="148"/>
      <c r="E929" s="195"/>
      <c r="F929" s="195"/>
      <c r="G929" s="196"/>
      <c r="H929" s="195"/>
    </row>
    <row r="930" ht="12.75" customHeight="1">
      <c r="C930" s="148"/>
      <c r="E930" s="195"/>
      <c r="F930" s="195"/>
      <c r="G930" s="196"/>
      <c r="H930" s="195"/>
    </row>
    <row r="931" ht="12.75" customHeight="1">
      <c r="C931" s="148"/>
      <c r="E931" s="195"/>
      <c r="F931" s="195"/>
      <c r="G931" s="196"/>
      <c r="H931" s="195"/>
    </row>
    <row r="932" ht="12.75" customHeight="1">
      <c r="C932" s="148"/>
      <c r="E932" s="195"/>
      <c r="F932" s="195"/>
      <c r="G932" s="196"/>
      <c r="H932" s="195"/>
    </row>
    <row r="933" ht="12.75" customHeight="1">
      <c r="C933" s="148"/>
      <c r="E933" s="195"/>
      <c r="F933" s="195"/>
      <c r="G933" s="196"/>
      <c r="H933" s="195"/>
    </row>
    <row r="934" ht="12.75" customHeight="1">
      <c r="C934" s="148"/>
      <c r="E934" s="195"/>
      <c r="F934" s="195"/>
      <c r="G934" s="196"/>
      <c r="H934" s="195"/>
    </row>
    <row r="935" ht="12.75" customHeight="1">
      <c r="C935" s="148"/>
      <c r="E935" s="195"/>
      <c r="F935" s="195"/>
      <c r="G935" s="196"/>
      <c r="H935" s="195"/>
    </row>
    <row r="936" ht="12.75" customHeight="1">
      <c r="C936" s="148"/>
      <c r="E936" s="195"/>
      <c r="F936" s="195"/>
      <c r="G936" s="196"/>
      <c r="H936" s="195"/>
    </row>
    <row r="937" ht="12.75" customHeight="1">
      <c r="C937" s="148"/>
      <c r="E937" s="195"/>
      <c r="F937" s="195"/>
      <c r="G937" s="196"/>
      <c r="H937" s="195"/>
    </row>
    <row r="938" ht="12.75" customHeight="1">
      <c r="C938" s="148"/>
      <c r="E938" s="195"/>
      <c r="F938" s="195"/>
      <c r="G938" s="196"/>
      <c r="H938" s="195"/>
    </row>
    <row r="939" ht="12.75" customHeight="1">
      <c r="C939" s="148"/>
      <c r="E939" s="195"/>
      <c r="F939" s="195"/>
      <c r="G939" s="196"/>
      <c r="H939" s="195"/>
    </row>
    <row r="940" ht="12.75" customHeight="1">
      <c r="C940" s="148"/>
      <c r="E940" s="195"/>
      <c r="F940" s="195"/>
      <c r="G940" s="196"/>
      <c r="H940" s="195"/>
    </row>
    <row r="941" ht="12.75" customHeight="1">
      <c r="C941" s="148"/>
      <c r="E941" s="195"/>
      <c r="F941" s="195"/>
      <c r="G941" s="196"/>
      <c r="H941" s="195"/>
    </row>
    <row r="942" ht="12.75" customHeight="1">
      <c r="C942" s="148"/>
      <c r="E942" s="195"/>
      <c r="F942" s="195"/>
      <c r="G942" s="196"/>
      <c r="H942" s="195"/>
    </row>
    <row r="943" ht="12.75" customHeight="1">
      <c r="C943" s="148"/>
      <c r="E943" s="195"/>
      <c r="F943" s="195"/>
      <c r="G943" s="196"/>
      <c r="H943" s="195"/>
    </row>
    <row r="944" ht="12.75" customHeight="1">
      <c r="C944" s="148"/>
      <c r="E944" s="195"/>
      <c r="F944" s="195"/>
      <c r="G944" s="196"/>
      <c r="H944" s="195"/>
    </row>
    <row r="945" ht="12.75" customHeight="1">
      <c r="C945" s="148"/>
      <c r="E945" s="195"/>
      <c r="F945" s="195"/>
      <c r="G945" s="196"/>
      <c r="H945" s="195"/>
    </row>
    <row r="946" ht="12.75" customHeight="1">
      <c r="C946" s="148"/>
      <c r="E946" s="195"/>
      <c r="F946" s="195"/>
      <c r="G946" s="196"/>
      <c r="H946" s="195"/>
    </row>
    <row r="947" ht="12.75" customHeight="1">
      <c r="C947" s="148"/>
      <c r="E947" s="195"/>
      <c r="F947" s="195"/>
      <c r="G947" s="196"/>
      <c r="H947" s="195"/>
    </row>
    <row r="948" ht="12.75" customHeight="1">
      <c r="C948" s="148"/>
      <c r="E948" s="195"/>
      <c r="F948" s="195"/>
      <c r="G948" s="196"/>
      <c r="H948" s="195"/>
    </row>
    <row r="949" ht="12.75" customHeight="1">
      <c r="C949" s="148"/>
      <c r="E949" s="195"/>
      <c r="F949" s="195"/>
      <c r="G949" s="196"/>
      <c r="H949" s="195"/>
    </row>
    <row r="950" ht="12.75" customHeight="1">
      <c r="C950" s="148"/>
      <c r="E950" s="195"/>
      <c r="F950" s="195"/>
      <c r="G950" s="196"/>
      <c r="H950" s="195"/>
    </row>
    <row r="951" ht="12.75" customHeight="1">
      <c r="C951" s="148"/>
      <c r="E951" s="195"/>
      <c r="F951" s="195"/>
      <c r="G951" s="196"/>
      <c r="H951" s="195"/>
    </row>
    <row r="952" ht="12.75" customHeight="1">
      <c r="C952" s="148"/>
      <c r="E952" s="195"/>
      <c r="F952" s="195"/>
      <c r="G952" s="196"/>
      <c r="H952" s="195"/>
    </row>
    <row r="953" ht="12.75" customHeight="1">
      <c r="C953" s="148"/>
      <c r="E953" s="195"/>
      <c r="F953" s="195"/>
      <c r="G953" s="196"/>
      <c r="H953" s="195"/>
    </row>
    <row r="954" ht="12.75" customHeight="1">
      <c r="C954" s="148"/>
      <c r="E954" s="195"/>
      <c r="F954" s="195"/>
      <c r="G954" s="196"/>
      <c r="H954" s="195"/>
    </row>
    <row r="955" ht="12.75" customHeight="1">
      <c r="C955" s="148"/>
      <c r="E955" s="195"/>
      <c r="F955" s="195"/>
      <c r="G955" s="196"/>
      <c r="H955" s="195"/>
    </row>
    <row r="956" ht="12.75" customHeight="1">
      <c r="C956" s="148"/>
      <c r="E956" s="195"/>
      <c r="F956" s="195"/>
      <c r="G956" s="196"/>
      <c r="H956" s="195"/>
    </row>
    <row r="957" ht="12.75" customHeight="1">
      <c r="C957" s="148"/>
      <c r="E957" s="195"/>
      <c r="F957" s="195"/>
      <c r="G957" s="196"/>
      <c r="H957" s="195"/>
    </row>
    <row r="958" ht="12.75" customHeight="1">
      <c r="C958" s="148"/>
      <c r="E958" s="195"/>
      <c r="F958" s="195"/>
      <c r="G958" s="196"/>
      <c r="H958" s="195"/>
    </row>
    <row r="959" ht="12.75" customHeight="1">
      <c r="C959" s="148"/>
      <c r="E959" s="195"/>
      <c r="F959" s="195"/>
      <c r="G959" s="196"/>
      <c r="H959" s="195"/>
    </row>
    <row r="960" ht="12.75" customHeight="1">
      <c r="C960" s="148"/>
      <c r="E960" s="195"/>
      <c r="F960" s="195"/>
      <c r="G960" s="196"/>
      <c r="H960" s="195"/>
    </row>
    <row r="961" ht="12.75" customHeight="1">
      <c r="C961" s="148"/>
      <c r="E961" s="195"/>
      <c r="F961" s="195"/>
      <c r="G961" s="196"/>
      <c r="H961" s="195"/>
    </row>
    <row r="962" ht="12.75" customHeight="1">
      <c r="C962" s="148"/>
      <c r="E962" s="195"/>
      <c r="F962" s="195"/>
      <c r="G962" s="196"/>
      <c r="H962" s="195"/>
    </row>
    <row r="963" ht="12.75" customHeight="1">
      <c r="C963" s="148"/>
      <c r="E963" s="195"/>
      <c r="F963" s="195"/>
      <c r="G963" s="196"/>
      <c r="H963" s="195"/>
    </row>
    <row r="964" ht="12.75" customHeight="1">
      <c r="C964" s="148"/>
      <c r="E964" s="195"/>
      <c r="F964" s="195"/>
      <c r="G964" s="196"/>
      <c r="H964" s="195"/>
    </row>
    <row r="965" ht="12.75" customHeight="1">
      <c r="C965" s="148"/>
      <c r="E965" s="195"/>
      <c r="F965" s="195"/>
      <c r="G965" s="196"/>
      <c r="H965" s="195"/>
    </row>
    <row r="966" ht="12.75" customHeight="1">
      <c r="C966" s="148"/>
      <c r="E966" s="195"/>
      <c r="F966" s="195"/>
      <c r="G966" s="196"/>
      <c r="H966" s="195"/>
    </row>
    <row r="967" ht="12.75" customHeight="1">
      <c r="C967" s="148"/>
      <c r="E967" s="195"/>
      <c r="F967" s="195"/>
      <c r="G967" s="196"/>
      <c r="H967" s="195"/>
    </row>
    <row r="968" ht="12.75" customHeight="1">
      <c r="C968" s="148"/>
      <c r="E968" s="195"/>
      <c r="F968" s="195"/>
      <c r="G968" s="196"/>
      <c r="H968" s="195"/>
    </row>
    <row r="969" ht="12.75" customHeight="1">
      <c r="C969" s="148"/>
      <c r="E969" s="195"/>
      <c r="F969" s="195"/>
      <c r="G969" s="196"/>
      <c r="H969" s="195"/>
    </row>
    <row r="970" ht="12.75" customHeight="1">
      <c r="C970" s="148"/>
      <c r="E970" s="195"/>
      <c r="F970" s="195"/>
      <c r="G970" s="196"/>
      <c r="H970" s="195"/>
    </row>
    <row r="971" ht="12.75" customHeight="1">
      <c r="C971" s="148"/>
      <c r="E971" s="195"/>
      <c r="F971" s="195"/>
      <c r="G971" s="196"/>
      <c r="H971" s="195"/>
    </row>
    <row r="972" ht="12.75" customHeight="1">
      <c r="C972" s="148"/>
      <c r="E972" s="195"/>
      <c r="F972" s="195"/>
      <c r="G972" s="196"/>
      <c r="H972" s="195"/>
    </row>
    <row r="973" ht="12.75" customHeight="1">
      <c r="C973" s="148"/>
      <c r="E973" s="195"/>
      <c r="F973" s="195"/>
      <c r="G973" s="196"/>
      <c r="H973" s="195"/>
    </row>
    <row r="974" ht="12.75" customHeight="1">
      <c r="C974" s="148"/>
      <c r="E974" s="195"/>
      <c r="F974" s="195"/>
      <c r="G974" s="196"/>
      <c r="H974" s="195"/>
    </row>
    <row r="975" ht="12.75" customHeight="1">
      <c r="C975" s="148"/>
      <c r="E975" s="195"/>
      <c r="F975" s="195"/>
      <c r="G975" s="196"/>
      <c r="H975" s="195"/>
    </row>
    <row r="976" ht="12.75" customHeight="1">
      <c r="C976" s="148"/>
      <c r="E976" s="195"/>
      <c r="F976" s="195"/>
      <c r="G976" s="196"/>
      <c r="H976" s="195"/>
    </row>
    <row r="977" ht="12.75" customHeight="1">
      <c r="C977" s="148"/>
      <c r="E977" s="195"/>
      <c r="F977" s="195"/>
      <c r="G977" s="196"/>
      <c r="H977" s="195"/>
    </row>
    <row r="978" ht="12.75" customHeight="1">
      <c r="C978" s="148"/>
      <c r="E978" s="195"/>
      <c r="F978" s="195"/>
      <c r="G978" s="196"/>
      <c r="H978" s="195"/>
    </row>
    <row r="979" ht="12.75" customHeight="1">
      <c r="C979" s="148"/>
      <c r="E979" s="195"/>
      <c r="F979" s="195"/>
      <c r="G979" s="196"/>
      <c r="H979" s="195"/>
    </row>
    <row r="980" ht="12.75" customHeight="1">
      <c r="C980" s="148"/>
      <c r="E980" s="195"/>
      <c r="F980" s="195"/>
      <c r="G980" s="196"/>
      <c r="H980" s="195"/>
    </row>
    <row r="981" ht="12.75" customHeight="1">
      <c r="C981" s="148"/>
      <c r="E981" s="195"/>
      <c r="F981" s="195"/>
      <c r="G981" s="196"/>
      <c r="H981" s="195"/>
    </row>
    <row r="982" ht="12.75" customHeight="1">
      <c r="C982" s="148"/>
      <c r="E982" s="195"/>
      <c r="F982" s="195"/>
      <c r="G982" s="196"/>
      <c r="H982" s="195"/>
    </row>
    <row r="983" ht="12.75" customHeight="1">
      <c r="C983" s="148"/>
      <c r="E983" s="195"/>
      <c r="F983" s="195"/>
      <c r="G983" s="196"/>
      <c r="H983" s="195"/>
    </row>
    <row r="984" ht="12.75" customHeight="1">
      <c r="C984" s="148"/>
      <c r="E984" s="195"/>
      <c r="F984" s="195"/>
      <c r="G984" s="196"/>
      <c r="H984" s="195"/>
    </row>
    <row r="985" ht="12.75" customHeight="1">
      <c r="C985" s="148"/>
      <c r="E985" s="195"/>
      <c r="F985" s="195"/>
      <c r="G985" s="196"/>
      <c r="H985" s="195"/>
    </row>
    <row r="986" ht="12.75" customHeight="1">
      <c r="C986" s="148"/>
      <c r="E986" s="195"/>
      <c r="F986" s="195"/>
      <c r="G986" s="196"/>
      <c r="H986" s="195"/>
    </row>
    <row r="987" ht="12.75" customHeight="1">
      <c r="C987" s="148"/>
      <c r="E987" s="195"/>
      <c r="F987" s="195"/>
      <c r="G987" s="196"/>
      <c r="H987" s="195"/>
    </row>
    <row r="988" ht="12.75" customHeight="1">
      <c r="C988" s="148"/>
      <c r="E988" s="195"/>
      <c r="F988" s="195"/>
      <c r="G988" s="196"/>
      <c r="H988" s="195"/>
    </row>
    <row r="989" ht="12.75" customHeight="1">
      <c r="C989" s="148"/>
      <c r="E989" s="195"/>
      <c r="F989" s="195"/>
      <c r="G989" s="196"/>
      <c r="H989" s="195"/>
    </row>
    <row r="990" ht="12.75" customHeight="1">
      <c r="C990" s="148"/>
      <c r="E990" s="195"/>
      <c r="F990" s="195"/>
      <c r="G990" s="196"/>
      <c r="H990" s="195"/>
    </row>
    <row r="991" ht="12.75" customHeight="1">
      <c r="C991" s="148"/>
      <c r="E991" s="195"/>
      <c r="F991" s="195"/>
      <c r="G991" s="196"/>
      <c r="H991" s="195"/>
    </row>
    <row r="992" ht="12.75" customHeight="1">
      <c r="C992" s="148"/>
      <c r="E992" s="195"/>
      <c r="F992" s="195"/>
      <c r="G992" s="196"/>
      <c r="H992" s="195"/>
    </row>
    <row r="993" ht="12.75" customHeight="1">
      <c r="C993" s="148"/>
      <c r="E993" s="195"/>
      <c r="F993" s="195"/>
      <c r="G993" s="196"/>
      <c r="H993" s="195"/>
    </row>
    <row r="994" ht="12.75" customHeight="1">
      <c r="C994" s="148"/>
      <c r="E994" s="195"/>
      <c r="F994" s="195"/>
      <c r="G994" s="196"/>
      <c r="H994" s="195"/>
    </row>
    <row r="995" ht="12.75" customHeight="1">
      <c r="C995" s="148"/>
      <c r="E995" s="195"/>
      <c r="F995" s="195"/>
      <c r="G995" s="196"/>
      <c r="H995" s="195"/>
    </row>
    <row r="996" ht="12.75" customHeight="1">
      <c r="C996" s="148"/>
      <c r="E996" s="195"/>
      <c r="F996" s="195"/>
      <c r="G996" s="196"/>
      <c r="H996" s="195"/>
    </row>
    <row r="997" ht="12.75" customHeight="1">
      <c r="C997" s="148"/>
      <c r="E997" s="195"/>
      <c r="F997" s="195"/>
      <c r="G997" s="196"/>
      <c r="H997" s="195"/>
    </row>
    <row r="998" ht="12.75" customHeight="1">
      <c r="C998" s="148"/>
      <c r="E998" s="195"/>
      <c r="F998" s="195"/>
      <c r="G998" s="196"/>
      <c r="H998" s="195"/>
    </row>
    <row r="999" ht="12.75" customHeight="1">
      <c r="C999" s="148"/>
      <c r="E999" s="195"/>
      <c r="F999" s="195"/>
      <c r="G999" s="196"/>
      <c r="H999" s="195"/>
    </row>
    <row r="1000" ht="12.75" customHeight="1">
      <c r="C1000" s="148"/>
      <c r="E1000" s="195"/>
      <c r="F1000" s="195"/>
      <c r="G1000" s="196"/>
      <c r="H1000" s="195"/>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2" width="19.13"/>
    <col customWidth="1" min="3" max="3" width="24.13"/>
    <col customWidth="1" min="4" max="4" width="25.88"/>
    <col customWidth="1" min="5" max="5" width="20.25"/>
    <col customWidth="1" min="6" max="6" width="17.0"/>
    <col customWidth="1" min="7" max="7" width="18.0"/>
    <col customWidth="1" min="8" max="8" width="17.0"/>
    <col customWidth="1" min="9" max="9" width="28.0"/>
    <col customWidth="1" min="10" max="10" width="26.5"/>
    <col customWidth="1" min="11" max="26" width="10.0"/>
  </cols>
  <sheetData>
    <row r="1" ht="12.75" customHeight="1">
      <c r="C1" s="148"/>
      <c r="E1" s="195"/>
      <c r="F1" s="195"/>
      <c r="G1" s="195"/>
      <c r="J1" s="99"/>
    </row>
    <row r="2" ht="27.75" customHeight="1">
      <c r="C2" s="148"/>
      <c r="D2" s="15" t="s">
        <v>10</v>
      </c>
      <c r="J2" s="99"/>
    </row>
    <row r="3" ht="12.75" customHeight="1">
      <c r="C3" s="148"/>
      <c r="E3" s="195"/>
      <c r="F3" s="195"/>
      <c r="G3" s="195"/>
      <c r="J3" s="99"/>
    </row>
    <row r="4" ht="12.75" customHeight="1">
      <c r="C4" s="148"/>
      <c r="E4" s="195"/>
      <c r="F4" s="195"/>
      <c r="G4" s="195"/>
      <c r="J4" s="99"/>
    </row>
    <row r="5" ht="43.5" customHeight="1">
      <c r="A5" s="16" t="s">
        <v>11</v>
      </c>
      <c r="B5" s="17"/>
      <c r="C5" s="17"/>
      <c r="D5" s="17"/>
      <c r="E5" s="17"/>
      <c r="F5" s="17"/>
      <c r="G5" s="17"/>
      <c r="H5" s="17"/>
      <c r="I5" s="17"/>
      <c r="J5" s="18"/>
    </row>
    <row r="6" ht="15.75" customHeight="1">
      <c r="C6" s="148"/>
      <c r="E6" s="195"/>
      <c r="F6" s="195"/>
      <c r="G6" s="195"/>
      <c r="J6" s="99"/>
    </row>
    <row r="7" ht="75.75" customHeight="1">
      <c r="A7" s="19" t="s">
        <v>12</v>
      </c>
      <c r="B7" s="49" t="s">
        <v>374</v>
      </c>
      <c r="C7" s="149" t="s">
        <v>375</v>
      </c>
      <c r="D7" s="49" t="s">
        <v>376</v>
      </c>
      <c r="E7" s="118" t="s">
        <v>377</v>
      </c>
      <c r="F7" s="119" t="s">
        <v>378</v>
      </c>
      <c r="G7" s="204" t="s">
        <v>379</v>
      </c>
      <c r="H7" s="49" t="s">
        <v>19</v>
      </c>
      <c r="I7" s="49" t="s">
        <v>380</v>
      </c>
      <c r="J7" s="49" t="s">
        <v>381</v>
      </c>
      <c r="K7" s="24"/>
      <c r="L7" s="24"/>
      <c r="M7" s="24"/>
      <c r="N7" s="24"/>
      <c r="O7" s="24"/>
      <c r="P7" s="24"/>
      <c r="Q7" s="24"/>
      <c r="R7" s="24"/>
      <c r="S7" s="24"/>
      <c r="T7" s="24"/>
      <c r="U7" s="24"/>
      <c r="V7" s="24"/>
      <c r="W7" s="24"/>
      <c r="X7" s="24"/>
      <c r="Y7" s="24"/>
      <c r="Z7" s="24"/>
    </row>
    <row r="8" ht="139.5" customHeight="1">
      <c r="A8" s="67" t="s">
        <v>22</v>
      </c>
      <c r="B8" s="138" t="s">
        <v>201</v>
      </c>
      <c r="C8" s="156" t="s">
        <v>382</v>
      </c>
      <c r="D8" s="205" t="s">
        <v>383</v>
      </c>
      <c r="E8" s="45">
        <v>687679.0</v>
      </c>
      <c r="F8" s="45">
        <v>687679.0</v>
      </c>
      <c r="G8" s="45">
        <v>188.91</v>
      </c>
      <c r="H8" s="199" t="s">
        <v>204</v>
      </c>
      <c r="I8" s="138" t="s">
        <v>205</v>
      </c>
      <c r="J8" s="142" t="s">
        <v>384</v>
      </c>
    </row>
    <row r="9" ht="120.75" customHeight="1">
      <c r="A9" s="67" t="s">
        <v>31</v>
      </c>
      <c r="B9" s="138" t="s">
        <v>201</v>
      </c>
      <c r="C9" s="156" t="s">
        <v>382</v>
      </c>
      <c r="D9" s="206" t="s">
        <v>385</v>
      </c>
      <c r="E9" s="45">
        <v>800000.0</v>
      </c>
      <c r="F9" s="45">
        <v>800000.0</v>
      </c>
      <c r="G9" s="45" t="s">
        <v>386</v>
      </c>
      <c r="H9" s="199" t="s">
        <v>204</v>
      </c>
      <c r="I9" s="138" t="s">
        <v>205</v>
      </c>
      <c r="J9" s="142" t="s">
        <v>384</v>
      </c>
    </row>
    <row r="10" ht="132.75" customHeight="1">
      <c r="A10" s="67" t="s">
        <v>40</v>
      </c>
      <c r="B10" s="138" t="s">
        <v>224</v>
      </c>
      <c r="C10" s="156" t="s">
        <v>225</v>
      </c>
      <c r="D10" s="144" t="s">
        <v>387</v>
      </c>
      <c r="E10" s="45">
        <v>686622.0</v>
      </c>
      <c r="F10" s="45">
        <v>686622.0</v>
      </c>
      <c r="G10" s="45">
        <v>188.54</v>
      </c>
      <c r="H10" s="199" t="s">
        <v>204</v>
      </c>
      <c r="I10" s="138" t="s">
        <v>388</v>
      </c>
      <c r="J10" s="142" t="s">
        <v>389</v>
      </c>
    </row>
    <row r="11" ht="15.0" customHeight="1">
      <c r="A11" s="36"/>
      <c r="B11" s="78"/>
      <c r="C11" s="158"/>
      <c r="D11" s="78"/>
      <c r="E11" s="133"/>
      <c r="F11" s="133"/>
      <c r="G11" s="133"/>
      <c r="H11" s="78"/>
      <c r="I11" s="78"/>
      <c r="J11" s="115"/>
    </row>
    <row r="12" ht="12.75" customHeight="1">
      <c r="C12" s="148"/>
      <c r="E12" s="195"/>
      <c r="F12" s="195"/>
      <c r="G12" s="195"/>
      <c r="J12" s="99"/>
    </row>
    <row r="13" ht="138.75" customHeight="1">
      <c r="A13" s="38" t="s">
        <v>390</v>
      </c>
      <c r="B13" s="17"/>
      <c r="C13" s="17"/>
      <c r="D13" s="17"/>
      <c r="E13" s="17"/>
      <c r="F13" s="17"/>
      <c r="G13" s="17"/>
      <c r="H13" s="17"/>
      <c r="I13" s="17"/>
      <c r="J13" s="18"/>
    </row>
    <row r="14" ht="12.75" customHeight="1">
      <c r="C14" s="148"/>
      <c r="E14" s="195"/>
      <c r="F14" s="195"/>
      <c r="G14" s="195"/>
      <c r="J14" s="99"/>
    </row>
    <row r="15" ht="75.0" customHeight="1">
      <c r="A15" s="39" t="s">
        <v>391</v>
      </c>
      <c r="B15" s="17"/>
      <c r="C15" s="17"/>
      <c r="D15" s="17"/>
      <c r="E15" s="17"/>
      <c r="F15" s="17"/>
      <c r="G15" s="17"/>
      <c r="H15" s="17"/>
      <c r="I15" s="17"/>
      <c r="J15" s="18"/>
    </row>
    <row r="16" ht="12.75" customHeight="1">
      <c r="C16" s="148"/>
      <c r="E16" s="195"/>
      <c r="F16" s="195"/>
      <c r="G16" s="195"/>
      <c r="J16" s="99"/>
    </row>
    <row r="17" ht="12.75" customHeight="1">
      <c r="C17" s="148"/>
      <c r="E17" s="195"/>
      <c r="F17" s="195"/>
      <c r="G17" s="195"/>
      <c r="J17" s="99"/>
    </row>
    <row r="18" ht="12.75" customHeight="1">
      <c r="C18" s="148"/>
      <c r="E18" s="195"/>
      <c r="F18" s="195"/>
      <c r="G18" s="195"/>
      <c r="J18" s="99"/>
    </row>
    <row r="19" ht="12.75" customHeight="1">
      <c r="C19" s="148"/>
      <c r="E19" s="195"/>
      <c r="F19" s="195"/>
      <c r="G19" s="195"/>
      <c r="J19" s="99"/>
    </row>
    <row r="20" ht="12.75" customHeight="1">
      <c r="C20" s="148"/>
      <c r="E20" s="195"/>
      <c r="F20" s="195"/>
      <c r="G20" s="195"/>
      <c r="J20" s="99"/>
    </row>
    <row r="21" ht="12.75" customHeight="1">
      <c r="C21" s="148"/>
      <c r="E21" s="195"/>
      <c r="F21" s="195"/>
      <c r="G21" s="195"/>
      <c r="J21" s="99"/>
    </row>
    <row r="22" ht="12.75" customHeight="1">
      <c r="C22" s="148"/>
      <c r="E22" s="195"/>
      <c r="F22" s="195"/>
      <c r="G22" s="195"/>
      <c r="J22" s="99"/>
    </row>
    <row r="23" ht="12.75" customHeight="1">
      <c r="C23" s="148"/>
      <c r="E23" s="195"/>
      <c r="F23" s="195"/>
      <c r="G23" s="195"/>
      <c r="J23" s="99"/>
    </row>
    <row r="24" ht="12.75" customHeight="1">
      <c r="C24" s="148"/>
      <c r="E24" s="195"/>
      <c r="F24" s="195"/>
      <c r="G24" s="195"/>
      <c r="J24" s="99"/>
    </row>
    <row r="25" ht="12.75" customHeight="1">
      <c r="C25" s="148"/>
      <c r="E25" s="195"/>
      <c r="F25" s="195"/>
      <c r="G25" s="195"/>
      <c r="J25" s="99"/>
    </row>
    <row r="26" ht="12.75" customHeight="1">
      <c r="C26" s="148"/>
      <c r="D26" s="40"/>
      <c r="E26" s="134"/>
      <c r="F26" s="202"/>
      <c r="G26" s="202"/>
      <c r="J26" s="99"/>
    </row>
    <row r="27" ht="12.75" customHeight="1">
      <c r="C27" s="148"/>
      <c r="E27" s="195"/>
      <c r="F27" s="195"/>
      <c r="G27" s="195"/>
      <c r="J27" s="99"/>
    </row>
    <row r="28" ht="12.75" customHeight="1">
      <c r="C28" s="148"/>
      <c r="E28" s="195"/>
      <c r="F28" s="195"/>
      <c r="G28" s="195"/>
      <c r="J28" s="99"/>
    </row>
    <row r="29" ht="12.75" customHeight="1">
      <c r="C29" s="148"/>
      <c r="E29" s="195"/>
      <c r="F29" s="195"/>
      <c r="G29" s="195"/>
      <c r="J29" s="99"/>
    </row>
    <row r="30" ht="12.75" customHeight="1">
      <c r="C30" s="148"/>
      <c r="E30" s="195"/>
      <c r="F30" s="195"/>
      <c r="G30" s="195"/>
      <c r="J30" s="99"/>
    </row>
    <row r="31" ht="12.75" customHeight="1">
      <c r="C31" s="148"/>
      <c r="E31" s="195"/>
      <c r="F31" s="195"/>
      <c r="G31" s="195"/>
      <c r="J31" s="99"/>
    </row>
    <row r="32" ht="12.75" customHeight="1">
      <c r="C32" s="148"/>
      <c r="E32" s="195"/>
      <c r="F32" s="195"/>
      <c r="G32" s="195"/>
      <c r="J32" s="99"/>
    </row>
    <row r="33" ht="12.75" customHeight="1">
      <c r="C33" s="148"/>
      <c r="E33" s="195"/>
      <c r="F33" s="195"/>
      <c r="G33" s="195"/>
      <c r="J33" s="99"/>
    </row>
    <row r="34" ht="12.75" customHeight="1">
      <c r="C34" s="148"/>
      <c r="E34" s="195"/>
      <c r="F34" s="195"/>
      <c r="G34" s="195"/>
      <c r="J34" s="99"/>
    </row>
    <row r="35" ht="12.75" customHeight="1">
      <c r="C35" s="148"/>
      <c r="E35" s="195"/>
      <c r="F35" s="195"/>
      <c r="G35" s="195"/>
      <c r="J35" s="99"/>
    </row>
    <row r="36" ht="12.75" customHeight="1">
      <c r="C36" s="148"/>
      <c r="E36" s="195"/>
      <c r="F36" s="195"/>
      <c r="G36" s="195"/>
      <c r="J36" s="99"/>
    </row>
    <row r="37" ht="12.75" customHeight="1">
      <c r="C37" s="148"/>
      <c r="E37" s="195"/>
      <c r="F37" s="195"/>
      <c r="G37" s="195"/>
      <c r="J37" s="99"/>
    </row>
    <row r="38" ht="12.75" customHeight="1">
      <c r="C38" s="148"/>
      <c r="E38" s="195"/>
      <c r="F38" s="195"/>
      <c r="G38" s="195"/>
      <c r="J38" s="99"/>
    </row>
    <row r="39" ht="12.75" customHeight="1">
      <c r="C39" s="148"/>
      <c r="E39" s="195"/>
      <c r="F39" s="195"/>
      <c r="G39" s="195"/>
      <c r="J39" s="99"/>
    </row>
    <row r="40" ht="12.75" customHeight="1">
      <c r="C40" s="148"/>
      <c r="E40" s="195"/>
      <c r="F40" s="195"/>
      <c r="G40" s="195"/>
      <c r="J40" s="99"/>
    </row>
    <row r="41" ht="12.75" customHeight="1">
      <c r="C41" s="148"/>
      <c r="E41" s="195"/>
      <c r="F41" s="195"/>
      <c r="G41" s="195"/>
      <c r="J41" s="99"/>
    </row>
    <row r="42" ht="12.75" customHeight="1">
      <c r="C42" s="148"/>
      <c r="E42" s="195"/>
      <c r="F42" s="195"/>
      <c r="G42" s="195"/>
      <c r="J42" s="99"/>
    </row>
    <row r="43" ht="12.75" customHeight="1">
      <c r="C43" s="148"/>
      <c r="E43" s="195"/>
      <c r="F43" s="195"/>
      <c r="G43" s="195"/>
      <c r="J43" s="99"/>
    </row>
    <row r="44" ht="12.75" customHeight="1">
      <c r="C44" s="148"/>
      <c r="E44" s="195"/>
      <c r="F44" s="195"/>
      <c r="G44" s="195"/>
      <c r="J44" s="99"/>
    </row>
    <row r="45" ht="12.75" customHeight="1">
      <c r="C45" s="148"/>
      <c r="E45" s="195"/>
      <c r="F45" s="195"/>
      <c r="G45" s="195"/>
      <c r="J45" s="99"/>
    </row>
    <row r="46" ht="12.75" customHeight="1">
      <c r="C46" s="148"/>
      <c r="E46" s="195"/>
      <c r="F46" s="195"/>
      <c r="G46" s="195"/>
      <c r="J46" s="99"/>
    </row>
    <row r="47" ht="12.75" customHeight="1">
      <c r="C47" s="148"/>
      <c r="E47" s="195"/>
      <c r="F47" s="195"/>
      <c r="G47" s="195"/>
      <c r="J47" s="99"/>
    </row>
    <row r="48" ht="12.75" customHeight="1">
      <c r="C48" s="148"/>
      <c r="E48" s="195"/>
      <c r="F48" s="195"/>
      <c r="G48" s="195"/>
      <c r="J48" s="99"/>
    </row>
    <row r="49" ht="12.75" customHeight="1">
      <c r="C49" s="148"/>
      <c r="E49" s="195"/>
      <c r="F49" s="195"/>
      <c r="G49" s="195"/>
      <c r="J49" s="99"/>
    </row>
    <row r="50" ht="12.75" customHeight="1">
      <c r="C50" s="148"/>
      <c r="E50" s="195"/>
      <c r="F50" s="195"/>
      <c r="G50" s="195"/>
      <c r="J50" s="99"/>
    </row>
    <row r="51" ht="12.75" customHeight="1">
      <c r="C51" s="148"/>
      <c r="E51" s="195"/>
      <c r="F51" s="195"/>
      <c r="G51" s="195"/>
      <c r="J51" s="99"/>
    </row>
    <row r="52" ht="12.75" customHeight="1">
      <c r="C52" s="148"/>
      <c r="E52" s="195"/>
      <c r="F52" s="195"/>
      <c r="G52" s="195"/>
      <c r="J52" s="99"/>
    </row>
    <row r="53" ht="12.75" customHeight="1">
      <c r="C53" s="148"/>
      <c r="E53" s="195"/>
      <c r="F53" s="195"/>
      <c r="G53" s="195"/>
      <c r="J53" s="99"/>
    </row>
    <row r="54" ht="12.75" customHeight="1">
      <c r="C54" s="148"/>
      <c r="E54" s="195"/>
      <c r="F54" s="195"/>
      <c r="G54" s="195"/>
      <c r="J54" s="99"/>
    </row>
    <row r="55" ht="12.75" customHeight="1">
      <c r="C55" s="148"/>
      <c r="E55" s="195"/>
      <c r="F55" s="195"/>
      <c r="G55" s="195"/>
      <c r="J55" s="99"/>
    </row>
    <row r="56" ht="12.75" customHeight="1">
      <c r="C56" s="148"/>
      <c r="E56" s="195"/>
      <c r="F56" s="195"/>
      <c r="G56" s="195"/>
      <c r="J56" s="99"/>
    </row>
    <row r="57" ht="12.75" customHeight="1">
      <c r="C57" s="148"/>
      <c r="E57" s="195"/>
      <c r="F57" s="195"/>
      <c r="G57" s="195"/>
      <c r="J57" s="99"/>
    </row>
    <row r="58" ht="12.75" customHeight="1">
      <c r="C58" s="148"/>
      <c r="E58" s="195"/>
      <c r="F58" s="195"/>
      <c r="G58" s="195"/>
      <c r="J58" s="99"/>
    </row>
    <row r="59" ht="12.75" customHeight="1">
      <c r="C59" s="148"/>
      <c r="E59" s="195"/>
      <c r="F59" s="195"/>
      <c r="G59" s="195"/>
      <c r="J59" s="99"/>
    </row>
    <row r="60" ht="12.75" customHeight="1">
      <c r="C60" s="148"/>
      <c r="E60" s="195"/>
      <c r="F60" s="195"/>
      <c r="G60" s="195"/>
      <c r="J60" s="99"/>
    </row>
    <row r="61" ht="12.75" customHeight="1">
      <c r="C61" s="148"/>
      <c r="E61" s="195"/>
      <c r="F61" s="195"/>
      <c r="G61" s="195"/>
      <c r="J61" s="99"/>
    </row>
    <row r="62" ht="12.75" customHeight="1">
      <c r="C62" s="148"/>
      <c r="E62" s="195"/>
      <c r="F62" s="195"/>
      <c r="G62" s="195"/>
      <c r="J62" s="99"/>
    </row>
    <row r="63" ht="12.75" customHeight="1">
      <c r="C63" s="148"/>
      <c r="E63" s="195"/>
      <c r="F63" s="195"/>
      <c r="G63" s="195"/>
      <c r="J63" s="99"/>
    </row>
    <row r="64" ht="12.75" customHeight="1">
      <c r="C64" s="148"/>
      <c r="E64" s="195"/>
      <c r="F64" s="195"/>
      <c r="G64" s="195"/>
      <c r="J64" s="99"/>
    </row>
    <row r="65" ht="12.75" customHeight="1">
      <c r="C65" s="148"/>
      <c r="E65" s="195"/>
      <c r="F65" s="195"/>
      <c r="G65" s="195"/>
      <c r="J65" s="99"/>
    </row>
    <row r="66" ht="12.75" customHeight="1">
      <c r="C66" s="148"/>
      <c r="E66" s="195"/>
      <c r="F66" s="195"/>
      <c r="G66" s="195"/>
      <c r="J66" s="99"/>
    </row>
    <row r="67" ht="12.75" customHeight="1">
      <c r="C67" s="148"/>
      <c r="E67" s="195"/>
      <c r="F67" s="195"/>
      <c r="G67" s="195"/>
      <c r="J67" s="99"/>
    </row>
    <row r="68" ht="12.75" customHeight="1">
      <c r="C68" s="148"/>
      <c r="E68" s="195"/>
      <c r="F68" s="195"/>
      <c r="G68" s="195"/>
      <c r="J68" s="99"/>
    </row>
    <row r="69" ht="12.75" customHeight="1">
      <c r="C69" s="148"/>
      <c r="E69" s="195"/>
      <c r="F69" s="195"/>
      <c r="G69" s="195"/>
      <c r="J69" s="99"/>
    </row>
    <row r="70" ht="12.75" customHeight="1">
      <c r="C70" s="148"/>
      <c r="E70" s="195"/>
      <c r="F70" s="195"/>
      <c r="G70" s="195"/>
      <c r="J70" s="99"/>
    </row>
    <row r="71" ht="12.75" customHeight="1">
      <c r="C71" s="148"/>
      <c r="E71" s="195"/>
      <c r="F71" s="195"/>
      <c r="G71" s="195"/>
      <c r="J71" s="99"/>
    </row>
    <row r="72" ht="12.75" customHeight="1">
      <c r="C72" s="148"/>
      <c r="E72" s="195"/>
      <c r="F72" s="195"/>
      <c r="G72" s="195"/>
      <c r="J72" s="99"/>
    </row>
    <row r="73" ht="12.75" customHeight="1">
      <c r="C73" s="148"/>
      <c r="E73" s="195"/>
      <c r="F73" s="195"/>
      <c r="G73" s="195"/>
      <c r="J73" s="99"/>
    </row>
    <row r="74" ht="12.75" customHeight="1">
      <c r="C74" s="148"/>
      <c r="E74" s="195"/>
      <c r="F74" s="195"/>
      <c r="G74" s="195"/>
      <c r="J74" s="99"/>
    </row>
    <row r="75" ht="12.75" customHeight="1">
      <c r="C75" s="148"/>
      <c r="E75" s="195"/>
      <c r="F75" s="195"/>
      <c r="G75" s="195"/>
      <c r="J75" s="99"/>
    </row>
    <row r="76" ht="12.75" customHeight="1">
      <c r="C76" s="148"/>
      <c r="E76" s="195"/>
      <c r="F76" s="195"/>
      <c r="G76" s="195"/>
      <c r="J76" s="99"/>
    </row>
    <row r="77" ht="12.75" customHeight="1">
      <c r="C77" s="148"/>
      <c r="E77" s="195"/>
      <c r="F77" s="195"/>
      <c r="G77" s="195"/>
      <c r="J77" s="99"/>
    </row>
    <row r="78" ht="12.75" customHeight="1">
      <c r="C78" s="148"/>
      <c r="E78" s="195"/>
      <c r="F78" s="195"/>
      <c r="G78" s="195"/>
      <c r="J78" s="99"/>
    </row>
    <row r="79" ht="12.75" customHeight="1">
      <c r="C79" s="148"/>
      <c r="E79" s="195"/>
      <c r="F79" s="195"/>
      <c r="G79" s="195"/>
      <c r="J79" s="99"/>
    </row>
    <row r="80" ht="12.75" customHeight="1">
      <c r="C80" s="148"/>
      <c r="E80" s="195"/>
      <c r="F80" s="195"/>
      <c r="G80" s="195"/>
      <c r="J80" s="99"/>
    </row>
    <row r="81" ht="12.75" customHeight="1">
      <c r="C81" s="148"/>
      <c r="E81" s="195"/>
      <c r="F81" s="195"/>
      <c r="G81" s="195"/>
      <c r="J81" s="99"/>
    </row>
    <row r="82" ht="12.75" customHeight="1">
      <c r="C82" s="148"/>
      <c r="E82" s="195"/>
      <c r="F82" s="195"/>
      <c r="G82" s="195"/>
      <c r="J82" s="99"/>
    </row>
    <row r="83" ht="12.75" customHeight="1">
      <c r="C83" s="148"/>
      <c r="E83" s="195"/>
      <c r="F83" s="195"/>
      <c r="G83" s="195"/>
      <c r="J83" s="99"/>
    </row>
    <row r="84" ht="12.75" customHeight="1">
      <c r="C84" s="148"/>
      <c r="E84" s="195"/>
      <c r="F84" s="195"/>
      <c r="G84" s="195"/>
      <c r="J84" s="99"/>
    </row>
    <row r="85" ht="12.75" customHeight="1">
      <c r="C85" s="148"/>
      <c r="E85" s="195"/>
      <c r="F85" s="195"/>
      <c r="G85" s="195"/>
      <c r="J85" s="99"/>
    </row>
    <row r="86" ht="12.75" customHeight="1">
      <c r="C86" s="148"/>
      <c r="E86" s="195"/>
      <c r="F86" s="195"/>
      <c r="G86" s="195"/>
      <c r="J86" s="99"/>
    </row>
    <row r="87" ht="12.75" customHeight="1">
      <c r="C87" s="148"/>
      <c r="E87" s="195"/>
      <c r="F87" s="195"/>
      <c r="G87" s="195"/>
      <c r="J87" s="99"/>
    </row>
    <row r="88" ht="12.75" customHeight="1">
      <c r="C88" s="148"/>
      <c r="E88" s="195"/>
      <c r="F88" s="195"/>
      <c r="G88" s="195"/>
      <c r="J88" s="99"/>
    </row>
    <row r="89" ht="12.75" customHeight="1">
      <c r="C89" s="148"/>
      <c r="E89" s="195"/>
      <c r="F89" s="195"/>
      <c r="G89" s="195"/>
      <c r="J89" s="99"/>
    </row>
    <row r="90" ht="12.75" customHeight="1">
      <c r="C90" s="148"/>
      <c r="E90" s="195"/>
      <c r="F90" s="195"/>
      <c r="G90" s="195"/>
      <c r="J90" s="99"/>
    </row>
    <row r="91" ht="12.75" customHeight="1">
      <c r="C91" s="148"/>
      <c r="E91" s="195"/>
      <c r="F91" s="195"/>
      <c r="G91" s="195"/>
      <c r="J91" s="99"/>
    </row>
    <row r="92" ht="12.75" customHeight="1">
      <c r="C92" s="148"/>
      <c r="E92" s="195"/>
      <c r="F92" s="195"/>
      <c r="G92" s="195"/>
      <c r="J92" s="99"/>
    </row>
    <row r="93" ht="12.75" customHeight="1">
      <c r="C93" s="148"/>
      <c r="E93" s="195"/>
      <c r="F93" s="195"/>
      <c r="G93" s="195"/>
      <c r="J93" s="99"/>
    </row>
    <row r="94" ht="12.75" customHeight="1">
      <c r="C94" s="148"/>
      <c r="E94" s="195"/>
      <c r="F94" s="195"/>
      <c r="G94" s="195"/>
      <c r="J94" s="99"/>
    </row>
    <row r="95" ht="12.75" customHeight="1">
      <c r="C95" s="148"/>
      <c r="E95" s="195"/>
      <c r="F95" s="195"/>
      <c r="G95" s="195"/>
      <c r="J95" s="99"/>
    </row>
    <row r="96" ht="12.75" customHeight="1">
      <c r="C96" s="148"/>
      <c r="E96" s="195"/>
      <c r="F96" s="195"/>
      <c r="G96" s="195"/>
      <c r="J96" s="99"/>
    </row>
    <row r="97" ht="12.75" customHeight="1">
      <c r="C97" s="148"/>
      <c r="E97" s="195"/>
      <c r="F97" s="195"/>
      <c r="G97" s="195"/>
      <c r="J97" s="99"/>
    </row>
    <row r="98" ht="12.75" customHeight="1">
      <c r="C98" s="148"/>
      <c r="E98" s="195"/>
      <c r="F98" s="195"/>
      <c r="G98" s="195"/>
      <c r="J98" s="99"/>
    </row>
    <row r="99" ht="12.75" customHeight="1">
      <c r="C99" s="148"/>
      <c r="E99" s="195"/>
      <c r="F99" s="195"/>
      <c r="G99" s="195"/>
      <c r="J99" s="99"/>
    </row>
    <row r="100" ht="12.75" customHeight="1">
      <c r="C100" s="148"/>
      <c r="E100" s="195"/>
      <c r="F100" s="195"/>
      <c r="G100" s="195"/>
      <c r="J100" s="99"/>
    </row>
    <row r="101" ht="12.75" customHeight="1">
      <c r="C101" s="148"/>
      <c r="E101" s="195"/>
      <c r="F101" s="195"/>
      <c r="G101" s="195"/>
      <c r="J101" s="99"/>
    </row>
    <row r="102" ht="12.75" customHeight="1">
      <c r="C102" s="148"/>
      <c r="E102" s="195"/>
      <c r="F102" s="195"/>
      <c r="G102" s="195"/>
      <c r="J102" s="99"/>
    </row>
    <row r="103" ht="12.75" customHeight="1">
      <c r="C103" s="148"/>
      <c r="E103" s="195"/>
      <c r="F103" s="195"/>
      <c r="G103" s="195"/>
      <c r="J103" s="99"/>
    </row>
    <row r="104" ht="12.75" customHeight="1">
      <c r="C104" s="148"/>
      <c r="E104" s="195"/>
      <c r="F104" s="195"/>
      <c r="G104" s="195"/>
      <c r="J104" s="99"/>
    </row>
    <row r="105" ht="12.75" customHeight="1">
      <c r="C105" s="148"/>
      <c r="E105" s="195"/>
      <c r="F105" s="195"/>
      <c r="G105" s="195"/>
      <c r="J105" s="99"/>
    </row>
    <row r="106" ht="12.75" customHeight="1">
      <c r="C106" s="148"/>
      <c r="E106" s="195"/>
      <c r="F106" s="195"/>
      <c r="G106" s="195"/>
      <c r="J106" s="99"/>
    </row>
    <row r="107" ht="12.75" customHeight="1">
      <c r="C107" s="148"/>
      <c r="E107" s="195"/>
      <c r="F107" s="195"/>
      <c r="G107" s="195"/>
      <c r="J107" s="99"/>
    </row>
    <row r="108" ht="12.75" customHeight="1">
      <c r="C108" s="148"/>
      <c r="E108" s="195"/>
      <c r="F108" s="195"/>
      <c r="G108" s="195"/>
      <c r="J108" s="99"/>
    </row>
    <row r="109" ht="12.75" customHeight="1">
      <c r="C109" s="148"/>
      <c r="E109" s="195"/>
      <c r="F109" s="195"/>
      <c r="G109" s="195"/>
      <c r="J109" s="99"/>
    </row>
    <row r="110" ht="12.75" customHeight="1">
      <c r="C110" s="148"/>
      <c r="E110" s="195"/>
      <c r="F110" s="195"/>
      <c r="G110" s="195"/>
      <c r="J110" s="99"/>
    </row>
    <row r="111" ht="12.75" customHeight="1">
      <c r="C111" s="148"/>
      <c r="E111" s="195"/>
      <c r="F111" s="195"/>
      <c r="G111" s="195"/>
      <c r="J111" s="99"/>
    </row>
    <row r="112" ht="12.75" customHeight="1">
      <c r="C112" s="148"/>
      <c r="E112" s="195"/>
      <c r="F112" s="195"/>
      <c r="G112" s="195"/>
      <c r="J112" s="99"/>
    </row>
    <row r="113" ht="12.75" customHeight="1">
      <c r="C113" s="148"/>
      <c r="E113" s="195"/>
      <c r="F113" s="195"/>
      <c r="G113" s="195"/>
      <c r="J113" s="99"/>
    </row>
    <row r="114" ht="12.75" customHeight="1">
      <c r="C114" s="148"/>
      <c r="E114" s="195"/>
      <c r="F114" s="195"/>
      <c r="G114" s="195"/>
      <c r="J114" s="99"/>
    </row>
    <row r="115" ht="12.75" customHeight="1">
      <c r="C115" s="148"/>
      <c r="E115" s="195"/>
      <c r="F115" s="195"/>
      <c r="G115" s="195"/>
      <c r="J115" s="99"/>
    </row>
    <row r="116" ht="12.75" customHeight="1">
      <c r="C116" s="148"/>
      <c r="E116" s="195"/>
      <c r="F116" s="195"/>
      <c r="G116" s="195"/>
      <c r="J116" s="99"/>
    </row>
    <row r="117" ht="12.75" customHeight="1">
      <c r="C117" s="148"/>
      <c r="E117" s="195"/>
      <c r="F117" s="195"/>
      <c r="G117" s="195"/>
      <c r="J117" s="99"/>
    </row>
    <row r="118" ht="12.75" customHeight="1">
      <c r="C118" s="148"/>
      <c r="E118" s="195"/>
      <c r="F118" s="195"/>
      <c r="G118" s="195"/>
      <c r="J118" s="99"/>
    </row>
    <row r="119" ht="12.75" customHeight="1">
      <c r="C119" s="148"/>
      <c r="E119" s="195"/>
      <c r="F119" s="195"/>
      <c r="G119" s="195"/>
      <c r="J119" s="99"/>
    </row>
    <row r="120" ht="12.75" customHeight="1">
      <c r="C120" s="148"/>
      <c r="E120" s="195"/>
      <c r="F120" s="195"/>
      <c r="G120" s="195"/>
      <c r="J120" s="99"/>
    </row>
    <row r="121" ht="12.75" customHeight="1">
      <c r="C121" s="148"/>
      <c r="E121" s="195"/>
      <c r="F121" s="195"/>
      <c r="G121" s="195"/>
      <c r="J121" s="99"/>
    </row>
    <row r="122" ht="12.75" customHeight="1">
      <c r="C122" s="148"/>
      <c r="E122" s="195"/>
      <c r="F122" s="195"/>
      <c r="G122" s="195"/>
      <c r="J122" s="99"/>
    </row>
    <row r="123" ht="12.75" customHeight="1">
      <c r="C123" s="148"/>
      <c r="E123" s="195"/>
      <c r="F123" s="195"/>
      <c r="G123" s="195"/>
      <c r="J123" s="99"/>
    </row>
    <row r="124" ht="12.75" customHeight="1">
      <c r="C124" s="148"/>
      <c r="E124" s="195"/>
      <c r="F124" s="195"/>
      <c r="G124" s="195"/>
      <c r="J124" s="99"/>
    </row>
    <row r="125" ht="12.75" customHeight="1">
      <c r="C125" s="148"/>
      <c r="E125" s="195"/>
      <c r="F125" s="195"/>
      <c r="G125" s="195"/>
      <c r="J125" s="99"/>
    </row>
    <row r="126" ht="12.75" customHeight="1">
      <c r="C126" s="148"/>
      <c r="E126" s="195"/>
      <c r="F126" s="195"/>
      <c r="G126" s="195"/>
      <c r="J126" s="99"/>
    </row>
    <row r="127" ht="12.75" customHeight="1">
      <c r="C127" s="148"/>
      <c r="E127" s="195"/>
      <c r="F127" s="195"/>
      <c r="G127" s="195"/>
      <c r="J127" s="99"/>
    </row>
    <row r="128" ht="12.75" customHeight="1">
      <c r="C128" s="148"/>
      <c r="E128" s="195"/>
      <c r="F128" s="195"/>
      <c r="G128" s="195"/>
      <c r="J128" s="99"/>
    </row>
    <row r="129" ht="12.75" customHeight="1">
      <c r="C129" s="148"/>
      <c r="E129" s="195"/>
      <c r="F129" s="195"/>
      <c r="G129" s="195"/>
      <c r="J129" s="99"/>
    </row>
    <row r="130" ht="12.75" customHeight="1">
      <c r="C130" s="148"/>
      <c r="E130" s="195"/>
      <c r="F130" s="195"/>
      <c r="G130" s="195"/>
      <c r="J130" s="99"/>
    </row>
    <row r="131" ht="12.75" customHeight="1">
      <c r="C131" s="148"/>
      <c r="E131" s="195"/>
      <c r="F131" s="195"/>
      <c r="G131" s="195"/>
      <c r="J131" s="99"/>
    </row>
    <row r="132" ht="12.75" customHeight="1">
      <c r="C132" s="148"/>
      <c r="E132" s="195"/>
      <c r="F132" s="195"/>
      <c r="G132" s="195"/>
      <c r="J132" s="99"/>
    </row>
    <row r="133" ht="12.75" customHeight="1">
      <c r="C133" s="148"/>
      <c r="E133" s="195"/>
      <c r="F133" s="195"/>
      <c r="G133" s="195"/>
      <c r="J133" s="99"/>
    </row>
    <row r="134" ht="12.75" customHeight="1">
      <c r="C134" s="148"/>
      <c r="E134" s="195"/>
      <c r="F134" s="195"/>
      <c r="G134" s="195"/>
      <c r="J134" s="99"/>
    </row>
    <row r="135" ht="12.75" customHeight="1">
      <c r="C135" s="148"/>
      <c r="E135" s="195"/>
      <c r="F135" s="195"/>
      <c r="G135" s="195"/>
      <c r="J135" s="99"/>
    </row>
    <row r="136" ht="12.75" customHeight="1">
      <c r="C136" s="148"/>
      <c r="E136" s="195"/>
      <c r="F136" s="195"/>
      <c r="G136" s="195"/>
      <c r="J136" s="99"/>
    </row>
    <row r="137" ht="12.75" customHeight="1">
      <c r="C137" s="148"/>
      <c r="E137" s="195"/>
      <c r="F137" s="195"/>
      <c r="G137" s="195"/>
      <c r="J137" s="99"/>
    </row>
    <row r="138" ht="12.75" customHeight="1">
      <c r="C138" s="148"/>
      <c r="E138" s="195"/>
      <c r="F138" s="195"/>
      <c r="G138" s="195"/>
      <c r="J138" s="99"/>
    </row>
    <row r="139" ht="12.75" customHeight="1">
      <c r="C139" s="148"/>
      <c r="E139" s="195"/>
      <c r="F139" s="195"/>
      <c r="G139" s="195"/>
      <c r="J139" s="99"/>
    </row>
    <row r="140" ht="12.75" customHeight="1">
      <c r="C140" s="148"/>
      <c r="E140" s="195"/>
      <c r="F140" s="195"/>
      <c r="G140" s="195"/>
      <c r="J140" s="99"/>
    </row>
    <row r="141" ht="12.75" customHeight="1">
      <c r="C141" s="148"/>
      <c r="E141" s="195"/>
      <c r="F141" s="195"/>
      <c r="G141" s="195"/>
      <c r="J141" s="99"/>
    </row>
    <row r="142" ht="12.75" customHeight="1">
      <c r="C142" s="148"/>
      <c r="E142" s="195"/>
      <c r="F142" s="195"/>
      <c r="G142" s="195"/>
      <c r="J142" s="99"/>
    </row>
    <row r="143" ht="12.75" customHeight="1">
      <c r="C143" s="148"/>
      <c r="E143" s="195"/>
      <c r="F143" s="195"/>
      <c r="G143" s="195"/>
      <c r="J143" s="99"/>
    </row>
    <row r="144" ht="12.75" customHeight="1">
      <c r="C144" s="148"/>
      <c r="E144" s="195"/>
      <c r="F144" s="195"/>
      <c r="G144" s="195"/>
      <c r="J144" s="99"/>
    </row>
    <row r="145" ht="12.75" customHeight="1">
      <c r="C145" s="148"/>
      <c r="E145" s="195"/>
      <c r="F145" s="195"/>
      <c r="G145" s="195"/>
      <c r="J145" s="99"/>
    </row>
    <row r="146" ht="12.75" customHeight="1">
      <c r="C146" s="148"/>
      <c r="E146" s="195"/>
      <c r="F146" s="195"/>
      <c r="G146" s="195"/>
      <c r="J146" s="99"/>
    </row>
    <row r="147" ht="12.75" customHeight="1">
      <c r="C147" s="148"/>
      <c r="E147" s="195"/>
      <c r="F147" s="195"/>
      <c r="G147" s="195"/>
      <c r="J147" s="99"/>
    </row>
    <row r="148" ht="12.75" customHeight="1">
      <c r="C148" s="148"/>
      <c r="E148" s="195"/>
      <c r="F148" s="195"/>
      <c r="G148" s="195"/>
      <c r="J148" s="99"/>
    </row>
    <row r="149" ht="12.75" customHeight="1">
      <c r="C149" s="148"/>
      <c r="E149" s="195"/>
      <c r="F149" s="195"/>
      <c r="G149" s="195"/>
      <c r="J149" s="99"/>
    </row>
    <row r="150" ht="12.75" customHeight="1">
      <c r="C150" s="148"/>
      <c r="E150" s="195"/>
      <c r="F150" s="195"/>
      <c r="G150" s="195"/>
      <c r="J150" s="99"/>
    </row>
    <row r="151" ht="12.75" customHeight="1">
      <c r="C151" s="148"/>
      <c r="E151" s="195"/>
      <c r="F151" s="195"/>
      <c r="G151" s="195"/>
      <c r="J151" s="99"/>
    </row>
    <row r="152" ht="12.75" customHeight="1">
      <c r="C152" s="148"/>
      <c r="E152" s="195"/>
      <c r="F152" s="195"/>
      <c r="G152" s="195"/>
      <c r="J152" s="99"/>
    </row>
    <row r="153" ht="12.75" customHeight="1">
      <c r="C153" s="148"/>
      <c r="E153" s="195"/>
      <c r="F153" s="195"/>
      <c r="G153" s="195"/>
      <c r="J153" s="99"/>
    </row>
    <row r="154" ht="12.75" customHeight="1">
      <c r="C154" s="148"/>
      <c r="E154" s="195"/>
      <c r="F154" s="195"/>
      <c r="G154" s="195"/>
      <c r="J154" s="99"/>
    </row>
    <row r="155" ht="12.75" customHeight="1">
      <c r="C155" s="148"/>
      <c r="E155" s="195"/>
      <c r="F155" s="195"/>
      <c r="G155" s="195"/>
      <c r="J155" s="99"/>
    </row>
    <row r="156" ht="12.75" customHeight="1">
      <c r="C156" s="148"/>
      <c r="E156" s="195"/>
      <c r="F156" s="195"/>
      <c r="G156" s="195"/>
      <c r="J156" s="99"/>
    </row>
    <row r="157" ht="12.75" customHeight="1">
      <c r="C157" s="148"/>
      <c r="E157" s="195"/>
      <c r="F157" s="195"/>
      <c r="G157" s="195"/>
      <c r="J157" s="99"/>
    </row>
    <row r="158" ht="12.75" customHeight="1">
      <c r="C158" s="148"/>
      <c r="E158" s="195"/>
      <c r="F158" s="195"/>
      <c r="G158" s="195"/>
      <c r="J158" s="99"/>
    </row>
    <row r="159" ht="12.75" customHeight="1">
      <c r="C159" s="148"/>
      <c r="E159" s="195"/>
      <c r="F159" s="195"/>
      <c r="G159" s="195"/>
      <c r="J159" s="99"/>
    </row>
    <row r="160" ht="12.75" customHeight="1">
      <c r="C160" s="148"/>
      <c r="E160" s="195"/>
      <c r="F160" s="195"/>
      <c r="G160" s="195"/>
      <c r="J160" s="99"/>
    </row>
    <row r="161" ht="12.75" customHeight="1">
      <c r="C161" s="148"/>
      <c r="E161" s="195"/>
      <c r="F161" s="195"/>
      <c r="G161" s="195"/>
      <c r="J161" s="99"/>
    </row>
    <row r="162" ht="12.75" customHeight="1">
      <c r="C162" s="148"/>
      <c r="E162" s="195"/>
      <c r="F162" s="195"/>
      <c r="G162" s="195"/>
      <c r="J162" s="99"/>
    </row>
    <row r="163" ht="12.75" customHeight="1">
      <c r="C163" s="148"/>
      <c r="E163" s="195"/>
      <c r="F163" s="195"/>
      <c r="G163" s="195"/>
      <c r="J163" s="99"/>
    </row>
    <row r="164" ht="12.75" customHeight="1">
      <c r="C164" s="148"/>
      <c r="E164" s="195"/>
      <c r="F164" s="195"/>
      <c r="G164" s="195"/>
      <c r="J164" s="99"/>
    </row>
    <row r="165" ht="12.75" customHeight="1">
      <c r="C165" s="148"/>
      <c r="E165" s="195"/>
      <c r="F165" s="195"/>
      <c r="G165" s="195"/>
      <c r="J165" s="99"/>
    </row>
    <row r="166" ht="12.75" customHeight="1">
      <c r="C166" s="148"/>
      <c r="E166" s="195"/>
      <c r="F166" s="195"/>
      <c r="G166" s="195"/>
      <c r="J166" s="99"/>
    </row>
    <row r="167" ht="12.75" customHeight="1">
      <c r="C167" s="148"/>
      <c r="E167" s="195"/>
      <c r="F167" s="195"/>
      <c r="G167" s="195"/>
      <c r="J167" s="99"/>
    </row>
    <row r="168" ht="12.75" customHeight="1">
      <c r="C168" s="148"/>
      <c r="E168" s="195"/>
      <c r="F168" s="195"/>
      <c r="G168" s="195"/>
      <c r="J168" s="99"/>
    </row>
    <row r="169" ht="12.75" customHeight="1">
      <c r="C169" s="148"/>
      <c r="E169" s="195"/>
      <c r="F169" s="195"/>
      <c r="G169" s="195"/>
      <c r="J169" s="99"/>
    </row>
    <row r="170" ht="12.75" customHeight="1">
      <c r="C170" s="148"/>
      <c r="E170" s="195"/>
      <c r="F170" s="195"/>
      <c r="G170" s="195"/>
      <c r="J170" s="99"/>
    </row>
    <row r="171" ht="12.75" customHeight="1">
      <c r="C171" s="148"/>
      <c r="E171" s="195"/>
      <c r="F171" s="195"/>
      <c r="G171" s="195"/>
      <c r="J171" s="99"/>
    </row>
    <row r="172" ht="12.75" customHeight="1">
      <c r="C172" s="148"/>
      <c r="E172" s="195"/>
      <c r="F172" s="195"/>
      <c r="G172" s="195"/>
      <c r="J172" s="99"/>
    </row>
    <row r="173" ht="12.75" customHeight="1">
      <c r="C173" s="148"/>
      <c r="E173" s="195"/>
      <c r="F173" s="195"/>
      <c r="G173" s="195"/>
      <c r="J173" s="99"/>
    </row>
    <row r="174" ht="12.75" customHeight="1">
      <c r="C174" s="148"/>
      <c r="E174" s="195"/>
      <c r="F174" s="195"/>
      <c r="G174" s="195"/>
      <c r="J174" s="99"/>
    </row>
    <row r="175" ht="12.75" customHeight="1">
      <c r="C175" s="148"/>
      <c r="E175" s="195"/>
      <c r="F175" s="195"/>
      <c r="G175" s="195"/>
      <c r="J175" s="99"/>
    </row>
    <row r="176" ht="12.75" customHeight="1">
      <c r="C176" s="148"/>
      <c r="E176" s="195"/>
      <c r="F176" s="195"/>
      <c r="G176" s="195"/>
      <c r="J176" s="99"/>
    </row>
    <row r="177" ht="12.75" customHeight="1">
      <c r="C177" s="148"/>
      <c r="E177" s="195"/>
      <c r="F177" s="195"/>
      <c r="G177" s="195"/>
      <c r="J177" s="99"/>
    </row>
    <row r="178" ht="12.75" customHeight="1">
      <c r="C178" s="148"/>
      <c r="E178" s="195"/>
      <c r="F178" s="195"/>
      <c r="G178" s="195"/>
      <c r="J178" s="99"/>
    </row>
    <row r="179" ht="12.75" customHeight="1">
      <c r="C179" s="148"/>
      <c r="E179" s="195"/>
      <c r="F179" s="195"/>
      <c r="G179" s="195"/>
      <c r="J179" s="99"/>
    </row>
    <row r="180" ht="12.75" customHeight="1">
      <c r="C180" s="148"/>
      <c r="E180" s="195"/>
      <c r="F180" s="195"/>
      <c r="G180" s="195"/>
      <c r="J180" s="99"/>
    </row>
    <row r="181" ht="12.75" customHeight="1">
      <c r="C181" s="148"/>
      <c r="E181" s="195"/>
      <c r="F181" s="195"/>
      <c r="G181" s="195"/>
      <c r="J181" s="99"/>
    </row>
    <row r="182" ht="12.75" customHeight="1">
      <c r="C182" s="148"/>
      <c r="E182" s="195"/>
      <c r="F182" s="195"/>
      <c r="G182" s="195"/>
      <c r="J182" s="99"/>
    </row>
    <row r="183" ht="12.75" customHeight="1">
      <c r="C183" s="148"/>
      <c r="E183" s="195"/>
      <c r="F183" s="195"/>
      <c r="G183" s="195"/>
      <c r="J183" s="99"/>
    </row>
    <row r="184" ht="12.75" customHeight="1">
      <c r="C184" s="148"/>
      <c r="E184" s="195"/>
      <c r="F184" s="195"/>
      <c r="G184" s="195"/>
      <c r="J184" s="99"/>
    </row>
    <row r="185" ht="12.75" customHeight="1">
      <c r="C185" s="148"/>
      <c r="E185" s="195"/>
      <c r="F185" s="195"/>
      <c r="G185" s="195"/>
      <c r="J185" s="99"/>
    </row>
    <row r="186" ht="12.75" customHeight="1">
      <c r="C186" s="148"/>
      <c r="E186" s="195"/>
      <c r="F186" s="195"/>
      <c r="G186" s="195"/>
      <c r="J186" s="99"/>
    </row>
    <row r="187" ht="12.75" customHeight="1">
      <c r="C187" s="148"/>
      <c r="E187" s="195"/>
      <c r="F187" s="195"/>
      <c r="G187" s="195"/>
      <c r="J187" s="99"/>
    </row>
    <row r="188" ht="12.75" customHeight="1">
      <c r="C188" s="148"/>
      <c r="E188" s="195"/>
      <c r="F188" s="195"/>
      <c r="G188" s="195"/>
      <c r="J188" s="99"/>
    </row>
    <row r="189" ht="12.75" customHeight="1">
      <c r="C189" s="148"/>
      <c r="E189" s="195"/>
      <c r="F189" s="195"/>
      <c r="G189" s="195"/>
      <c r="J189" s="99"/>
    </row>
    <row r="190" ht="12.75" customHeight="1">
      <c r="C190" s="148"/>
      <c r="E190" s="195"/>
      <c r="F190" s="195"/>
      <c r="G190" s="195"/>
      <c r="J190" s="99"/>
    </row>
    <row r="191" ht="12.75" customHeight="1">
      <c r="C191" s="148"/>
      <c r="E191" s="195"/>
      <c r="F191" s="195"/>
      <c r="G191" s="195"/>
      <c r="J191" s="99"/>
    </row>
    <row r="192" ht="12.75" customHeight="1">
      <c r="C192" s="148"/>
      <c r="E192" s="195"/>
      <c r="F192" s="195"/>
      <c r="G192" s="195"/>
      <c r="J192" s="99"/>
    </row>
    <row r="193" ht="12.75" customHeight="1">
      <c r="C193" s="148"/>
      <c r="E193" s="195"/>
      <c r="F193" s="195"/>
      <c r="G193" s="195"/>
      <c r="J193" s="99"/>
    </row>
    <row r="194" ht="12.75" customHeight="1">
      <c r="C194" s="148"/>
      <c r="E194" s="195"/>
      <c r="F194" s="195"/>
      <c r="G194" s="195"/>
      <c r="J194" s="99"/>
    </row>
    <row r="195" ht="12.75" customHeight="1">
      <c r="C195" s="148"/>
      <c r="E195" s="195"/>
      <c r="F195" s="195"/>
      <c r="G195" s="195"/>
      <c r="J195" s="99"/>
    </row>
    <row r="196" ht="12.75" customHeight="1">
      <c r="C196" s="148"/>
      <c r="E196" s="195"/>
      <c r="F196" s="195"/>
      <c r="G196" s="195"/>
      <c r="J196" s="99"/>
    </row>
    <row r="197" ht="12.75" customHeight="1">
      <c r="C197" s="148"/>
      <c r="E197" s="195"/>
      <c r="F197" s="195"/>
      <c r="G197" s="195"/>
      <c r="J197" s="99"/>
    </row>
    <row r="198" ht="12.75" customHeight="1">
      <c r="C198" s="148"/>
      <c r="E198" s="195"/>
      <c r="F198" s="195"/>
      <c r="G198" s="195"/>
      <c r="J198" s="99"/>
    </row>
    <row r="199" ht="12.75" customHeight="1">
      <c r="C199" s="148"/>
      <c r="E199" s="195"/>
      <c r="F199" s="195"/>
      <c r="G199" s="195"/>
      <c r="J199" s="99"/>
    </row>
    <row r="200" ht="12.75" customHeight="1">
      <c r="C200" s="148"/>
      <c r="E200" s="195"/>
      <c r="F200" s="195"/>
      <c r="G200" s="195"/>
      <c r="J200" s="99"/>
    </row>
    <row r="201" ht="12.75" customHeight="1">
      <c r="C201" s="148"/>
      <c r="E201" s="195"/>
      <c r="F201" s="195"/>
      <c r="G201" s="195"/>
      <c r="J201" s="99"/>
    </row>
    <row r="202" ht="12.75" customHeight="1">
      <c r="C202" s="148"/>
      <c r="E202" s="195"/>
      <c r="F202" s="195"/>
      <c r="G202" s="195"/>
      <c r="J202" s="99"/>
    </row>
    <row r="203" ht="12.75" customHeight="1">
      <c r="C203" s="148"/>
      <c r="E203" s="195"/>
      <c r="F203" s="195"/>
      <c r="G203" s="195"/>
      <c r="J203" s="99"/>
    </row>
    <row r="204" ht="12.75" customHeight="1">
      <c r="C204" s="148"/>
      <c r="E204" s="195"/>
      <c r="F204" s="195"/>
      <c r="G204" s="195"/>
      <c r="J204" s="99"/>
    </row>
    <row r="205" ht="12.75" customHeight="1">
      <c r="C205" s="148"/>
      <c r="E205" s="195"/>
      <c r="F205" s="195"/>
      <c r="G205" s="195"/>
      <c r="J205" s="99"/>
    </row>
    <row r="206" ht="12.75" customHeight="1">
      <c r="C206" s="148"/>
      <c r="E206" s="195"/>
      <c r="F206" s="195"/>
      <c r="G206" s="195"/>
      <c r="J206" s="99"/>
    </row>
    <row r="207" ht="12.75" customHeight="1">
      <c r="C207" s="148"/>
      <c r="E207" s="195"/>
      <c r="F207" s="195"/>
      <c r="G207" s="195"/>
      <c r="J207" s="99"/>
    </row>
    <row r="208" ht="12.75" customHeight="1">
      <c r="C208" s="148"/>
      <c r="E208" s="195"/>
      <c r="F208" s="195"/>
      <c r="G208" s="195"/>
      <c r="J208" s="99"/>
    </row>
    <row r="209" ht="12.75" customHeight="1">
      <c r="C209" s="148"/>
      <c r="E209" s="195"/>
      <c r="F209" s="195"/>
      <c r="G209" s="195"/>
      <c r="J209" s="99"/>
    </row>
    <row r="210" ht="12.75" customHeight="1">
      <c r="C210" s="148"/>
      <c r="E210" s="195"/>
      <c r="F210" s="195"/>
      <c r="G210" s="195"/>
      <c r="J210" s="99"/>
    </row>
    <row r="211" ht="12.75" customHeight="1">
      <c r="C211" s="148"/>
      <c r="E211" s="195"/>
      <c r="F211" s="195"/>
      <c r="G211" s="195"/>
      <c r="J211" s="99"/>
    </row>
    <row r="212" ht="12.75" customHeight="1">
      <c r="C212" s="148"/>
      <c r="E212" s="195"/>
      <c r="F212" s="195"/>
      <c r="G212" s="195"/>
      <c r="J212" s="99"/>
    </row>
    <row r="213" ht="12.75" customHeight="1">
      <c r="C213" s="148"/>
      <c r="E213" s="195"/>
      <c r="F213" s="195"/>
      <c r="G213" s="195"/>
      <c r="J213" s="99"/>
    </row>
    <row r="214" ht="12.75" customHeight="1">
      <c r="C214" s="148"/>
      <c r="E214" s="195"/>
      <c r="F214" s="195"/>
      <c r="G214" s="195"/>
      <c r="J214" s="99"/>
    </row>
    <row r="215" ht="12.75" customHeight="1">
      <c r="C215" s="148"/>
      <c r="E215" s="195"/>
      <c r="F215" s="195"/>
      <c r="G215" s="195"/>
      <c r="J215" s="99"/>
    </row>
    <row r="216" ht="12.75" customHeight="1">
      <c r="C216" s="148"/>
      <c r="E216" s="195"/>
      <c r="F216" s="195"/>
      <c r="G216" s="195"/>
      <c r="J216" s="99"/>
    </row>
    <row r="217" ht="12.75" customHeight="1">
      <c r="C217" s="148"/>
      <c r="E217" s="195"/>
      <c r="F217" s="195"/>
      <c r="G217" s="195"/>
      <c r="J217" s="99"/>
    </row>
    <row r="218" ht="12.75" customHeight="1">
      <c r="C218" s="148"/>
      <c r="E218" s="195"/>
      <c r="F218" s="195"/>
      <c r="G218" s="195"/>
      <c r="J218" s="99"/>
    </row>
    <row r="219" ht="12.75" customHeight="1">
      <c r="C219" s="148"/>
      <c r="E219" s="195"/>
      <c r="F219" s="195"/>
      <c r="G219" s="195"/>
      <c r="J219" s="99"/>
    </row>
    <row r="220" ht="12.75" customHeight="1">
      <c r="C220" s="148"/>
      <c r="E220" s="195"/>
      <c r="F220" s="195"/>
      <c r="G220" s="195"/>
      <c r="J220" s="99"/>
    </row>
    <row r="221" ht="12.75" customHeight="1">
      <c r="C221" s="148"/>
      <c r="E221" s="195"/>
      <c r="F221" s="195"/>
      <c r="G221" s="195"/>
      <c r="J221" s="99"/>
    </row>
    <row r="222" ht="12.75" customHeight="1">
      <c r="C222" s="148"/>
      <c r="E222" s="195"/>
      <c r="F222" s="195"/>
      <c r="G222" s="195"/>
      <c r="J222" s="99"/>
    </row>
    <row r="223" ht="12.75" customHeight="1">
      <c r="C223" s="148"/>
      <c r="E223" s="195"/>
      <c r="F223" s="195"/>
      <c r="G223" s="195"/>
      <c r="J223" s="99"/>
    </row>
    <row r="224" ht="12.75" customHeight="1">
      <c r="C224" s="148"/>
      <c r="E224" s="195"/>
      <c r="F224" s="195"/>
      <c r="G224" s="195"/>
      <c r="J224" s="99"/>
    </row>
    <row r="225" ht="12.75" customHeight="1">
      <c r="C225" s="148"/>
      <c r="E225" s="195"/>
      <c r="F225" s="195"/>
      <c r="G225" s="195"/>
      <c r="J225" s="99"/>
    </row>
    <row r="226" ht="12.75" customHeight="1">
      <c r="C226" s="148"/>
      <c r="E226" s="195"/>
      <c r="F226" s="195"/>
      <c r="G226" s="195"/>
      <c r="J226" s="99"/>
    </row>
    <row r="227" ht="12.75" customHeight="1">
      <c r="C227" s="148"/>
      <c r="E227" s="195"/>
      <c r="F227" s="195"/>
      <c r="G227" s="195"/>
      <c r="J227" s="99"/>
    </row>
    <row r="228" ht="12.75" customHeight="1">
      <c r="C228" s="148"/>
      <c r="E228" s="195"/>
      <c r="F228" s="195"/>
      <c r="G228" s="195"/>
      <c r="J228" s="99"/>
    </row>
    <row r="229" ht="12.75" customHeight="1">
      <c r="C229" s="148"/>
      <c r="E229" s="195"/>
      <c r="F229" s="195"/>
      <c r="G229" s="195"/>
      <c r="J229" s="99"/>
    </row>
    <row r="230" ht="12.75" customHeight="1">
      <c r="C230" s="148"/>
      <c r="E230" s="195"/>
      <c r="F230" s="195"/>
      <c r="G230" s="195"/>
      <c r="J230" s="99"/>
    </row>
    <row r="231" ht="12.75" customHeight="1">
      <c r="C231" s="148"/>
      <c r="E231" s="195"/>
      <c r="F231" s="195"/>
      <c r="G231" s="195"/>
      <c r="J231" s="99"/>
    </row>
    <row r="232" ht="12.75" customHeight="1">
      <c r="C232" s="148"/>
      <c r="E232" s="195"/>
      <c r="F232" s="195"/>
      <c r="G232" s="195"/>
      <c r="J232" s="99"/>
    </row>
    <row r="233" ht="12.75" customHeight="1">
      <c r="C233" s="148"/>
      <c r="E233" s="195"/>
      <c r="F233" s="195"/>
      <c r="G233" s="195"/>
      <c r="J233" s="99"/>
    </row>
    <row r="234" ht="12.75" customHeight="1">
      <c r="C234" s="148"/>
      <c r="E234" s="195"/>
      <c r="F234" s="195"/>
      <c r="G234" s="195"/>
      <c r="J234" s="99"/>
    </row>
    <row r="235" ht="12.75" customHeight="1">
      <c r="C235" s="148"/>
      <c r="E235" s="195"/>
      <c r="F235" s="195"/>
      <c r="G235" s="195"/>
      <c r="J235" s="99"/>
    </row>
    <row r="236" ht="12.75" customHeight="1">
      <c r="C236" s="148"/>
      <c r="E236" s="195"/>
      <c r="F236" s="195"/>
      <c r="G236" s="195"/>
      <c r="J236" s="99"/>
    </row>
    <row r="237" ht="12.75" customHeight="1">
      <c r="C237" s="148"/>
      <c r="E237" s="195"/>
      <c r="F237" s="195"/>
      <c r="G237" s="195"/>
      <c r="J237" s="99"/>
    </row>
    <row r="238" ht="12.75" customHeight="1">
      <c r="C238" s="148"/>
      <c r="E238" s="195"/>
      <c r="F238" s="195"/>
      <c r="G238" s="195"/>
      <c r="J238" s="99"/>
    </row>
    <row r="239" ht="12.75" customHeight="1">
      <c r="C239" s="148"/>
      <c r="E239" s="195"/>
      <c r="F239" s="195"/>
      <c r="G239" s="195"/>
      <c r="J239" s="99"/>
    </row>
    <row r="240" ht="12.75" customHeight="1">
      <c r="C240" s="148"/>
      <c r="E240" s="195"/>
      <c r="F240" s="195"/>
      <c r="G240" s="195"/>
      <c r="J240" s="99"/>
    </row>
    <row r="241" ht="12.75" customHeight="1">
      <c r="C241" s="148"/>
      <c r="E241" s="195"/>
      <c r="F241" s="195"/>
      <c r="G241" s="195"/>
      <c r="J241" s="99"/>
    </row>
    <row r="242" ht="12.75" customHeight="1">
      <c r="C242" s="148"/>
      <c r="E242" s="195"/>
      <c r="F242" s="195"/>
      <c r="G242" s="195"/>
      <c r="J242" s="99"/>
    </row>
    <row r="243" ht="12.75" customHeight="1">
      <c r="C243" s="148"/>
      <c r="E243" s="195"/>
      <c r="F243" s="195"/>
      <c r="G243" s="195"/>
      <c r="J243" s="99"/>
    </row>
    <row r="244" ht="12.75" customHeight="1">
      <c r="C244" s="148"/>
      <c r="E244" s="195"/>
      <c r="F244" s="195"/>
      <c r="G244" s="195"/>
      <c r="J244" s="99"/>
    </row>
    <row r="245" ht="12.75" customHeight="1">
      <c r="C245" s="148"/>
      <c r="E245" s="195"/>
      <c r="F245" s="195"/>
      <c r="G245" s="195"/>
      <c r="J245" s="99"/>
    </row>
    <row r="246" ht="12.75" customHeight="1">
      <c r="C246" s="148"/>
      <c r="E246" s="195"/>
      <c r="F246" s="195"/>
      <c r="G246" s="195"/>
      <c r="J246" s="99"/>
    </row>
    <row r="247" ht="12.75" customHeight="1">
      <c r="C247" s="148"/>
      <c r="E247" s="195"/>
      <c r="F247" s="195"/>
      <c r="G247" s="195"/>
      <c r="J247" s="99"/>
    </row>
    <row r="248" ht="12.75" customHeight="1">
      <c r="C248" s="148"/>
      <c r="E248" s="195"/>
      <c r="F248" s="195"/>
      <c r="G248" s="195"/>
      <c r="J248" s="99"/>
    </row>
    <row r="249" ht="12.75" customHeight="1">
      <c r="C249" s="148"/>
      <c r="E249" s="195"/>
      <c r="F249" s="195"/>
      <c r="G249" s="195"/>
      <c r="J249" s="99"/>
    </row>
    <row r="250" ht="12.75" customHeight="1">
      <c r="C250" s="148"/>
      <c r="E250" s="195"/>
      <c r="F250" s="195"/>
      <c r="G250" s="195"/>
      <c r="J250" s="99"/>
    </row>
    <row r="251" ht="12.75" customHeight="1">
      <c r="C251" s="148"/>
      <c r="E251" s="195"/>
      <c r="F251" s="195"/>
      <c r="G251" s="195"/>
      <c r="J251" s="99"/>
    </row>
    <row r="252" ht="12.75" customHeight="1">
      <c r="C252" s="148"/>
      <c r="E252" s="195"/>
      <c r="F252" s="195"/>
      <c r="G252" s="195"/>
      <c r="J252" s="99"/>
    </row>
    <row r="253" ht="12.75" customHeight="1">
      <c r="C253" s="148"/>
      <c r="E253" s="195"/>
      <c r="F253" s="195"/>
      <c r="G253" s="195"/>
      <c r="J253" s="99"/>
    </row>
    <row r="254" ht="12.75" customHeight="1">
      <c r="C254" s="148"/>
      <c r="E254" s="195"/>
      <c r="F254" s="195"/>
      <c r="G254" s="195"/>
      <c r="J254" s="99"/>
    </row>
    <row r="255" ht="12.75" customHeight="1">
      <c r="C255" s="148"/>
      <c r="E255" s="195"/>
      <c r="F255" s="195"/>
      <c r="G255" s="195"/>
      <c r="J255" s="99"/>
    </row>
    <row r="256" ht="12.75" customHeight="1">
      <c r="C256" s="148"/>
      <c r="E256" s="195"/>
      <c r="F256" s="195"/>
      <c r="G256" s="195"/>
      <c r="J256" s="99"/>
    </row>
    <row r="257" ht="12.75" customHeight="1">
      <c r="C257" s="148"/>
      <c r="E257" s="195"/>
      <c r="F257" s="195"/>
      <c r="G257" s="195"/>
      <c r="J257" s="99"/>
    </row>
    <row r="258" ht="12.75" customHeight="1">
      <c r="C258" s="148"/>
      <c r="E258" s="195"/>
      <c r="F258" s="195"/>
      <c r="G258" s="195"/>
      <c r="J258" s="99"/>
    </row>
    <row r="259" ht="12.75" customHeight="1">
      <c r="C259" s="148"/>
      <c r="E259" s="195"/>
      <c r="F259" s="195"/>
      <c r="G259" s="195"/>
      <c r="J259" s="99"/>
    </row>
    <row r="260" ht="12.75" customHeight="1">
      <c r="C260" s="148"/>
      <c r="E260" s="195"/>
      <c r="F260" s="195"/>
      <c r="G260" s="195"/>
      <c r="J260" s="99"/>
    </row>
    <row r="261" ht="12.75" customHeight="1">
      <c r="C261" s="148"/>
      <c r="E261" s="195"/>
      <c r="F261" s="195"/>
      <c r="G261" s="195"/>
      <c r="J261" s="99"/>
    </row>
    <row r="262" ht="12.75" customHeight="1">
      <c r="C262" s="148"/>
      <c r="E262" s="195"/>
      <c r="F262" s="195"/>
      <c r="G262" s="195"/>
      <c r="J262" s="99"/>
    </row>
    <row r="263" ht="12.75" customHeight="1">
      <c r="C263" s="148"/>
      <c r="E263" s="195"/>
      <c r="F263" s="195"/>
      <c r="G263" s="195"/>
      <c r="J263" s="99"/>
    </row>
    <row r="264" ht="12.75" customHeight="1">
      <c r="C264" s="148"/>
      <c r="E264" s="195"/>
      <c r="F264" s="195"/>
      <c r="G264" s="195"/>
      <c r="J264" s="99"/>
    </row>
    <row r="265" ht="12.75" customHeight="1">
      <c r="C265" s="148"/>
      <c r="E265" s="195"/>
      <c r="F265" s="195"/>
      <c r="G265" s="195"/>
      <c r="J265" s="99"/>
    </row>
    <row r="266" ht="12.75" customHeight="1">
      <c r="C266" s="148"/>
      <c r="E266" s="195"/>
      <c r="F266" s="195"/>
      <c r="G266" s="195"/>
      <c r="J266" s="99"/>
    </row>
    <row r="267" ht="12.75" customHeight="1">
      <c r="C267" s="148"/>
      <c r="E267" s="195"/>
      <c r="F267" s="195"/>
      <c r="G267" s="195"/>
      <c r="J267" s="99"/>
    </row>
    <row r="268" ht="12.75" customHeight="1">
      <c r="C268" s="148"/>
      <c r="E268" s="195"/>
      <c r="F268" s="195"/>
      <c r="G268" s="195"/>
      <c r="J268" s="99"/>
    </row>
    <row r="269" ht="12.75" customHeight="1">
      <c r="C269" s="148"/>
      <c r="E269" s="195"/>
      <c r="F269" s="195"/>
      <c r="G269" s="195"/>
      <c r="J269" s="99"/>
    </row>
    <row r="270" ht="12.75" customHeight="1">
      <c r="C270" s="148"/>
      <c r="E270" s="195"/>
      <c r="F270" s="195"/>
      <c r="G270" s="195"/>
      <c r="J270" s="99"/>
    </row>
    <row r="271" ht="12.75" customHeight="1">
      <c r="C271" s="148"/>
      <c r="E271" s="195"/>
      <c r="F271" s="195"/>
      <c r="G271" s="195"/>
      <c r="J271" s="99"/>
    </row>
    <row r="272" ht="12.75" customHeight="1">
      <c r="C272" s="148"/>
      <c r="E272" s="195"/>
      <c r="F272" s="195"/>
      <c r="G272" s="195"/>
      <c r="J272" s="99"/>
    </row>
    <row r="273" ht="12.75" customHeight="1">
      <c r="C273" s="148"/>
      <c r="E273" s="195"/>
      <c r="F273" s="195"/>
      <c r="G273" s="195"/>
      <c r="J273" s="99"/>
    </row>
    <row r="274" ht="12.75" customHeight="1">
      <c r="C274" s="148"/>
      <c r="E274" s="195"/>
      <c r="F274" s="195"/>
      <c r="G274" s="195"/>
      <c r="J274" s="99"/>
    </row>
    <row r="275" ht="12.75" customHeight="1">
      <c r="C275" s="148"/>
      <c r="E275" s="195"/>
      <c r="F275" s="195"/>
      <c r="G275" s="195"/>
      <c r="J275" s="99"/>
    </row>
    <row r="276" ht="12.75" customHeight="1">
      <c r="C276" s="148"/>
      <c r="E276" s="195"/>
      <c r="F276" s="195"/>
      <c r="G276" s="195"/>
      <c r="J276" s="99"/>
    </row>
    <row r="277" ht="12.75" customHeight="1">
      <c r="C277" s="148"/>
      <c r="E277" s="195"/>
      <c r="F277" s="195"/>
      <c r="G277" s="195"/>
      <c r="J277" s="99"/>
    </row>
    <row r="278" ht="12.75" customHeight="1">
      <c r="C278" s="148"/>
      <c r="E278" s="195"/>
      <c r="F278" s="195"/>
      <c r="G278" s="195"/>
      <c r="J278" s="99"/>
    </row>
    <row r="279" ht="12.75" customHeight="1">
      <c r="C279" s="148"/>
      <c r="E279" s="195"/>
      <c r="F279" s="195"/>
      <c r="G279" s="195"/>
      <c r="J279" s="99"/>
    </row>
    <row r="280" ht="12.75" customHeight="1">
      <c r="C280" s="148"/>
      <c r="E280" s="195"/>
      <c r="F280" s="195"/>
      <c r="G280" s="195"/>
      <c r="J280" s="99"/>
    </row>
    <row r="281" ht="12.75" customHeight="1">
      <c r="C281" s="148"/>
      <c r="E281" s="195"/>
      <c r="F281" s="195"/>
      <c r="G281" s="195"/>
      <c r="J281" s="99"/>
    </row>
    <row r="282" ht="12.75" customHeight="1">
      <c r="C282" s="148"/>
      <c r="E282" s="195"/>
      <c r="F282" s="195"/>
      <c r="G282" s="195"/>
      <c r="J282" s="99"/>
    </row>
    <row r="283" ht="12.75" customHeight="1">
      <c r="C283" s="148"/>
      <c r="E283" s="195"/>
      <c r="F283" s="195"/>
      <c r="G283" s="195"/>
      <c r="J283" s="99"/>
    </row>
    <row r="284" ht="12.75" customHeight="1">
      <c r="C284" s="148"/>
      <c r="E284" s="195"/>
      <c r="F284" s="195"/>
      <c r="G284" s="195"/>
      <c r="J284" s="99"/>
    </row>
    <row r="285" ht="12.75" customHeight="1">
      <c r="C285" s="148"/>
      <c r="E285" s="195"/>
      <c r="F285" s="195"/>
      <c r="G285" s="195"/>
      <c r="J285" s="99"/>
    </row>
    <row r="286" ht="12.75" customHeight="1">
      <c r="C286" s="148"/>
      <c r="E286" s="195"/>
      <c r="F286" s="195"/>
      <c r="G286" s="195"/>
      <c r="J286" s="99"/>
    </row>
    <row r="287" ht="12.75" customHeight="1">
      <c r="C287" s="148"/>
      <c r="E287" s="195"/>
      <c r="F287" s="195"/>
      <c r="G287" s="195"/>
      <c r="J287" s="99"/>
    </row>
    <row r="288" ht="12.75" customHeight="1">
      <c r="C288" s="148"/>
      <c r="E288" s="195"/>
      <c r="F288" s="195"/>
      <c r="G288" s="195"/>
      <c r="J288" s="99"/>
    </row>
    <row r="289" ht="12.75" customHeight="1">
      <c r="C289" s="148"/>
      <c r="E289" s="195"/>
      <c r="F289" s="195"/>
      <c r="G289" s="195"/>
      <c r="J289" s="99"/>
    </row>
    <row r="290" ht="12.75" customHeight="1">
      <c r="C290" s="148"/>
      <c r="E290" s="195"/>
      <c r="F290" s="195"/>
      <c r="G290" s="195"/>
      <c r="J290" s="99"/>
    </row>
    <row r="291" ht="12.75" customHeight="1">
      <c r="C291" s="148"/>
      <c r="E291" s="195"/>
      <c r="F291" s="195"/>
      <c r="G291" s="195"/>
      <c r="J291" s="99"/>
    </row>
    <row r="292" ht="12.75" customHeight="1">
      <c r="C292" s="148"/>
      <c r="E292" s="195"/>
      <c r="F292" s="195"/>
      <c r="G292" s="195"/>
      <c r="J292" s="99"/>
    </row>
    <row r="293" ht="12.75" customHeight="1">
      <c r="C293" s="148"/>
      <c r="E293" s="195"/>
      <c r="F293" s="195"/>
      <c r="G293" s="195"/>
      <c r="J293" s="99"/>
    </row>
    <row r="294" ht="12.75" customHeight="1">
      <c r="C294" s="148"/>
      <c r="E294" s="195"/>
      <c r="F294" s="195"/>
      <c r="G294" s="195"/>
      <c r="J294" s="99"/>
    </row>
    <row r="295" ht="12.75" customHeight="1">
      <c r="C295" s="148"/>
      <c r="E295" s="195"/>
      <c r="F295" s="195"/>
      <c r="G295" s="195"/>
      <c r="J295" s="99"/>
    </row>
    <row r="296" ht="12.75" customHeight="1">
      <c r="C296" s="148"/>
      <c r="E296" s="195"/>
      <c r="F296" s="195"/>
      <c r="G296" s="195"/>
      <c r="J296" s="99"/>
    </row>
    <row r="297" ht="12.75" customHeight="1">
      <c r="C297" s="148"/>
      <c r="E297" s="195"/>
      <c r="F297" s="195"/>
      <c r="G297" s="195"/>
      <c r="J297" s="99"/>
    </row>
    <row r="298" ht="12.75" customHeight="1">
      <c r="C298" s="148"/>
      <c r="E298" s="195"/>
      <c r="F298" s="195"/>
      <c r="G298" s="195"/>
      <c r="J298" s="99"/>
    </row>
    <row r="299" ht="12.75" customHeight="1">
      <c r="C299" s="148"/>
      <c r="E299" s="195"/>
      <c r="F299" s="195"/>
      <c r="G299" s="195"/>
      <c r="J299" s="99"/>
    </row>
    <row r="300" ht="12.75" customHeight="1">
      <c r="C300" s="148"/>
      <c r="E300" s="195"/>
      <c r="F300" s="195"/>
      <c r="G300" s="195"/>
      <c r="J300" s="99"/>
    </row>
    <row r="301" ht="12.75" customHeight="1">
      <c r="C301" s="148"/>
      <c r="E301" s="195"/>
      <c r="F301" s="195"/>
      <c r="G301" s="195"/>
      <c r="J301" s="99"/>
    </row>
    <row r="302" ht="12.75" customHeight="1">
      <c r="C302" s="148"/>
      <c r="E302" s="195"/>
      <c r="F302" s="195"/>
      <c r="G302" s="195"/>
      <c r="J302" s="99"/>
    </row>
    <row r="303" ht="12.75" customHeight="1">
      <c r="C303" s="148"/>
      <c r="E303" s="195"/>
      <c r="F303" s="195"/>
      <c r="G303" s="195"/>
      <c r="J303" s="99"/>
    </row>
    <row r="304" ht="12.75" customHeight="1">
      <c r="C304" s="148"/>
      <c r="E304" s="195"/>
      <c r="F304" s="195"/>
      <c r="G304" s="195"/>
      <c r="J304" s="99"/>
    </row>
    <row r="305" ht="12.75" customHeight="1">
      <c r="C305" s="148"/>
      <c r="E305" s="195"/>
      <c r="F305" s="195"/>
      <c r="G305" s="195"/>
      <c r="J305" s="99"/>
    </row>
    <row r="306" ht="12.75" customHeight="1">
      <c r="C306" s="148"/>
      <c r="E306" s="195"/>
      <c r="F306" s="195"/>
      <c r="G306" s="195"/>
      <c r="J306" s="99"/>
    </row>
    <row r="307" ht="12.75" customHeight="1">
      <c r="C307" s="148"/>
      <c r="E307" s="195"/>
      <c r="F307" s="195"/>
      <c r="G307" s="195"/>
      <c r="J307" s="99"/>
    </row>
    <row r="308" ht="12.75" customHeight="1">
      <c r="C308" s="148"/>
      <c r="E308" s="195"/>
      <c r="F308" s="195"/>
      <c r="G308" s="195"/>
      <c r="J308" s="99"/>
    </row>
    <row r="309" ht="12.75" customHeight="1">
      <c r="C309" s="148"/>
      <c r="E309" s="195"/>
      <c r="F309" s="195"/>
      <c r="G309" s="195"/>
      <c r="J309" s="99"/>
    </row>
    <row r="310" ht="12.75" customHeight="1">
      <c r="C310" s="148"/>
      <c r="E310" s="195"/>
      <c r="F310" s="195"/>
      <c r="G310" s="195"/>
      <c r="J310" s="99"/>
    </row>
    <row r="311" ht="12.75" customHeight="1">
      <c r="C311" s="148"/>
      <c r="E311" s="195"/>
      <c r="F311" s="195"/>
      <c r="G311" s="195"/>
      <c r="J311" s="99"/>
    </row>
    <row r="312" ht="12.75" customHeight="1">
      <c r="C312" s="148"/>
      <c r="E312" s="195"/>
      <c r="F312" s="195"/>
      <c r="G312" s="195"/>
      <c r="J312" s="99"/>
    </row>
    <row r="313" ht="12.75" customHeight="1">
      <c r="C313" s="148"/>
      <c r="E313" s="195"/>
      <c r="F313" s="195"/>
      <c r="G313" s="195"/>
      <c r="J313" s="99"/>
    </row>
    <row r="314" ht="12.75" customHeight="1">
      <c r="C314" s="148"/>
      <c r="E314" s="195"/>
      <c r="F314" s="195"/>
      <c r="G314" s="195"/>
      <c r="J314" s="99"/>
    </row>
    <row r="315" ht="12.75" customHeight="1">
      <c r="C315" s="148"/>
      <c r="E315" s="195"/>
      <c r="F315" s="195"/>
      <c r="G315" s="195"/>
      <c r="J315" s="99"/>
    </row>
    <row r="316" ht="12.75" customHeight="1">
      <c r="C316" s="148"/>
      <c r="E316" s="195"/>
      <c r="F316" s="195"/>
      <c r="G316" s="195"/>
      <c r="J316" s="99"/>
    </row>
    <row r="317" ht="12.75" customHeight="1">
      <c r="C317" s="148"/>
      <c r="E317" s="195"/>
      <c r="F317" s="195"/>
      <c r="G317" s="195"/>
      <c r="J317" s="99"/>
    </row>
    <row r="318" ht="12.75" customHeight="1">
      <c r="C318" s="148"/>
      <c r="E318" s="195"/>
      <c r="F318" s="195"/>
      <c r="G318" s="195"/>
      <c r="J318" s="99"/>
    </row>
    <row r="319" ht="12.75" customHeight="1">
      <c r="C319" s="148"/>
      <c r="E319" s="195"/>
      <c r="F319" s="195"/>
      <c r="G319" s="195"/>
      <c r="J319" s="99"/>
    </row>
    <row r="320" ht="12.75" customHeight="1">
      <c r="C320" s="148"/>
      <c r="E320" s="195"/>
      <c r="F320" s="195"/>
      <c r="G320" s="195"/>
      <c r="J320" s="99"/>
    </row>
    <row r="321" ht="12.75" customHeight="1">
      <c r="C321" s="148"/>
      <c r="E321" s="195"/>
      <c r="F321" s="195"/>
      <c r="G321" s="195"/>
      <c r="J321" s="99"/>
    </row>
    <row r="322" ht="12.75" customHeight="1">
      <c r="C322" s="148"/>
      <c r="E322" s="195"/>
      <c r="F322" s="195"/>
      <c r="G322" s="195"/>
      <c r="J322" s="99"/>
    </row>
    <row r="323" ht="12.75" customHeight="1">
      <c r="C323" s="148"/>
      <c r="E323" s="195"/>
      <c r="F323" s="195"/>
      <c r="G323" s="195"/>
      <c r="J323" s="99"/>
    </row>
    <row r="324" ht="12.75" customHeight="1">
      <c r="C324" s="148"/>
      <c r="E324" s="195"/>
      <c r="F324" s="195"/>
      <c r="G324" s="195"/>
      <c r="J324" s="99"/>
    </row>
    <row r="325" ht="12.75" customHeight="1">
      <c r="C325" s="148"/>
      <c r="E325" s="195"/>
      <c r="F325" s="195"/>
      <c r="G325" s="195"/>
      <c r="J325" s="99"/>
    </row>
    <row r="326" ht="12.75" customHeight="1">
      <c r="C326" s="148"/>
      <c r="E326" s="195"/>
      <c r="F326" s="195"/>
      <c r="G326" s="195"/>
      <c r="J326" s="99"/>
    </row>
    <row r="327" ht="12.75" customHeight="1">
      <c r="C327" s="148"/>
      <c r="E327" s="195"/>
      <c r="F327" s="195"/>
      <c r="G327" s="195"/>
      <c r="J327" s="99"/>
    </row>
    <row r="328" ht="12.75" customHeight="1">
      <c r="C328" s="148"/>
      <c r="E328" s="195"/>
      <c r="F328" s="195"/>
      <c r="G328" s="195"/>
      <c r="J328" s="99"/>
    </row>
    <row r="329" ht="12.75" customHeight="1">
      <c r="C329" s="148"/>
      <c r="E329" s="195"/>
      <c r="F329" s="195"/>
      <c r="G329" s="195"/>
      <c r="J329" s="99"/>
    </row>
    <row r="330" ht="12.75" customHeight="1">
      <c r="C330" s="148"/>
      <c r="E330" s="195"/>
      <c r="F330" s="195"/>
      <c r="G330" s="195"/>
      <c r="J330" s="99"/>
    </row>
    <row r="331" ht="12.75" customHeight="1">
      <c r="C331" s="148"/>
      <c r="E331" s="195"/>
      <c r="F331" s="195"/>
      <c r="G331" s="195"/>
      <c r="J331" s="99"/>
    </row>
    <row r="332" ht="12.75" customHeight="1">
      <c r="C332" s="148"/>
      <c r="E332" s="195"/>
      <c r="F332" s="195"/>
      <c r="G332" s="195"/>
      <c r="J332" s="99"/>
    </row>
    <row r="333" ht="12.75" customHeight="1">
      <c r="C333" s="148"/>
      <c r="E333" s="195"/>
      <c r="F333" s="195"/>
      <c r="G333" s="195"/>
      <c r="J333" s="99"/>
    </row>
    <row r="334" ht="12.75" customHeight="1">
      <c r="C334" s="148"/>
      <c r="E334" s="195"/>
      <c r="F334" s="195"/>
      <c r="G334" s="195"/>
      <c r="J334" s="99"/>
    </row>
    <row r="335" ht="12.75" customHeight="1">
      <c r="C335" s="148"/>
      <c r="E335" s="195"/>
      <c r="F335" s="195"/>
      <c r="G335" s="195"/>
      <c r="J335" s="99"/>
    </row>
    <row r="336" ht="12.75" customHeight="1">
      <c r="C336" s="148"/>
      <c r="E336" s="195"/>
      <c r="F336" s="195"/>
      <c r="G336" s="195"/>
      <c r="J336" s="99"/>
    </row>
    <row r="337" ht="12.75" customHeight="1">
      <c r="C337" s="148"/>
      <c r="E337" s="195"/>
      <c r="F337" s="195"/>
      <c r="G337" s="195"/>
      <c r="J337" s="99"/>
    </row>
    <row r="338" ht="12.75" customHeight="1">
      <c r="C338" s="148"/>
      <c r="E338" s="195"/>
      <c r="F338" s="195"/>
      <c r="G338" s="195"/>
      <c r="J338" s="99"/>
    </row>
    <row r="339" ht="12.75" customHeight="1">
      <c r="C339" s="148"/>
      <c r="E339" s="195"/>
      <c r="F339" s="195"/>
      <c r="G339" s="195"/>
      <c r="J339" s="99"/>
    </row>
    <row r="340" ht="12.75" customHeight="1">
      <c r="C340" s="148"/>
      <c r="E340" s="195"/>
      <c r="F340" s="195"/>
      <c r="G340" s="195"/>
      <c r="J340" s="99"/>
    </row>
    <row r="341" ht="12.75" customHeight="1">
      <c r="C341" s="148"/>
      <c r="E341" s="195"/>
      <c r="F341" s="195"/>
      <c r="G341" s="195"/>
      <c r="J341" s="99"/>
    </row>
    <row r="342" ht="12.75" customHeight="1">
      <c r="C342" s="148"/>
      <c r="E342" s="195"/>
      <c r="F342" s="195"/>
      <c r="G342" s="195"/>
      <c r="J342" s="99"/>
    </row>
    <row r="343" ht="12.75" customHeight="1">
      <c r="C343" s="148"/>
      <c r="E343" s="195"/>
      <c r="F343" s="195"/>
      <c r="G343" s="195"/>
      <c r="J343" s="99"/>
    </row>
    <row r="344" ht="12.75" customHeight="1">
      <c r="C344" s="148"/>
      <c r="E344" s="195"/>
      <c r="F344" s="195"/>
      <c r="G344" s="195"/>
      <c r="J344" s="99"/>
    </row>
    <row r="345" ht="12.75" customHeight="1">
      <c r="C345" s="148"/>
      <c r="E345" s="195"/>
      <c r="F345" s="195"/>
      <c r="G345" s="195"/>
      <c r="J345" s="99"/>
    </row>
    <row r="346" ht="12.75" customHeight="1">
      <c r="C346" s="148"/>
      <c r="E346" s="195"/>
      <c r="F346" s="195"/>
      <c r="G346" s="195"/>
      <c r="J346" s="99"/>
    </row>
    <row r="347" ht="12.75" customHeight="1">
      <c r="C347" s="148"/>
      <c r="E347" s="195"/>
      <c r="F347" s="195"/>
      <c r="G347" s="195"/>
      <c r="J347" s="99"/>
    </row>
    <row r="348" ht="12.75" customHeight="1">
      <c r="C348" s="148"/>
      <c r="E348" s="195"/>
      <c r="F348" s="195"/>
      <c r="G348" s="195"/>
      <c r="J348" s="99"/>
    </row>
    <row r="349" ht="12.75" customHeight="1">
      <c r="C349" s="148"/>
      <c r="E349" s="195"/>
      <c r="F349" s="195"/>
      <c r="G349" s="195"/>
      <c r="J349" s="99"/>
    </row>
    <row r="350" ht="12.75" customHeight="1">
      <c r="C350" s="148"/>
      <c r="E350" s="195"/>
      <c r="F350" s="195"/>
      <c r="G350" s="195"/>
      <c r="J350" s="99"/>
    </row>
    <row r="351" ht="12.75" customHeight="1">
      <c r="C351" s="148"/>
      <c r="E351" s="195"/>
      <c r="F351" s="195"/>
      <c r="G351" s="195"/>
      <c r="J351" s="99"/>
    </row>
    <row r="352" ht="12.75" customHeight="1">
      <c r="C352" s="148"/>
      <c r="E352" s="195"/>
      <c r="F352" s="195"/>
      <c r="G352" s="195"/>
      <c r="J352" s="99"/>
    </row>
    <row r="353" ht="12.75" customHeight="1">
      <c r="C353" s="148"/>
      <c r="E353" s="195"/>
      <c r="F353" s="195"/>
      <c r="G353" s="195"/>
      <c r="J353" s="99"/>
    </row>
    <row r="354" ht="12.75" customHeight="1">
      <c r="C354" s="148"/>
      <c r="E354" s="195"/>
      <c r="F354" s="195"/>
      <c r="G354" s="195"/>
      <c r="J354" s="99"/>
    </row>
    <row r="355" ht="12.75" customHeight="1">
      <c r="C355" s="148"/>
      <c r="E355" s="195"/>
      <c r="F355" s="195"/>
      <c r="G355" s="195"/>
      <c r="J355" s="99"/>
    </row>
    <row r="356" ht="12.75" customHeight="1">
      <c r="C356" s="148"/>
      <c r="E356" s="195"/>
      <c r="F356" s="195"/>
      <c r="G356" s="195"/>
      <c r="J356" s="99"/>
    </row>
    <row r="357" ht="12.75" customHeight="1">
      <c r="C357" s="148"/>
      <c r="E357" s="195"/>
      <c r="F357" s="195"/>
      <c r="G357" s="195"/>
      <c r="J357" s="99"/>
    </row>
    <row r="358" ht="12.75" customHeight="1">
      <c r="C358" s="148"/>
      <c r="E358" s="195"/>
      <c r="F358" s="195"/>
      <c r="G358" s="195"/>
      <c r="J358" s="99"/>
    </row>
    <row r="359" ht="12.75" customHeight="1">
      <c r="C359" s="148"/>
      <c r="E359" s="195"/>
      <c r="F359" s="195"/>
      <c r="G359" s="195"/>
      <c r="J359" s="99"/>
    </row>
    <row r="360" ht="12.75" customHeight="1">
      <c r="C360" s="148"/>
      <c r="E360" s="195"/>
      <c r="F360" s="195"/>
      <c r="G360" s="195"/>
      <c r="J360" s="99"/>
    </row>
    <row r="361" ht="12.75" customHeight="1">
      <c r="C361" s="148"/>
      <c r="E361" s="195"/>
      <c r="F361" s="195"/>
      <c r="G361" s="195"/>
      <c r="J361" s="99"/>
    </row>
    <row r="362" ht="12.75" customHeight="1">
      <c r="C362" s="148"/>
      <c r="E362" s="195"/>
      <c r="F362" s="195"/>
      <c r="G362" s="195"/>
      <c r="J362" s="99"/>
    </row>
    <row r="363" ht="12.75" customHeight="1">
      <c r="C363" s="148"/>
      <c r="E363" s="195"/>
      <c r="F363" s="195"/>
      <c r="G363" s="195"/>
      <c r="J363" s="99"/>
    </row>
    <row r="364" ht="12.75" customHeight="1">
      <c r="C364" s="148"/>
      <c r="E364" s="195"/>
      <c r="F364" s="195"/>
      <c r="G364" s="195"/>
      <c r="J364" s="99"/>
    </row>
    <row r="365" ht="12.75" customHeight="1">
      <c r="C365" s="148"/>
      <c r="E365" s="195"/>
      <c r="F365" s="195"/>
      <c r="G365" s="195"/>
      <c r="J365" s="99"/>
    </row>
    <row r="366" ht="12.75" customHeight="1">
      <c r="C366" s="148"/>
      <c r="E366" s="195"/>
      <c r="F366" s="195"/>
      <c r="G366" s="195"/>
      <c r="J366" s="99"/>
    </row>
    <row r="367" ht="12.75" customHeight="1">
      <c r="C367" s="148"/>
      <c r="E367" s="195"/>
      <c r="F367" s="195"/>
      <c r="G367" s="195"/>
      <c r="J367" s="99"/>
    </row>
    <row r="368" ht="12.75" customHeight="1">
      <c r="C368" s="148"/>
      <c r="E368" s="195"/>
      <c r="F368" s="195"/>
      <c r="G368" s="195"/>
      <c r="J368" s="99"/>
    </row>
    <row r="369" ht="12.75" customHeight="1">
      <c r="C369" s="148"/>
      <c r="E369" s="195"/>
      <c r="F369" s="195"/>
      <c r="G369" s="195"/>
      <c r="J369" s="99"/>
    </row>
    <row r="370" ht="12.75" customHeight="1">
      <c r="C370" s="148"/>
      <c r="E370" s="195"/>
      <c r="F370" s="195"/>
      <c r="G370" s="195"/>
      <c r="J370" s="99"/>
    </row>
    <row r="371" ht="12.75" customHeight="1">
      <c r="C371" s="148"/>
      <c r="E371" s="195"/>
      <c r="F371" s="195"/>
      <c r="G371" s="195"/>
      <c r="J371" s="99"/>
    </row>
    <row r="372" ht="12.75" customHeight="1">
      <c r="C372" s="148"/>
      <c r="E372" s="195"/>
      <c r="F372" s="195"/>
      <c r="G372" s="195"/>
      <c r="J372" s="99"/>
    </row>
    <row r="373" ht="12.75" customHeight="1">
      <c r="C373" s="148"/>
      <c r="E373" s="195"/>
      <c r="F373" s="195"/>
      <c r="G373" s="195"/>
      <c r="J373" s="99"/>
    </row>
    <row r="374" ht="12.75" customHeight="1">
      <c r="C374" s="148"/>
      <c r="E374" s="195"/>
      <c r="F374" s="195"/>
      <c r="G374" s="195"/>
      <c r="J374" s="99"/>
    </row>
    <row r="375" ht="12.75" customHeight="1">
      <c r="C375" s="148"/>
      <c r="E375" s="195"/>
      <c r="F375" s="195"/>
      <c r="G375" s="195"/>
      <c r="J375" s="99"/>
    </row>
    <row r="376" ht="12.75" customHeight="1">
      <c r="C376" s="148"/>
      <c r="E376" s="195"/>
      <c r="F376" s="195"/>
      <c r="G376" s="195"/>
      <c r="J376" s="99"/>
    </row>
    <row r="377" ht="12.75" customHeight="1">
      <c r="C377" s="148"/>
      <c r="E377" s="195"/>
      <c r="F377" s="195"/>
      <c r="G377" s="195"/>
      <c r="J377" s="99"/>
    </row>
    <row r="378" ht="12.75" customHeight="1">
      <c r="C378" s="148"/>
      <c r="E378" s="195"/>
      <c r="F378" s="195"/>
      <c r="G378" s="195"/>
      <c r="J378" s="99"/>
    </row>
    <row r="379" ht="12.75" customHeight="1">
      <c r="C379" s="148"/>
      <c r="E379" s="195"/>
      <c r="F379" s="195"/>
      <c r="G379" s="195"/>
      <c r="J379" s="99"/>
    </row>
    <row r="380" ht="12.75" customHeight="1">
      <c r="C380" s="148"/>
      <c r="E380" s="195"/>
      <c r="F380" s="195"/>
      <c r="G380" s="195"/>
      <c r="J380" s="99"/>
    </row>
    <row r="381" ht="12.75" customHeight="1">
      <c r="C381" s="148"/>
      <c r="E381" s="195"/>
      <c r="F381" s="195"/>
      <c r="G381" s="195"/>
      <c r="J381" s="99"/>
    </row>
    <row r="382" ht="12.75" customHeight="1">
      <c r="C382" s="148"/>
      <c r="E382" s="195"/>
      <c r="F382" s="195"/>
      <c r="G382" s="195"/>
      <c r="J382" s="99"/>
    </row>
    <row r="383" ht="12.75" customHeight="1">
      <c r="C383" s="148"/>
      <c r="E383" s="195"/>
      <c r="F383" s="195"/>
      <c r="G383" s="195"/>
      <c r="J383" s="99"/>
    </row>
    <row r="384" ht="12.75" customHeight="1">
      <c r="C384" s="148"/>
      <c r="E384" s="195"/>
      <c r="F384" s="195"/>
      <c r="G384" s="195"/>
      <c r="J384" s="99"/>
    </row>
    <row r="385" ht="12.75" customHeight="1">
      <c r="C385" s="148"/>
      <c r="E385" s="195"/>
      <c r="F385" s="195"/>
      <c r="G385" s="195"/>
      <c r="J385" s="99"/>
    </row>
    <row r="386" ht="12.75" customHeight="1">
      <c r="C386" s="148"/>
      <c r="E386" s="195"/>
      <c r="F386" s="195"/>
      <c r="G386" s="195"/>
      <c r="J386" s="99"/>
    </row>
    <row r="387" ht="12.75" customHeight="1">
      <c r="C387" s="148"/>
      <c r="E387" s="195"/>
      <c r="F387" s="195"/>
      <c r="G387" s="195"/>
      <c r="J387" s="99"/>
    </row>
    <row r="388" ht="12.75" customHeight="1">
      <c r="C388" s="148"/>
      <c r="E388" s="195"/>
      <c r="F388" s="195"/>
      <c r="G388" s="195"/>
      <c r="J388" s="99"/>
    </row>
    <row r="389" ht="12.75" customHeight="1">
      <c r="C389" s="148"/>
      <c r="E389" s="195"/>
      <c r="F389" s="195"/>
      <c r="G389" s="195"/>
      <c r="J389" s="99"/>
    </row>
    <row r="390" ht="12.75" customHeight="1">
      <c r="C390" s="148"/>
      <c r="E390" s="195"/>
      <c r="F390" s="195"/>
      <c r="G390" s="195"/>
      <c r="J390" s="99"/>
    </row>
    <row r="391" ht="12.75" customHeight="1">
      <c r="C391" s="148"/>
      <c r="E391" s="195"/>
      <c r="F391" s="195"/>
      <c r="G391" s="195"/>
      <c r="J391" s="99"/>
    </row>
    <row r="392" ht="12.75" customHeight="1">
      <c r="C392" s="148"/>
      <c r="E392" s="195"/>
      <c r="F392" s="195"/>
      <c r="G392" s="195"/>
      <c r="J392" s="99"/>
    </row>
    <row r="393" ht="12.75" customHeight="1">
      <c r="C393" s="148"/>
      <c r="E393" s="195"/>
      <c r="F393" s="195"/>
      <c r="G393" s="195"/>
      <c r="J393" s="99"/>
    </row>
    <row r="394" ht="12.75" customHeight="1">
      <c r="C394" s="148"/>
      <c r="E394" s="195"/>
      <c r="F394" s="195"/>
      <c r="G394" s="195"/>
      <c r="J394" s="99"/>
    </row>
    <row r="395" ht="12.75" customHeight="1">
      <c r="C395" s="148"/>
      <c r="E395" s="195"/>
      <c r="F395" s="195"/>
      <c r="G395" s="195"/>
      <c r="J395" s="99"/>
    </row>
    <row r="396" ht="12.75" customHeight="1">
      <c r="C396" s="148"/>
      <c r="E396" s="195"/>
      <c r="F396" s="195"/>
      <c r="G396" s="195"/>
      <c r="J396" s="99"/>
    </row>
    <row r="397" ht="12.75" customHeight="1">
      <c r="C397" s="148"/>
      <c r="E397" s="195"/>
      <c r="F397" s="195"/>
      <c r="G397" s="195"/>
      <c r="J397" s="99"/>
    </row>
    <row r="398" ht="12.75" customHeight="1">
      <c r="C398" s="148"/>
      <c r="E398" s="195"/>
      <c r="F398" s="195"/>
      <c r="G398" s="195"/>
      <c r="J398" s="99"/>
    </row>
    <row r="399" ht="12.75" customHeight="1">
      <c r="C399" s="148"/>
      <c r="E399" s="195"/>
      <c r="F399" s="195"/>
      <c r="G399" s="195"/>
      <c r="J399" s="99"/>
    </row>
    <row r="400" ht="12.75" customHeight="1">
      <c r="C400" s="148"/>
      <c r="E400" s="195"/>
      <c r="F400" s="195"/>
      <c r="G400" s="195"/>
      <c r="J400" s="99"/>
    </row>
    <row r="401" ht="12.75" customHeight="1">
      <c r="C401" s="148"/>
      <c r="E401" s="195"/>
      <c r="F401" s="195"/>
      <c r="G401" s="195"/>
      <c r="J401" s="99"/>
    </row>
    <row r="402" ht="12.75" customHeight="1">
      <c r="C402" s="148"/>
      <c r="E402" s="195"/>
      <c r="F402" s="195"/>
      <c r="G402" s="195"/>
      <c r="J402" s="99"/>
    </row>
    <row r="403" ht="12.75" customHeight="1">
      <c r="C403" s="148"/>
      <c r="E403" s="195"/>
      <c r="F403" s="195"/>
      <c r="G403" s="195"/>
      <c r="J403" s="99"/>
    </row>
    <row r="404" ht="12.75" customHeight="1">
      <c r="C404" s="148"/>
      <c r="E404" s="195"/>
      <c r="F404" s="195"/>
      <c r="G404" s="195"/>
      <c r="J404" s="99"/>
    </row>
    <row r="405" ht="12.75" customHeight="1">
      <c r="C405" s="148"/>
      <c r="E405" s="195"/>
      <c r="F405" s="195"/>
      <c r="G405" s="195"/>
      <c r="J405" s="99"/>
    </row>
    <row r="406" ht="12.75" customHeight="1">
      <c r="C406" s="148"/>
      <c r="E406" s="195"/>
      <c r="F406" s="195"/>
      <c r="G406" s="195"/>
      <c r="J406" s="99"/>
    </row>
    <row r="407" ht="12.75" customHeight="1">
      <c r="C407" s="148"/>
      <c r="E407" s="195"/>
      <c r="F407" s="195"/>
      <c r="G407" s="195"/>
      <c r="J407" s="99"/>
    </row>
    <row r="408" ht="12.75" customHeight="1">
      <c r="C408" s="148"/>
      <c r="E408" s="195"/>
      <c r="F408" s="195"/>
      <c r="G408" s="195"/>
      <c r="J408" s="99"/>
    </row>
    <row r="409" ht="12.75" customHeight="1">
      <c r="C409" s="148"/>
      <c r="E409" s="195"/>
      <c r="F409" s="195"/>
      <c r="G409" s="195"/>
      <c r="J409" s="99"/>
    </row>
    <row r="410" ht="12.75" customHeight="1">
      <c r="C410" s="148"/>
      <c r="E410" s="195"/>
      <c r="F410" s="195"/>
      <c r="G410" s="195"/>
      <c r="J410" s="99"/>
    </row>
    <row r="411" ht="12.75" customHeight="1">
      <c r="C411" s="148"/>
      <c r="E411" s="195"/>
      <c r="F411" s="195"/>
      <c r="G411" s="195"/>
      <c r="J411" s="99"/>
    </row>
    <row r="412" ht="12.75" customHeight="1">
      <c r="C412" s="148"/>
      <c r="E412" s="195"/>
      <c r="F412" s="195"/>
      <c r="G412" s="195"/>
      <c r="J412" s="99"/>
    </row>
    <row r="413" ht="12.75" customHeight="1">
      <c r="C413" s="148"/>
      <c r="E413" s="195"/>
      <c r="F413" s="195"/>
      <c r="G413" s="195"/>
      <c r="J413" s="99"/>
    </row>
    <row r="414" ht="12.75" customHeight="1">
      <c r="C414" s="148"/>
      <c r="E414" s="195"/>
      <c r="F414" s="195"/>
      <c r="G414" s="195"/>
      <c r="J414" s="99"/>
    </row>
    <row r="415" ht="12.75" customHeight="1">
      <c r="C415" s="148"/>
      <c r="E415" s="195"/>
      <c r="F415" s="195"/>
      <c r="G415" s="195"/>
      <c r="J415" s="99"/>
    </row>
    <row r="416" ht="12.75" customHeight="1">
      <c r="C416" s="148"/>
      <c r="E416" s="195"/>
      <c r="F416" s="195"/>
      <c r="G416" s="195"/>
      <c r="J416" s="99"/>
    </row>
    <row r="417" ht="12.75" customHeight="1">
      <c r="C417" s="148"/>
      <c r="E417" s="195"/>
      <c r="F417" s="195"/>
      <c r="G417" s="195"/>
      <c r="J417" s="99"/>
    </row>
    <row r="418" ht="12.75" customHeight="1">
      <c r="C418" s="148"/>
      <c r="E418" s="195"/>
      <c r="F418" s="195"/>
      <c r="G418" s="195"/>
      <c r="J418" s="99"/>
    </row>
    <row r="419" ht="12.75" customHeight="1">
      <c r="C419" s="148"/>
      <c r="E419" s="195"/>
      <c r="F419" s="195"/>
      <c r="G419" s="195"/>
      <c r="J419" s="99"/>
    </row>
    <row r="420" ht="12.75" customHeight="1">
      <c r="C420" s="148"/>
      <c r="E420" s="195"/>
      <c r="F420" s="195"/>
      <c r="G420" s="195"/>
      <c r="J420" s="99"/>
    </row>
    <row r="421" ht="12.75" customHeight="1">
      <c r="C421" s="148"/>
      <c r="E421" s="195"/>
      <c r="F421" s="195"/>
      <c r="G421" s="195"/>
      <c r="J421" s="99"/>
    </row>
    <row r="422" ht="12.75" customHeight="1">
      <c r="C422" s="148"/>
      <c r="E422" s="195"/>
      <c r="F422" s="195"/>
      <c r="G422" s="195"/>
      <c r="J422" s="99"/>
    </row>
    <row r="423" ht="12.75" customHeight="1">
      <c r="C423" s="148"/>
      <c r="E423" s="195"/>
      <c r="F423" s="195"/>
      <c r="G423" s="195"/>
      <c r="J423" s="99"/>
    </row>
    <row r="424" ht="12.75" customHeight="1">
      <c r="C424" s="148"/>
      <c r="E424" s="195"/>
      <c r="F424" s="195"/>
      <c r="G424" s="195"/>
      <c r="J424" s="99"/>
    </row>
    <row r="425" ht="12.75" customHeight="1">
      <c r="C425" s="148"/>
      <c r="E425" s="195"/>
      <c r="F425" s="195"/>
      <c r="G425" s="195"/>
      <c r="J425" s="99"/>
    </row>
    <row r="426" ht="12.75" customHeight="1">
      <c r="C426" s="148"/>
      <c r="E426" s="195"/>
      <c r="F426" s="195"/>
      <c r="G426" s="195"/>
      <c r="J426" s="99"/>
    </row>
    <row r="427" ht="12.75" customHeight="1">
      <c r="C427" s="148"/>
      <c r="E427" s="195"/>
      <c r="F427" s="195"/>
      <c r="G427" s="195"/>
      <c r="J427" s="99"/>
    </row>
    <row r="428" ht="12.75" customHeight="1">
      <c r="C428" s="148"/>
      <c r="E428" s="195"/>
      <c r="F428" s="195"/>
      <c r="G428" s="195"/>
      <c r="J428" s="99"/>
    </row>
    <row r="429" ht="12.75" customHeight="1">
      <c r="C429" s="148"/>
      <c r="E429" s="195"/>
      <c r="F429" s="195"/>
      <c r="G429" s="195"/>
      <c r="J429" s="99"/>
    </row>
    <row r="430" ht="12.75" customHeight="1">
      <c r="C430" s="148"/>
      <c r="E430" s="195"/>
      <c r="F430" s="195"/>
      <c r="G430" s="195"/>
      <c r="J430" s="99"/>
    </row>
    <row r="431" ht="12.75" customHeight="1">
      <c r="C431" s="148"/>
      <c r="E431" s="195"/>
      <c r="F431" s="195"/>
      <c r="G431" s="195"/>
      <c r="J431" s="99"/>
    </row>
    <row r="432" ht="12.75" customHeight="1">
      <c r="C432" s="148"/>
      <c r="E432" s="195"/>
      <c r="F432" s="195"/>
      <c r="G432" s="195"/>
      <c r="J432" s="99"/>
    </row>
    <row r="433" ht="12.75" customHeight="1">
      <c r="C433" s="148"/>
      <c r="E433" s="195"/>
      <c r="F433" s="195"/>
      <c r="G433" s="195"/>
      <c r="J433" s="99"/>
    </row>
    <row r="434" ht="12.75" customHeight="1">
      <c r="C434" s="148"/>
      <c r="E434" s="195"/>
      <c r="F434" s="195"/>
      <c r="G434" s="195"/>
      <c r="J434" s="99"/>
    </row>
    <row r="435" ht="12.75" customHeight="1">
      <c r="C435" s="148"/>
      <c r="E435" s="195"/>
      <c r="F435" s="195"/>
      <c r="G435" s="195"/>
      <c r="J435" s="99"/>
    </row>
    <row r="436" ht="12.75" customHeight="1">
      <c r="C436" s="148"/>
      <c r="E436" s="195"/>
      <c r="F436" s="195"/>
      <c r="G436" s="195"/>
      <c r="J436" s="99"/>
    </row>
    <row r="437" ht="12.75" customHeight="1">
      <c r="C437" s="148"/>
      <c r="E437" s="195"/>
      <c r="F437" s="195"/>
      <c r="G437" s="195"/>
      <c r="J437" s="99"/>
    </row>
    <row r="438" ht="12.75" customHeight="1">
      <c r="C438" s="148"/>
      <c r="E438" s="195"/>
      <c r="F438" s="195"/>
      <c r="G438" s="195"/>
      <c r="J438" s="99"/>
    </row>
    <row r="439" ht="12.75" customHeight="1">
      <c r="C439" s="148"/>
      <c r="E439" s="195"/>
      <c r="F439" s="195"/>
      <c r="G439" s="195"/>
      <c r="J439" s="99"/>
    </row>
    <row r="440" ht="12.75" customHeight="1">
      <c r="C440" s="148"/>
      <c r="E440" s="195"/>
      <c r="F440" s="195"/>
      <c r="G440" s="195"/>
      <c r="J440" s="99"/>
    </row>
    <row r="441" ht="12.75" customHeight="1">
      <c r="C441" s="148"/>
      <c r="E441" s="195"/>
      <c r="F441" s="195"/>
      <c r="G441" s="195"/>
      <c r="J441" s="99"/>
    </row>
    <row r="442" ht="12.75" customHeight="1">
      <c r="C442" s="148"/>
      <c r="E442" s="195"/>
      <c r="F442" s="195"/>
      <c r="G442" s="195"/>
      <c r="J442" s="99"/>
    </row>
    <row r="443" ht="12.75" customHeight="1">
      <c r="C443" s="148"/>
      <c r="E443" s="195"/>
      <c r="F443" s="195"/>
      <c r="G443" s="195"/>
      <c r="J443" s="99"/>
    </row>
    <row r="444" ht="12.75" customHeight="1">
      <c r="C444" s="148"/>
      <c r="E444" s="195"/>
      <c r="F444" s="195"/>
      <c r="G444" s="195"/>
      <c r="J444" s="99"/>
    </row>
    <row r="445" ht="12.75" customHeight="1">
      <c r="C445" s="148"/>
      <c r="E445" s="195"/>
      <c r="F445" s="195"/>
      <c r="G445" s="195"/>
      <c r="J445" s="99"/>
    </row>
    <row r="446" ht="12.75" customHeight="1">
      <c r="C446" s="148"/>
      <c r="E446" s="195"/>
      <c r="F446" s="195"/>
      <c r="G446" s="195"/>
      <c r="J446" s="99"/>
    </row>
    <row r="447" ht="12.75" customHeight="1">
      <c r="C447" s="148"/>
      <c r="E447" s="195"/>
      <c r="F447" s="195"/>
      <c r="G447" s="195"/>
      <c r="J447" s="99"/>
    </row>
    <row r="448" ht="12.75" customHeight="1">
      <c r="C448" s="148"/>
      <c r="E448" s="195"/>
      <c r="F448" s="195"/>
      <c r="G448" s="195"/>
      <c r="J448" s="99"/>
    </row>
    <row r="449" ht="12.75" customHeight="1">
      <c r="C449" s="148"/>
      <c r="E449" s="195"/>
      <c r="F449" s="195"/>
      <c r="G449" s="195"/>
      <c r="J449" s="99"/>
    </row>
    <row r="450" ht="12.75" customHeight="1">
      <c r="C450" s="148"/>
      <c r="E450" s="195"/>
      <c r="F450" s="195"/>
      <c r="G450" s="195"/>
      <c r="J450" s="99"/>
    </row>
    <row r="451" ht="12.75" customHeight="1">
      <c r="C451" s="148"/>
      <c r="E451" s="195"/>
      <c r="F451" s="195"/>
      <c r="G451" s="195"/>
      <c r="J451" s="99"/>
    </row>
    <row r="452" ht="12.75" customHeight="1">
      <c r="C452" s="148"/>
      <c r="E452" s="195"/>
      <c r="F452" s="195"/>
      <c r="G452" s="195"/>
      <c r="J452" s="99"/>
    </row>
    <row r="453" ht="12.75" customHeight="1">
      <c r="C453" s="148"/>
      <c r="E453" s="195"/>
      <c r="F453" s="195"/>
      <c r="G453" s="195"/>
      <c r="J453" s="99"/>
    </row>
    <row r="454" ht="12.75" customHeight="1">
      <c r="C454" s="148"/>
      <c r="E454" s="195"/>
      <c r="F454" s="195"/>
      <c r="G454" s="195"/>
      <c r="J454" s="99"/>
    </row>
    <row r="455" ht="12.75" customHeight="1">
      <c r="C455" s="148"/>
      <c r="E455" s="195"/>
      <c r="F455" s="195"/>
      <c r="G455" s="195"/>
      <c r="J455" s="99"/>
    </row>
    <row r="456" ht="12.75" customHeight="1">
      <c r="C456" s="148"/>
      <c r="E456" s="195"/>
      <c r="F456" s="195"/>
      <c r="G456" s="195"/>
      <c r="J456" s="99"/>
    </row>
    <row r="457" ht="12.75" customHeight="1">
      <c r="C457" s="148"/>
      <c r="E457" s="195"/>
      <c r="F457" s="195"/>
      <c r="G457" s="195"/>
      <c r="J457" s="99"/>
    </row>
    <row r="458" ht="12.75" customHeight="1">
      <c r="C458" s="148"/>
      <c r="E458" s="195"/>
      <c r="F458" s="195"/>
      <c r="G458" s="195"/>
      <c r="J458" s="99"/>
    </row>
    <row r="459" ht="12.75" customHeight="1">
      <c r="C459" s="148"/>
      <c r="E459" s="195"/>
      <c r="F459" s="195"/>
      <c r="G459" s="195"/>
      <c r="J459" s="99"/>
    </row>
    <row r="460" ht="12.75" customHeight="1">
      <c r="C460" s="148"/>
      <c r="E460" s="195"/>
      <c r="F460" s="195"/>
      <c r="G460" s="195"/>
      <c r="J460" s="99"/>
    </row>
    <row r="461" ht="12.75" customHeight="1">
      <c r="C461" s="148"/>
      <c r="E461" s="195"/>
      <c r="F461" s="195"/>
      <c r="G461" s="195"/>
      <c r="J461" s="99"/>
    </row>
    <row r="462" ht="12.75" customHeight="1">
      <c r="C462" s="148"/>
      <c r="E462" s="195"/>
      <c r="F462" s="195"/>
      <c r="G462" s="195"/>
      <c r="J462" s="99"/>
    </row>
    <row r="463" ht="12.75" customHeight="1">
      <c r="C463" s="148"/>
      <c r="E463" s="195"/>
      <c r="F463" s="195"/>
      <c r="G463" s="195"/>
      <c r="J463" s="99"/>
    </row>
    <row r="464" ht="12.75" customHeight="1">
      <c r="C464" s="148"/>
      <c r="E464" s="195"/>
      <c r="F464" s="195"/>
      <c r="G464" s="195"/>
      <c r="J464" s="99"/>
    </row>
    <row r="465" ht="12.75" customHeight="1">
      <c r="C465" s="148"/>
      <c r="E465" s="195"/>
      <c r="F465" s="195"/>
      <c r="G465" s="195"/>
      <c r="J465" s="99"/>
    </row>
    <row r="466" ht="12.75" customHeight="1">
      <c r="C466" s="148"/>
      <c r="E466" s="195"/>
      <c r="F466" s="195"/>
      <c r="G466" s="195"/>
      <c r="J466" s="99"/>
    </row>
    <row r="467" ht="12.75" customHeight="1">
      <c r="C467" s="148"/>
      <c r="E467" s="195"/>
      <c r="F467" s="195"/>
      <c r="G467" s="195"/>
      <c r="J467" s="99"/>
    </row>
    <row r="468" ht="12.75" customHeight="1">
      <c r="C468" s="148"/>
      <c r="E468" s="195"/>
      <c r="F468" s="195"/>
      <c r="G468" s="195"/>
      <c r="J468" s="99"/>
    </row>
    <row r="469" ht="12.75" customHeight="1">
      <c r="C469" s="148"/>
      <c r="E469" s="195"/>
      <c r="F469" s="195"/>
      <c r="G469" s="195"/>
      <c r="J469" s="99"/>
    </row>
    <row r="470" ht="12.75" customHeight="1">
      <c r="C470" s="148"/>
      <c r="E470" s="195"/>
      <c r="F470" s="195"/>
      <c r="G470" s="195"/>
      <c r="J470" s="99"/>
    </row>
    <row r="471" ht="12.75" customHeight="1">
      <c r="C471" s="148"/>
      <c r="E471" s="195"/>
      <c r="F471" s="195"/>
      <c r="G471" s="195"/>
      <c r="J471" s="99"/>
    </row>
    <row r="472" ht="12.75" customHeight="1">
      <c r="C472" s="148"/>
      <c r="E472" s="195"/>
      <c r="F472" s="195"/>
      <c r="G472" s="195"/>
      <c r="J472" s="99"/>
    </row>
    <row r="473" ht="12.75" customHeight="1">
      <c r="C473" s="148"/>
      <c r="E473" s="195"/>
      <c r="F473" s="195"/>
      <c r="G473" s="195"/>
      <c r="J473" s="99"/>
    </row>
    <row r="474" ht="12.75" customHeight="1">
      <c r="C474" s="148"/>
      <c r="E474" s="195"/>
      <c r="F474" s="195"/>
      <c r="G474" s="195"/>
      <c r="J474" s="99"/>
    </row>
    <row r="475" ht="12.75" customHeight="1">
      <c r="C475" s="148"/>
      <c r="E475" s="195"/>
      <c r="F475" s="195"/>
      <c r="G475" s="195"/>
      <c r="J475" s="99"/>
    </row>
    <row r="476" ht="12.75" customHeight="1">
      <c r="C476" s="148"/>
      <c r="E476" s="195"/>
      <c r="F476" s="195"/>
      <c r="G476" s="195"/>
      <c r="J476" s="99"/>
    </row>
    <row r="477" ht="12.75" customHeight="1">
      <c r="C477" s="148"/>
      <c r="E477" s="195"/>
      <c r="F477" s="195"/>
      <c r="G477" s="195"/>
      <c r="J477" s="99"/>
    </row>
    <row r="478" ht="12.75" customHeight="1">
      <c r="C478" s="148"/>
      <c r="E478" s="195"/>
      <c r="F478" s="195"/>
      <c r="G478" s="195"/>
      <c r="J478" s="99"/>
    </row>
    <row r="479" ht="12.75" customHeight="1">
      <c r="C479" s="148"/>
      <c r="E479" s="195"/>
      <c r="F479" s="195"/>
      <c r="G479" s="195"/>
      <c r="J479" s="99"/>
    </row>
    <row r="480" ht="12.75" customHeight="1">
      <c r="C480" s="148"/>
      <c r="E480" s="195"/>
      <c r="F480" s="195"/>
      <c r="G480" s="195"/>
      <c r="J480" s="99"/>
    </row>
    <row r="481" ht="12.75" customHeight="1">
      <c r="C481" s="148"/>
      <c r="E481" s="195"/>
      <c r="F481" s="195"/>
      <c r="G481" s="195"/>
      <c r="J481" s="99"/>
    </row>
    <row r="482" ht="12.75" customHeight="1">
      <c r="C482" s="148"/>
      <c r="E482" s="195"/>
      <c r="F482" s="195"/>
      <c r="G482" s="195"/>
      <c r="J482" s="99"/>
    </row>
    <row r="483" ht="12.75" customHeight="1">
      <c r="C483" s="148"/>
      <c r="E483" s="195"/>
      <c r="F483" s="195"/>
      <c r="G483" s="195"/>
      <c r="J483" s="99"/>
    </row>
    <row r="484" ht="12.75" customHeight="1">
      <c r="C484" s="148"/>
      <c r="E484" s="195"/>
      <c r="F484" s="195"/>
      <c r="G484" s="195"/>
      <c r="J484" s="99"/>
    </row>
    <row r="485" ht="12.75" customHeight="1">
      <c r="C485" s="148"/>
      <c r="E485" s="195"/>
      <c r="F485" s="195"/>
      <c r="G485" s="195"/>
      <c r="J485" s="99"/>
    </row>
    <row r="486" ht="12.75" customHeight="1">
      <c r="C486" s="148"/>
      <c r="E486" s="195"/>
      <c r="F486" s="195"/>
      <c r="G486" s="195"/>
      <c r="J486" s="99"/>
    </row>
    <row r="487" ht="12.75" customHeight="1">
      <c r="C487" s="148"/>
      <c r="E487" s="195"/>
      <c r="F487" s="195"/>
      <c r="G487" s="195"/>
      <c r="J487" s="99"/>
    </row>
    <row r="488" ht="12.75" customHeight="1">
      <c r="C488" s="148"/>
      <c r="E488" s="195"/>
      <c r="F488" s="195"/>
      <c r="G488" s="195"/>
      <c r="J488" s="99"/>
    </row>
    <row r="489" ht="12.75" customHeight="1">
      <c r="C489" s="148"/>
      <c r="E489" s="195"/>
      <c r="F489" s="195"/>
      <c r="G489" s="195"/>
      <c r="J489" s="99"/>
    </row>
    <row r="490" ht="12.75" customHeight="1">
      <c r="C490" s="148"/>
      <c r="E490" s="195"/>
      <c r="F490" s="195"/>
      <c r="G490" s="195"/>
      <c r="J490" s="99"/>
    </row>
    <row r="491" ht="12.75" customHeight="1">
      <c r="C491" s="148"/>
      <c r="E491" s="195"/>
      <c r="F491" s="195"/>
      <c r="G491" s="195"/>
      <c r="J491" s="99"/>
    </row>
    <row r="492" ht="12.75" customHeight="1">
      <c r="C492" s="148"/>
      <c r="E492" s="195"/>
      <c r="F492" s="195"/>
      <c r="G492" s="195"/>
      <c r="J492" s="99"/>
    </row>
    <row r="493" ht="12.75" customHeight="1">
      <c r="C493" s="148"/>
      <c r="E493" s="195"/>
      <c r="F493" s="195"/>
      <c r="G493" s="195"/>
      <c r="J493" s="99"/>
    </row>
    <row r="494" ht="12.75" customHeight="1">
      <c r="C494" s="148"/>
      <c r="E494" s="195"/>
      <c r="F494" s="195"/>
      <c r="G494" s="195"/>
      <c r="J494" s="99"/>
    </row>
    <row r="495" ht="12.75" customHeight="1">
      <c r="C495" s="148"/>
      <c r="E495" s="195"/>
      <c r="F495" s="195"/>
      <c r="G495" s="195"/>
      <c r="J495" s="99"/>
    </row>
    <row r="496" ht="12.75" customHeight="1">
      <c r="C496" s="148"/>
      <c r="E496" s="195"/>
      <c r="F496" s="195"/>
      <c r="G496" s="195"/>
      <c r="J496" s="99"/>
    </row>
    <row r="497" ht="12.75" customHeight="1">
      <c r="C497" s="148"/>
      <c r="E497" s="195"/>
      <c r="F497" s="195"/>
      <c r="G497" s="195"/>
      <c r="J497" s="99"/>
    </row>
    <row r="498" ht="12.75" customHeight="1">
      <c r="C498" s="148"/>
      <c r="E498" s="195"/>
      <c r="F498" s="195"/>
      <c r="G498" s="195"/>
      <c r="J498" s="99"/>
    </row>
    <row r="499" ht="12.75" customHeight="1">
      <c r="C499" s="148"/>
      <c r="E499" s="195"/>
      <c r="F499" s="195"/>
      <c r="G499" s="195"/>
      <c r="J499" s="99"/>
    </row>
    <row r="500" ht="12.75" customHeight="1">
      <c r="C500" s="148"/>
      <c r="E500" s="195"/>
      <c r="F500" s="195"/>
      <c r="G500" s="195"/>
      <c r="J500" s="99"/>
    </row>
    <row r="501" ht="12.75" customHeight="1">
      <c r="C501" s="148"/>
      <c r="E501" s="195"/>
      <c r="F501" s="195"/>
      <c r="G501" s="195"/>
      <c r="J501" s="99"/>
    </row>
    <row r="502" ht="12.75" customHeight="1">
      <c r="C502" s="148"/>
      <c r="E502" s="195"/>
      <c r="F502" s="195"/>
      <c r="G502" s="195"/>
      <c r="J502" s="99"/>
    </row>
    <row r="503" ht="12.75" customHeight="1">
      <c r="C503" s="148"/>
      <c r="E503" s="195"/>
      <c r="F503" s="195"/>
      <c r="G503" s="195"/>
      <c r="J503" s="99"/>
    </row>
    <row r="504" ht="12.75" customHeight="1">
      <c r="C504" s="148"/>
      <c r="E504" s="195"/>
      <c r="F504" s="195"/>
      <c r="G504" s="195"/>
      <c r="J504" s="99"/>
    </row>
    <row r="505" ht="12.75" customHeight="1">
      <c r="C505" s="148"/>
      <c r="E505" s="195"/>
      <c r="F505" s="195"/>
      <c r="G505" s="195"/>
      <c r="J505" s="99"/>
    </row>
    <row r="506" ht="12.75" customHeight="1">
      <c r="C506" s="148"/>
      <c r="E506" s="195"/>
      <c r="F506" s="195"/>
      <c r="G506" s="195"/>
      <c r="J506" s="99"/>
    </row>
    <row r="507" ht="12.75" customHeight="1">
      <c r="C507" s="148"/>
      <c r="E507" s="195"/>
      <c r="F507" s="195"/>
      <c r="G507" s="195"/>
      <c r="J507" s="99"/>
    </row>
    <row r="508" ht="12.75" customHeight="1">
      <c r="C508" s="148"/>
      <c r="E508" s="195"/>
      <c r="F508" s="195"/>
      <c r="G508" s="195"/>
      <c r="J508" s="99"/>
    </row>
    <row r="509" ht="12.75" customHeight="1">
      <c r="C509" s="148"/>
      <c r="E509" s="195"/>
      <c r="F509" s="195"/>
      <c r="G509" s="195"/>
      <c r="J509" s="99"/>
    </row>
    <row r="510" ht="12.75" customHeight="1">
      <c r="C510" s="148"/>
      <c r="E510" s="195"/>
      <c r="F510" s="195"/>
      <c r="G510" s="195"/>
      <c r="J510" s="99"/>
    </row>
    <row r="511" ht="12.75" customHeight="1">
      <c r="C511" s="148"/>
      <c r="E511" s="195"/>
      <c r="F511" s="195"/>
      <c r="G511" s="195"/>
      <c r="J511" s="99"/>
    </row>
    <row r="512" ht="12.75" customHeight="1">
      <c r="C512" s="148"/>
      <c r="E512" s="195"/>
      <c r="F512" s="195"/>
      <c r="G512" s="195"/>
      <c r="J512" s="99"/>
    </row>
    <row r="513" ht="12.75" customHeight="1">
      <c r="C513" s="148"/>
      <c r="E513" s="195"/>
      <c r="F513" s="195"/>
      <c r="G513" s="195"/>
      <c r="J513" s="99"/>
    </row>
    <row r="514" ht="12.75" customHeight="1">
      <c r="C514" s="148"/>
      <c r="E514" s="195"/>
      <c r="F514" s="195"/>
      <c r="G514" s="195"/>
      <c r="J514" s="99"/>
    </row>
    <row r="515" ht="12.75" customHeight="1">
      <c r="C515" s="148"/>
      <c r="E515" s="195"/>
      <c r="F515" s="195"/>
      <c r="G515" s="195"/>
      <c r="J515" s="99"/>
    </row>
    <row r="516" ht="12.75" customHeight="1">
      <c r="C516" s="148"/>
      <c r="E516" s="195"/>
      <c r="F516" s="195"/>
      <c r="G516" s="195"/>
      <c r="J516" s="99"/>
    </row>
    <row r="517" ht="12.75" customHeight="1">
      <c r="C517" s="148"/>
      <c r="E517" s="195"/>
      <c r="F517" s="195"/>
      <c r="G517" s="195"/>
      <c r="J517" s="99"/>
    </row>
    <row r="518" ht="12.75" customHeight="1">
      <c r="C518" s="148"/>
      <c r="E518" s="195"/>
      <c r="F518" s="195"/>
      <c r="G518" s="195"/>
      <c r="J518" s="99"/>
    </row>
    <row r="519" ht="12.75" customHeight="1">
      <c r="C519" s="148"/>
      <c r="E519" s="195"/>
      <c r="F519" s="195"/>
      <c r="G519" s="195"/>
      <c r="J519" s="99"/>
    </row>
    <row r="520" ht="12.75" customHeight="1">
      <c r="C520" s="148"/>
      <c r="E520" s="195"/>
      <c r="F520" s="195"/>
      <c r="G520" s="195"/>
      <c r="J520" s="99"/>
    </row>
    <row r="521" ht="12.75" customHeight="1">
      <c r="C521" s="148"/>
      <c r="E521" s="195"/>
      <c r="F521" s="195"/>
      <c r="G521" s="195"/>
      <c r="J521" s="99"/>
    </row>
    <row r="522" ht="12.75" customHeight="1">
      <c r="C522" s="148"/>
      <c r="E522" s="195"/>
      <c r="F522" s="195"/>
      <c r="G522" s="195"/>
      <c r="J522" s="99"/>
    </row>
    <row r="523" ht="12.75" customHeight="1">
      <c r="C523" s="148"/>
      <c r="E523" s="195"/>
      <c r="F523" s="195"/>
      <c r="G523" s="195"/>
      <c r="J523" s="99"/>
    </row>
    <row r="524" ht="12.75" customHeight="1">
      <c r="C524" s="148"/>
      <c r="E524" s="195"/>
      <c r="F524" s="195"/>
      <c r="G524" s="195"/>
      <c r="J524" s="99"/>
    </row>
    <row r="525" ht="12.75" customHeight="1">
      <c r="C525" s="148"/>
      <c r="E525" s="195"/>
      <c r="F525" s="195"/>
      <c r="G525" s="195"/>
      <c r="J525" s="99"/>
    </row>
    <row r="526" ht="12.75" customHeight="1">
      <c r="C526" s="148"/>
      <c r="E526" s="195"/>
      <c r="F526" s="195"/>
      <c r="G526" s="195"/>
      <c r="J526" s="99"/>
    </row>
    <row r="527" ht="12.75" customHeight="1">
      <c r="C527" s="148"/>
      <c r="E527" s="195"/>
      <c r="F527" s="195"/>
      <c r="G527" s="195"/>
      <c r="J527" s="99"/>
    </row>
    <row r="528" ht="12.75" customHeight="1">
      <c r="C528" s="148"/>
      <c r="E528" s="195"/>
      <c r="F528" s="195"/>
      <c r="G528" s="195"/>
      <c r="J528" s="99"/>
    </row>
    <row r="529" ht="12.75" customHeight="1">
      <c r="C529" s="148"/>
      <c r="E529" s="195"/>
      <c r="F529" s="195"/>
      <c r="G529" s="195"/>
      <c r="J529" s="99"/>
    </row>
    <row r="530" ht="12.75" customHeight="1">
      <c r="C530" s="148"/>
      <c r="E530" s="195"/>
      <c r="F530" s="195"/>
      <c r="G530" s="195"/>
      <c r="J530" s="99"/>
    </row>
    <row r="531" ht="12.75" customHeight="1">
      <c r="C531" s="148"/>
      <c r="E531" s="195"/>
      <c r="F531" s="195"/>
      <c r="G531" s="195"/>
      <c r="J531" s="99"/>
    </row>
    <row r="532" ht="12.75" customHeight="1">
      <c r="C532" s="148"/>
      <c r="E532" s="195"/>
      <c r="F532" s="195"/>
      <c r="G532" s="195"/>
      <c r="J532" s="99"/>
    </row>
    <row r="533" ht="12.75" customHeight="1">
      <c r="C533" s="148"/>
      <c r="E533" s="195"/>
      <c r="F533" s="195"/>
      <c r="G533" s="195"/>
      <c r="J533" s="99"/>
    </row>
    <row r="534" ht="12.75" customHeight="1">
      <c r="C534" s="148"/>
      <c r="E534" s="195"/>
      <c r="F534" s="195"/>
      <c r="G534" s="195"/>
      <c r="J534" s="99"/>
    </row>
    <row r="535" ht="12.75" customHeight="1">
      <c r="C535" s="148"/>
      <c r="E535" s="195"/>
      <c r="F535" s="195"/>
      <c r="G535" s="195"/>
      <c r="J535" s="99"/>
    </row>
    <row r="536" ht="12.75" customHeight="1">
      <c r="C536" s="148"/>
      <c r="E536" s="195"/>
      <c r="F536" s="195"/>
      <c r="G536" s="195"/>
      <c r="J536" s="99"/>
    </row>
    <row r="537" ht="12.75" customHeight="1">
      <c r="C537" s="148"/>
      <c r="E537" s="195"/>
      <c r="F537" s="195"/>
      <c r="G537" s="195"/>
      <c r="J537" s="99"/>
    </row>
    <row r="538" ht="12.75" customHeight="1">
      <c r="C538" s="148"/>
      <c r="E538" s="195"/>
      <c r="F538" s="195"/>
      <c r="G538" s="195"/>
      <c r="J538" s="99"/>
    </row>
    <row r="539" ht="12.75" customHeight="1">
      <c r="C539" s="148"/>
      <c r="E539" s="195"/>
      <c r="F539" s="195"/>
      <c r="G539" s="195"/>
      <c r="J539" s="99"/>
    </row>
    <row r="540" ht="12.75" customHeight="1">
      <c r="C540" s="148"/>
      <c r="E540" s="195"/>
      <c r="F540" s="195"/>
      <c r="G540" s="195"/>
      <c r="J540" s="99"/>
    </row>
    <row r="541" ht="12.75" customHeight="1">
      <c r="C541" s="148"/>
      <c r="E541" s="195"/>
      <c r="F541" s="195"/>
      <c r="G541" s="195"/>
      <c r="J541" s="99"/>
    </row>
    <row r="542" ht="12.75" customHeight="1">
      <c r="C542" s="148"/>
      <c r="E542" s="195"/>
      <c r="F542" s="195"/>
      <c r="G542" s="195"/>
      <c r="J542" s="99"/>
    </row>
    <row r="543" ht="12.75" customHeight="1">
      <c r="C543" s="148"/>
      <c r="E543" s="195"/>
      <c r="F543" s="195"/>
      <c r="G543" s="195"/>
      <c r="J543" s="99"/>
    </row>
    <row r="544" ht="12.75" customHeight="1">
      <c r="C544" s="148"/>
      <c r="E544" s="195"/>
      <c r="F544" s="195"/>
      <c r="G544" s="195"/>
      <c r="J544" s="99"/>
    </row>
    <row r="545" ht="12.75" customHeight="1">
      <c r="C545" s="148"/>
      <c r="E545" s="195"/>
      <c r="F545" s="195"/>
      <c r="G545" s="195"/>
      <c r="J545" s="99"/>
    </row>
    <row r="546" ht="12.75" customHeight="1">
      <c r="C546" s="148"/>
      <c r="E546" s="195"/>
      <c r="F546" s="195"/>
      <c r="G546" s="195"/>
      <c r="J546" s="99"/>
    </row>
    <row r="547" ht="12.75" customHeight="1">
      <c r="C547" s="148"/>
      <c r="E547" s="195"/>
      <c r="F547" s="195"/>
      <c r="G547" s="195"/>
      <c r="J547" s="99"/>
    </row>
    <row r="548" ht="12.75" customHeight="1">
      <c r="C548" s="148"/>
      <c r="E548" s="195"/>
      <c r="F548" s="195"/>
      <c r="G548" s="195"/>
      <c r="J548" s="99"/>
    </row>
    <row r="549" ht="12.75" customHeight="1">
      <c r="C549" s="148"/>
      <c r="E549" s="195"/>
      <c r="F549" s="195"/>
      <c r="G549" s="195"/>
      <c r="J549" s="99"/>
    </row>
    <row r="550" ht="12.75" customHeight="1">
      <c r="C550" s="148"/>
      <c r="E550" s="195"/>
      <c r="F550" s="195"/>
      <c r="G550" s="195"/>
      <c r="J550" s="99"/>
    </row>
    <row r="551" ht="12.75" customHeight="1">
      <c r="C551" s="148"/>
      <c r="E551" s="195"/>
      <c r="F551" s="195"/>
      <c r="G551" s="195"/>
      <c r="J551" s="99"/>
    </row>
    <row r="552" ht="12.75" customHeight="1">
      <c r="C552" s="148"/>
      <c r="E552" s="195"/>
      <c r="F552" s="195"/>
      <c r="G552" s="195"/>
      <c r="J552" s="99"/>
    </row>
    <row r="553" ht="12.75" customHeight="1">
      <c r="C553" s="148"/>
      <c r="E553" s="195"/>
      <c r="F553" s="195"/>
      <c r="G553" s="195"/>
      <c r="J553" s="99"/>
    </row>
    <row r="554" ht="12.75" customHeight="1">
      <c r="C554" s="148"/>
      <c r="E554" s="195"/>
      <c r="F554" s="195"/>
      <c r="G554" s="195"/>
      <c r="J554" s="99"/>
    </row>
    <row r="555" ht="12.75" customHeight="1">
      <c r="C555" s="148"/>
      <c r="E555" s="195"/>
      <c r="F555" s="195"/>
      <c r="G555" s="195"/>
      <c r="J555" s="99"/>
    </row>
    <row r="556" ht="12.75" customHeight="1">
      <c r="C556" s="148"/>
      <c r="E556" s="195"/>
      <c r="F556" s="195"/>
      <c r="G556" s="195"/>
      <c r="J556" s="99"/>
    </row>
    <row r="557" ht="12.75" customHeight="1">
      <c r="C557" s="148"/>
      <c r="E557" s="195"/>
      <c r="F557" s="195"/>
      <c r="G557" s="195"/>
      <c r="J557" s="99"/>
    </row>
    <row r="558" ht="12.75" customHeight="1">
      <c r="C558" s="148"/>
      <c r="E558" s="195"/>
      <c r="F558" s="195"/>
      <c r="G558" s="195"/>
      <c r="J558" s="99"/>
    </row>
    <row r="559" ht="12.75" customHeight="1">
      <c r="C559" s="148"/>
      <c r="E559" s="195"/>
      <c r="F559" s="195"/>
      <c r="G559" s="195"/>
      <c r="J559" s="99"/>
    </row>
    <row r="560" ht="12.75" customHeight="1">
      <c r="C560" s="148"/>
      <c r="E560" s="195"/>
      <c r="F560" s="195"/>
      <c r="G560" s="195"/>
      <c r="J560" s="99"/>
    </row>
    <row r="561" ht="12.75" customHeight="1">
      <c r="C561" s="148"/>
      <c r="E561" s="195"/>
      <c r="F561" s="195"/>
      <c r="G561" s="195"/>
      <c r="J561" s="99"/>
    </row>
    <row r="562" ht="12.75" customHeight="1">
      <c r="C562" s="148"/>
      <c r="E562" s="195"/>
      <c r="F562" s="195"/>
      <c r="G562" s="195"/>
      <c r="J562" s="99"/>
    </row>
    <row r="563" ht="12.75" customHeight="1">
      <c r="C563" s="148"/>
      <c r="E563" s="195"/>
      <c r="F563" s="195"/>
      <c r="G563" s="195"/>
      <c r="J563" s="99"/>
    </row>
    <row r="564" ht="12.75" customHeight="1">
      <c r="C564" s="148"/>
      <c r="E564" s="195"/>
      <c r="F564" s="195"/>
      <c r="G564" s="195"/>
      <c r="J564" s="99"/>
    </row>
    <row r="565" ht="12.75" customHeight="1">
      <c r="C565" s="148"/>
      <c r="E565" s="195"/>
      <c r="F565" s="195"/>
      <c r="G565" s="195"/>
      <c r="J565" s="99"/>
    </row>
    <row r="566" ht="12.75" customHeight="1">
      <c r="C566" s="148"/>
      <c r="E566" s="195"/>
      <c r="F566" s="195"/>
      <c r="G566" s="195"/>
      <c r="J566" s="99"/>
    </row>
    <row r="567" ht="12.75" customHeight="1">
      <c r="C567" s="148"/>
      <c r="E567" s="195"/>
      <c r="F567" s="195"/>
      <c r="G567" s="195"/>
      <c r="J567" s="99"/>
    </row>
    <row r="568" ht="12.75" customHeight="1">
      <c r="C568" s="148"/>
      <c r="E568" s="195"/>
      <c r="F568" s="195"/>
      <c r="G568" s="195"/>
      <c r="J568" s="99"/>
    </row>
    <row r="569" ht="12.75" customHeight="1">
      <c r="C569" s="148"/>
      <c r="E569" s="195"/>
      <c r="F569" s="195"/>
      <c r="G569" s="195"/>
      <c r="J569" s="99"/>
    </row>
    <row r="570" ht="12.75" customHeight="1">
      <c r="C570" s="148"/>
      <c r="E570" s="195"/>
      <c r="F570" s="195"/>
      <c r="G570" s="195"/>
      <c r="J570" s="99"/>
    </row>
    <row r="571" ht="12.75" customHeight="1">
      <c r="C571" s="148"/>
      <c r="E571" s="195"/>
      <c r="F571" s="195"/>
      <c r="G571" s="195"/>
      <c r="J571" s="99"/>
    </row>
    <row r="572" ht="12.75" customHeight="1">
      <c r="C572" s="148"/>
      <c r="E572" s="195"/>
      <c r="F572" s="195"/>
      <c r="G572" s="195"/>
      <c r="J572" s="99"/>
    </row>
    <row r="573" ht="12.75" customHeight="1">
      <c r="C573" s="148"/>
      <c r="E573" s="195"/>
      <c r="F573" s="195"/>
      <c r="G573" s="195"/>
      <c r="J573" s="99"/>
    </row>
    <row r="574" ht="12.75" customHeight="1">
      <c r="C574" s="148"/>
      <c r="E574" s="195"/>
      <c r="F574" s="195"/>
      <c r="G574" s="195"/>
      <c r="J574" s="99"/>
    </row>
    <row r="575" ht="12.75" customHeight="1">
      <c r="C575" s="148"/>
      <c r="E575" s="195"/>
      <c r="F575" s="195"/>
      <c r="G575" s="195"/>
      <c r="J575" s="99"/>
    </row>
    <row r="576" ht="12.75" customHeight="1">
      <c r="C576" s="148"/>
      <c r="E576" s="195"/>
      <c r="F576" s="195"/>
      <c r="G576" s="195"/>
      <c r="J576" s="99"/>
    </row>
    <row r="577" ht="12.75" customHeight="1">
      <c r="C577" s="148"/>
      <c r="E577" s="195"/>
      <c r="F577" s="195"/>
      <c r="G577" s="195"/>
      <c r="J577" s="99"/>
    </row>
    <row r="578" ht="12.75" customHeight="1">
      <c r="C578" s="148"/>
      <c r="E578" s="195"/>
      <c r="F578" s="195"/>
      <c r="G578" s="195"/>
      <c r="J578" s="99"/>
    </row>
    <row r="579" ht="12.75" customHeight="1">
      <c r="C579" s="148"/>
      <c r="E579" s="195"/>
      <c r="F579" s="195"/>
      <c r="G579" s="195"/>
      <c r="J579" s="99"/>
    </row>
    <row r="580" ht="12.75" customHeight="1">
      <c r="C580" s="148"/>
      <c r="E580" s="195"/>
      <c r="F580" s="195"/>
      <c r="G580" s="195"/>
      <c r="J580" s="99"/>
    </row>
    <row r="581" ht="12.75" customHeight="1">
      <c r="C581" s="148"/>
      <c r="E581" s="195"/>
      <c r="F581" s="195"/>
      <c r="G581" s="195"/>
      <c r="J581" s="99"/>
    </row>
    <row r="582" ht="12.75" customHeight="1">
      <c r="C582" s="148"/>
      <c r="E582" s="195"/>
      <c r="F582" s="195"/>
      <c r="G582" s="195"/>
      <c r="J582" s="99"/>
    </row>
    <row r="583" ht="12.75" customHeight="1">
      <c r="C583" s="148"/>
      <c r="E583" s="195"/>
      <c r="F583" s="195"/>
      <c r="G583" s="195"/>
      <c r="J583" s="99"/>
    </row>
    <row r="584" ht="12.75" customHeight="1">
      <c r="C584" s="148"/>
      <c r="E584" s="195"/>
      <c r="F584" s="195"/>
      <c r="G584" s="195"/>
      <c r="J584" s="99"/>
    </row>
    <row r="585" ht="12.75" customHeight="1">
      <c r="C585" s="148"/>
      <c r="E585" s="195"/>
      <c r="F585" s="195"/>
      <c r="G585" s="195"/>
      <c r="J585" s="99"/>
    </row>
    <row r="586" ht="12.75" customHeight="1">
      <c r="C586" s="148"/>
      <c r="E586" s="195"/>
      <c r="F586" s="195"/>
      <c r="G586" s="195"/>
      <c r="J586" s="99"/>
    </row>
    <row r="587" ht="12.75" customHeight="1">
      <c r="C587" s="148"/>
      <c r="E587" s="195"/>
      <c r="F587" s="195"/>
      <c r="G587" s="195"/>
      <c r="J587" s="99"/>
    </row>
    <row r="588" ht="12.75" customHeight="1">
      <c r="C588" s="148"/>
      <c r="E588" s="195"/>
      <c r="F588" s="195"/>
      <c r="G588" s="195"/>
      <c r="J588" s="99"/>
    </row>
    <row r="589" ht="12.75" customHeight="1">
      <c r="C589" s="148"/>
      <c r="E589" s="195"/>
      <c r="F589" s="195"/>
      <c r="G589" s="195"/>
      <c r="J589" s="99"/>
    </row>
    <row r="590" ht="12.75" customHeight="1">
      <c r="C590" s="148"/>
      <c r="E590" s="195"/>
      <c r="F590" s="195"/>
      <c r="G590" s="195"/>
      <c r="J590" s="99"/>
    </row>
    <row r="591" ht="12.75" customHeight="1">
      <c r="C591" s="148"/>
      <c r="E591" s="195"/>
      <c r="F591" s="195"/>
      <c r="G591" s="195"/>
      <c r="J591" s="99"/>
    </row>
    <row r="592" ht="12.75" customHeight="1">
      <c r="C592" s="148"/>
      <c r="E592" s="195"/>
      <c r="F592" s="195"/>
      <c r="G592" s="195"/>
      <c r="J592" s="99"/>
    </row>
    <row r="593" ht="12.75" customHeight="1">
      <c r="C593" s="148"/>
      <c r="E593" s="195"/>
      <c r="F593" s="195"/>
      <c r="G593" s="195"/>
      <c r="J593" s="99"/>
    </row>
    <row r="594" ht="12.75" customHeight="1">
      <c r="C594" s="148"/>
      <c r="E594" s="195"/>
      <c r="F594" s="195"/>
      <c r="G594" s="195"/>
      <c r="J594" s="99"/>
    </row>
    <row r="595" ht="12.75" customHeight="1">
      <c r="C595" s="148"/>
      <c r="E595" s="195"/>
      <c r="F595" s="195"/>
      <c r="G595" s="195"/>
      <c r="J595" s="99"/>
    </row>
    <row r="596" ht="12.75" customHeight="1">
      <c r="C596" s="148"/>
      <c r="E596" s="195"/>
      <c r="F596" s="195"/>
      <c r="G596" s="195"/>
      <c r="J596" s="99"/>
    </row>
    <row r="597" ht="12.75" customHeight="1">
      <c r="C597" s="148"/>
      <c r="E597" s="195"/>
      <c r="F597" s="195"/>
      <c r="G597" s="195"/>
      <c r="J597" s="99"/>
    </row>
    <row r="598" ht="12.75" customHeight="1">
      <c r="C598" s="148"/>
      <c r="E598" s="195"/>
      <c r="F598" s="195"/>
      <c r="G598" s="195"/>
      <c r="J598" s="99"/>
    </row>
    <row r="599" ht="12.75" customHeight="1">
      <c r="C599" s="148"/>
      <c r="E599" s="195"/>
      <c r="F599" s="195"/>
      <c r="G599" s="195"/>
      <c r="J599" s="99"/>
    </row>
    <row r="600" ht="12.75" customHeight="1">
      <c r="C600" s="148"/>
      <c r="E600" s="195"/>
      <c r="F600" s="195"/>
      <c r="G600" s="195"/>
      <c r="J600" s="99"/>
    </row>
    <row r="601" ht="12.75" customHeight="1">
      <c r="C601" s="148"/>
      <c r="E601" s="195"/>
      <c r="F601" s="195"/>
      <c r="G601" s="195"/>
      <c r="J601" s="99"/>
    </row>
    <row r="602" ht="12.75" customHeight="1">
      <c r="C602" s="148"/>
      <c r="E602" s="195"/>
      <c r="F602" s="195"/>
      <c r="G602" s="195"/>
      <c r="J602" s="99"/>
    </row>
    <row r="603" ht="12.75" customHeight="1">
      <c r="C603" s="148"/>
      <c r="E603" s="195"/>
      <c r="F603" s="195"/>
      <c r="G603" s="195"/>
      <c r="J603" s="99"/>
    </row>
    <row r="604" ht="12.75" customHeight="1">
      <c r="C604" s="148"/>
      <c r="E604" s="195"/>
      <c r="F604" s="195"/>
      <c r="G604" s="195"/>
      <c r="J604" s="99"/>
    </row>
    <row r="605" ht="12.75" customHeight="1">
      <c r="C605" s="148"/>
      <c r="E605" s="195"/>
      <c r="F605" s="195"/>
      <c r="G605" s="195"/>
      <c r="J605" s="99"/>
    </row>
    <row r="606" ht="12.75" customHeight="1">
      <c r="C606" s="148"/>
      <c r="E606" s="195"/>
      <c r="F606" s="195"/>
      <c r="G606" s="195"/>
      <c r="J606" s="99"/>
    </row>
    <row r="607" ht="12.75" customHeight="1">
      <c r="C607" s="148"/>
      <c r="E607" s="195"/>
      <c r="F607" s="195"/>
      <c r="G607" s="195"/>
      <c r="J607" s="99"/>
    </row>
    <row r="608" ht="12.75" customHeight="1">
      <c r="C608" s="148"/>
      <c r="E608" s="195"/>
      <c r="F608" s="195"/>
      <c r="G608" s="195"/>
      <c r="J608" s="99"/>
    </row>
    <row r="609" ht="12.75" customHeight="1">
      <c r="C609" s="148"/>
      <c r="E609" s="195"/>
      <c r="F609" s="195"/>
      <c r="G609" s="195"/>
      <c r="J609" s="99"/>
    </row>
    <row r="610" ht="12.75" customHeight="1">
      <c r="C610" s="148"/>
      <c r="E610" s="195"/>
      <c r="F610" s="195"/>
      <c r="G610" s="195"/>
      <c r="J610" s="99"/>
    </row>
    <row r="611" ht="12.75" customHeight="1">
      <c r="C611" s="148"/>
      <c r="E611" s="195"/>
      <c r="F611" s="195"/>
      <c r="G611" s="195"/>
      <c r="J611" s="99"/>
    </row>
    <row r="612" ht="12.75" customHeight="1">
      <c r="C612" s="148"/>
      <c r="E612" s="195"/>
      <c r="F612" s="195"/>
      <c r="G612" s="195"/>
      <c r="J612" s="99"/>
    </row>
    <row r="613" ht="12.75" customHeight="1">
      <c r="C613" s="148"/>
      <c r="E613" s="195"/>
      <c r="F613" s="195"/>
      <c r="G613" s="195"/>
      <c r="J613" s="99"/>
    </row>
    <row r="614" ht="12.75" customHeight="1">
      <c r="C614" s="148"/>
      <c r="E614" s="195"/>
      <c r="F614" s="195"/>
      <c r="G614" s="195"/>
      <c r="J614" s="99"/>
    </row>
    <row r="615" ht="12.75" customHeight="1">
      <c r="C615" s="148"/>
      <c r="E615" s="195"/>
      <c r="F615" s="195"/>
      <c r="G615" s="195"/>
      <c r="J615" s="99"/>
    </row>
    <row r="616" ht="12.75" customHeight="1">
      <c r="C616" s="148"/>
      <c r="E616" s="195"/>
      <c r="F616" s="195"/>
      <c r="G616" s="195"/>
      <c r="J616" s="99"/>
    </row>
    <row r="617" ht="12.75" customHeight="1">
      <c r="C617" s="148"/>
      <c r="E617" s="195"/>
      <c r="F617" s="195"/>
      <c r="G617" s="195"/>
      <c r="J617" s="99"/>
    </row>
    <row r="618" ht="12.75" customHeight="1">
      <c r="C618" s="148"/>
      <c r="E618" s="195"/>
      <c r="F618" s="195"/>
      <c r="G618" s="195"/>
      <c r="J618" s="99"/>
    </row>
    <row r="619" ht="12.75" customHeight="1">
      <c r="C619" s="148"/>
      <c r="E619" s="195"/>
      <c r="F619" s="195"/>
      <c r="G619" s="195"/>
      <c r="J619" s="99"/>
    </row>
    <row r="620" ht="12.75" customHeight="1">
      <c r="C620" s="148"/>
      <c r="E620" s="195"/>
      <c r="F620" s="195"/>
      <c r="G620" s="195"/>
      <c r="J620" s="99"/>
    </row>
    <row r="621" ht="12.75" customHeight="1">
      <c r="C621" s="148"/>
      <c r="E621" s="195"/>
      <c r="F621" s="195"/>
      <c r="G621" s="195"/>
      <c r="J621" s="99"/>
    </row>
    <row r="622" ht="12.75" customHeight="1">
      <c r="C622" s="148"/>
      <c r="E622" s="195"/>
      <c r="F622" s="195"/>
      <c r="G622" s="195"/>
      <c r="J622" s="99"/>
    </row>
    <row r="623" ht="12.75" customHeight="1">
      <c r="C623" s="148"/>
      <c r="E623" s="195"/>
      <c r="F623" s="195"/>
      <c r="G623" s="195"/>
      <c r="J623" s="99"/>
    </row>
    <row r="624" ht="12.75" customHeight="1">
      <c r="C624" s="148"/>
      <c r="E624" s="195"/>
      <c r="F624" s="195"/>
      <c r="G624" s="195"/>
      <c r="J624" s="99"/>
    </row>
    <row r="625" ht="12.75" customHeight="1">
      <c r="C625" s="148"/>
      <c r="E625" s="195"/>
      <c r="F625" s="195"/>
      <c r="G625" s="195"/>
      <c r="J625" s="99"/>
    </row>
    <row r="626" ht="12.75" customHeight="1">
      <c r="C626" s="148"/>
      <c r="E626" s="195"/>
      <c r="F626" s="195"/>
      <c r="G626" s="195"/>
      <c r="J626" s="99"/>
    </row>
    <row r="627" ht="12.75" customHeight="1">
      <c r="C627" s="148"/>
      <c r="E627" s="195"/>
      <c r="F627" s="195"/>
      <c r="G627" s="195"/>
      <c r="J627" s="99"/>
    </row>
    <row r="628" ht="12.75" customHeight="1">
      <c r="C628" s="148"/>
      <c r="E628" s="195"/>
      <c r="F628" s="195"/>
      <c r="G628" s="195"/>
      <c r="J628" s="99"/>
    </row>
    <row r="629" ht="12.75" customHeight="1">
      <c r="C629" s="148"/>
      <c r="E629" s="195"/>
      <c r="F629" s="195"/>
      <c r="G629" s="195"/>
      <c r="J629" s="99"/>
    </row>
    <row r="630" ht="12.75" customHeight="1">
      <c r="C630" s="148"/>
      <c r="E630" s="195"/>
      <c r="F630" s="195"/>
      <c r="G630" s="195"/>
      <c r="J630" s="99"/>
    </row>
    <row r="631" ht="12.75" customHeight="1">
      <c r="C631" s="148"/>
      <c r="E631" s="195"/>
      <c r="F631" s="195"/>
      <c r="G631" s="195"/>
      <c r="J631" s="99"/>
    </row>
    <row r="632" ht="12.75" customHeight="1">
      <c r="C632" s="148"/>
      <c r="E632" s="195"/>
      <c r="F632" s="195"/>
      <c r="G632" s="195"/>
      <c r="J632" s="99"/>
    </row>
    <row r="633" ht="12.75" customHeight="1">
      <c r="C633" s="148"/>
      <c r="E633" s="195"/>
      <c r="F633" s="195"/>
      <c r="G633" s="195"/>
      <c r="J633" s="99"/>
    </row>
    <row r="634" ht="12.75" customHeight="1">
      <c r="C634" s="148"/>
      <c r="E634" s="195"/>
      <c r="F634" s="195"/>
      <c r="G634" s="195"/>
      <c r="J634" s="99"/>
    </row>
    <row r="635" ht="12.75" customHeight="1">
      <c r="C635" s="148"/>
      <c r="E635" s="195"/>
      <c r="F635" s="195"/>
      <c r="G635" s="195"/>
      <c r="J635" s="99"/>
    </row>
    <row r="636" ht="12.75" customHeight="1">
      <c r="C636" s="148"/>
      <c r="E636" s="195"/>
      <c r="F636" s="195"/>
      <c r="G636" s="195"/>
      <c r="J636" s="99"/>
    </row>
    <row r="637" ht="12.75" customHeight="1">
      <c r="C637" s="148"/>
      <c r="E637" s="195"/>
      <c r="F637" s="195"/>
      <c r="G637" s="195"/>
      <c r="J637" s="99"/>
    </row>
    <row r="638" ht="12.75" customHeight="1">
      <c r="C638" s="148"/>
      <c r="E638" s="195"/>
      <c r="F638" s="195"/>
      <c r="G638" s="195"/>
      <c r="J638" s="99"/>
    </row>
    <row r="639" ht="12.75" customHeight="1">
      <c r="C639" s="148"/>
      <c r="E639" s="195"/>
      <c r="F639" s="195"/>
      <c r="G639" s="195"/>
      <c r="J639" s="99"/>
    </row>
    <row r="640" ht="12.75" customHeight="1">
      <c r="C640" s="148"/>
      <c r="E640" s="195"/>
      <c r="F640" s="195"/>
      <c r="G640" s="195"/>
      <c r="J640" s="99"/>
    </row>
    <row r="641" ht="12.75" customHeight="1">
      <c r="C641" s="148"/>
      <c r="E641" s="195"/>
      <c r="F641" s="195"/>
      <c r="G641" s="195"/>
      <c r="J641" s="99"/>
    </row>
    <row r="642" ht="12.75" customHeight="1">
      <c r="C642" s="148"/>
      <c r="E642" s="195"/>
      <c r="F642" s="195"/>
      <c r="G642" s="195"/>
      <c r="J642" s="99"/>
    </row>
    <row r="643" ht="12.75" customHeight="1">
      <c r="C643" s="148"/>
      <c r="E643" s="195"/>
      <c r="F643" s="195"/>
      <c r="G643" s="195"/>
      <c r="J643" s="99"/>
    </row>
    <row r="644" ht="12.75" customHeight="1">
      <c r="C644" s="148"/>
      <c r="E644" s="195"/>
      <c r="F644" s="195"/>
      <c r="G644" s="195"/>
      <c r="J644" s="99"/>
    </row>
    <row r="645" ht="12.75" customHeight="1">
      <c r="C645" s="148"/>
      <c r="E645" s="195"/>
      <c r="F645" s="195"/>
      <c r="G645" s="195"/>
      <c r="J645" s="99"/>
    </row>
    <row r="646" ht="12.75" customHeight="1">
      <c r="C646" s="148"/>
      <c r="E646" s="195"/>
      <c r="F646" s="195"/>
      <c r="G646" s="195"/>
      <c r="J646" s="99"/>
    </row>
    <row r="647" ht="12.75" customHeight="1">
      <c r="C647" s="148"/>
      <c r="E647" s="195"/>
      <c r="F647" s="195"/>
      <c r="G647" s="195"/>
      <c r="J647" s="99"/>
    </row>
    <row r="648" ht="12.75" customHeight="1">
      <c r="C648" s="148"/>
      <c r="E648" s="195"/>
      <c r="F648" s="195"/>
      <c r="G648" s="195"/>
      <c r="J648" s="99"/>
    </row>
    <row r="649" ht="12.75" customHeight="1">
      <c r="C649" s="148"/>
      <c r="E649" s="195"/>
      <c r="F649" s="195"/>
      <c r="G649" s="195"/>
      <c r="J649" s="99"/>
    </row>
    <row r="650" ht="12.75" customHeight="1">
      <c r="C650" s="148"/>
      <c r="E650" s="195"/>
      <c r="F650" s="195"/>
      <c r="G650" s="195"/>
      <c r="J650" s="99"/>
    </row>
    <row r="651" ht="12.75" customHeight="1">
      <c r="C651" s="148"/>
      <c r="E651" s="195"/>
      <c r="F651" s="195"/>
      <c r="G651" s="195"/>
      <c r="J651" s="99"/>
    </row>
    <row r="652" ht="12.75" customHeight="1">
      <c r="C652" s="148"/>
      <c r="E652" s="195"/>
      <c r="F652" s="195"/>
      <c r="G652" s="195"/>
      <c r="J652" s="99"/>
    </row>
    <row r="653" ht="12.75" customHeight="1">
      <c r="C653" s="148"/>
      <c r="E653" s="195"/>
      <c r="F653" s="195"/>
      <c r="G653" s="195"/>
      <c r="J653" s="99"/>
    </row>
    <row r="654" ht="12.75" customHeight="1">
      <c r="C654" s="148"/>
      <c r="E654" s="195"/>
      <c r="F654" s="195"/>
      <c r="G654" s="195"/>
      <c r="J654" s="99"/>
    </row>
    <row r="655" ht="12.75" customHeight="1">
      <c r="C655" s="148"/>
      <c r="E655" s="195"/>
      <c r="F655" s="195"/>
      <c r="G655" s="195"/>
      <c r="J655" s="99"/>
    </row>
    <row r="656" ht="12.75" customHeight="1">
      <c r="C656" s="148"/>
      <c r="E656" s="195"/>
      <c r="F656" s="195"/>
      <c r="G656" s="195"/>
      <c r="J656" s="99"/>
    </row>
    <row r="657" ht="12.75" customHeight="1">
      <c r="C657" s="148"/>
      <c r="E657" s="195"/>
      <c r="F657" s="195"/>
      <c r="G657" s="195"/>
      <c r="J657" s="99"/>
    </row>
    <row r="658" ht="12.75" customHeight="1">
      <c r="C658" s="148"/>
      <c r="E658" s="195"/>
      <c r="F658" s="195"/>
      <c r="G658" s="195"/>
      <c r="J658" s="99"/>
    </row>
    <row r="659" ht="12.75" customHeight="1">
      <c r="C659" s="148"/>
      <c r="E659" s="195"/>
      <c r="F659" s="195"/>
      <c r="G659" s="195"/>
      <c r="J659" s="99"/>
    </row>
    <row r="660" ht="12.75" customHeight="1">
      <c r="C660" s="148"/>
      <c r="E660" s="195"/>
      <c r="F660" s="195"/>
      <c r="G660" s="195"/>
      <c r="J660" s="99"/>
    </row>
    <row r="661" ht="12.75" customHeight="1">
      <c r="C661" s="148"/>
      <c r="E661" s="195"/>
      <c r="F661" s="195"/>
      <c r="G661" s="195"/>
      <c r="J661" s="99"/>
    </row>
    <row r="662" ht="12.75" customHeight="1">
      <c r="C662" s="148"/>
      <c r="E662" s="195"/>
      <c r="F662" s="195"/>
      <c r="G662" s="195"/>
      <c r="J662" s="99"/>
    </row>
    <row r="663" ht="12.75" customHeight="1">
      <c r="C663" s="148"/>
      <c r="E663" s="195"/>
      <c r="F663" s="195"/>
      <c r="G663" s="195"/>
      <c r="J663" s="99"/>
    </row>
    <row r="664" ht="12.75" customHeight="1">
      <c r="C664" s="148"/>
      <c r="E664" s="195"/>
      <c r="F664" s="195"/>
      <c r="G664" s="195"/>
      <c r="J664" s="99"/>
    </row>
    <row r="665" ht="12.75" customHeight="1">
      <c r="C665" s="148"/>
      <c r="E665" s="195"/>
      <c r="F665" s="195"/>
      <c r="G665" s="195"/>
      <c r="J665" s="99"/>
    </row>
    <row r="666" ht="12.75" customHeight="1">
      <c r="C666" s="148"/>
      <c r="E666" s="195"/>
      <c r="F666" s="195"/>
      <c r="G666" s="195"/>
      <c r="J666" s="99"/>
    </row>
    <row r="667" ht="12.75" customHeight="1">
      <c r="C667" s="148"/>
      <c r="E667" s="195"/>
      <c r="F667" s="195"/>
      <c r="G667" s="195"/>
      <c r="J667" s="99"/>
    </row>
    <row r="668" ht="12.75" customHeight="1">
      <c r="C668" s="148"/>
      <c r="E668" s="195"/>
      <c r="F668" s="195"/>
      <c r="G668" s="195"/>
      <c r="J668" s="99"/>
    </row>
    <row r="669" ht="12.75" customHeight="1">
      <c r="C669" s="148"/>
      <c r="E669" s="195"/>
      <c r="F669" s="195"/>
      <c r="G669" s="195"/>
      <c r="J669" s="99"/>
    </row>
    <row r="670" ht="12.75" customHeight="1">
      <c r="C670" s="148"/>
      <c r="E670" s="195"/>
      <c r="F670" s="195"/>
      <c r="G670" s="195"/>
      <c r="J670" s="99"/>
    </row>
    <row r="671" ht="12.75" customHeight="1">
      <c r="C671" s="148"/>
      <c r="E671" s="195"/>
      <c r="F671" s="195"/>
      <c r="G671" s="195"/>
      <c r="J671" s="99"/>
    </row>
    <row r="672" ht="12.75" customHeight="1">
      <c r="C672" s="148"/>
      <c r="E672" s="195"/>
      <c r="F672" s="195"/>
      <c r="G672" s="195"/>
      <c r="J672" s="99"/>
    </row>
    <row r="673" ht="12.75" customHeight="1">
      <c r="C673" s="148"/>
      <c r="E673" s="195"/>
      <c r="F673" s="195"/>
      <c r="G673" s="195"/>
      <c r="J673" s="99"/>
    </row>
    <row r="674" ht="12.75" customHeight="1">
      <c r="C674" s="148"/>
      <c r="E674" s="195"/>
      <c r="F674" s="195"/>
      <c r="G674" s="195"/>
      <c r="J674" s="99"/>
    </row>
    <row r="675" ht="12.75" customHeight="1">
      <c r="C675" s="148"/>
      <c r="E675" s="195"/>
      <c r="F675" s="195"/>
      <c r="G675" s="195"/>
      <c r="J675" s="99"/>
    </row>
    <row r="676" ht="12.75" customHeight="1">
      <c r="C676" s="148"/>
      <c r="E676" s="195"/>
      <c r="F676" s="195"/>
      <c r="G676" s="195"/>
      <c r="J676" s="99"/>
    </row>
    <row r="677" ht="12.75" customHeight="1">
      <c r="C677" s="148"/>
      <c r="E677" s="195"/>
      <c r="F677" s="195"/>
      <c r="G677" s="195"/>
      <c r="J677" s="99"/>
    </row>
    <row r="678" ht="12.75" customHeight="1">
      <c r="C678" s="148"/>
      <c r="E678" s="195"/>
      <c r="F678" s="195"/>
      <c r="G678" s="195"/>
      <c r="J678" s="99"/>
    </row>
    <row r="679" ht="12.75" customHeight="1">
      <c r="C679" s="148"/>
      <c r="E679" s="195"/>
      <c r="F679" s="195"/>
      <c r="G679" s="195"/>
      <c r="J679" s="99"/>
    </row>
    <row r="680" ht="12.75" customHeight="1">
      <c r="C680" s="148"/>
      <c r="E680" s="195"/>
      <c r="F680" s="195"/>
      <c r="G680" s="195"/>
      <c r="J680" s="99"/>
    </row>
    <row r="681" ht="12.75" customHeight="1">
      <c r="C681" s="148"/>
      <c r="E681" s="195"/>
      <c r="F681" s="195"/>
      <c r="G681" s="195"/>
      <c r="J681" s="99"/>
    </row>
    <row r="682" ht="12.75" customHeight="1">
      <c r="C682" s="148"/>
      <c r="E682" s="195"/>
      <c r="F682" s="195"/>
      <c r="G682" s="195"/>
      <c r="J682" s="99"/>
    </row>
    <row r="683" ht="12.75" customHeight="1">
      <c r="C683" s="148"/>
      <c r="E683" s="195"/>
      <c r="F683" s="195"/>
      <c r="G683" s="195"/>
      <c r="J683" s="99"/>
    </row>
    <row r="684" ht="12.75" customHeight="1">
      <c r="C684" s="148"/>
      <c r="E684" s="195"/>
      <c r="F684" s="195"/>
      <c r="G684" s="195"/>
      <c r="J684" s="99"/>
    </row>
    <row r="685" ht="12.75" customHeight="1">
      <c r="C685" s="148"/>
      <c r="E685" s="195"/>
      <c r="F685" s="195"/>
      <c r="G685" s="195"/>
      <c r="J685" s="99"/>
    </row>
    <row r="686" ht="12.75" customHeight="1">
      <c r="C686" s="148"/>
      <c r="E686" s="195"/>
      <c r="F686" s="195"/>
      <c r="G686" s="195"/>
      <c r="J686" s="99"/>
    </row>
    <row r="687" ht="12.75" customHeight="1">
      <c r="C687" s="148"/>
      <c r="E687" s="195"/>
      <c r="F687" s="195"/>
      <c r="G687" s="195"/>
      <c r="J687" s="99"/>
    </row>
    <row r="688" ht="12.75" customHeight="1">
      <c r="C688" s="148"/>
      <c r="E688" s="195"/>
      <c r="F688" s="195"/>
      <c r="G688" s="195"/>
      <c r="J688" s="99"/>
    </row>
    <row r="689" ht="12.75" customHeight="1">
      <c r="C689" s="148"/>
      <c r="E689" s="195"/>
      <c r="F689" s="195"/>
      <c r="G689" s="195"/>
      <c r="J689" s="99"/>
    </row>
    <row r="690" ht="12.75" customHeight="1">
      <c r="C690" s="148"/>
      <c r="E690" s="195"/>
      <c r="F690" s="195"/>
      <c r="G690" s="195"/>
      <c r="J690" s="99"/>
    </row>
    <row r="691" ht="12.75" customHeight="1">
      <c r="C691" s="148"/>
      <c r="E691" s="195"/>
      <c r="F691" s="195"/>
      <c r="G691" s="195"/>
      <c r="J691" s="99"/>
    </row>
    <row r="692" ht="12.75" customHeight="1">
      <c r="C692" s="148"/>
      <c r="E692" s="195"/>
      <c r="F692" s="195"/>
      <c r="G692" s="195"/>
      <c r="J692" s="99"/>
    </row>
    <row r="693" ht="12.75" customHeight="1">
      <c r="C693" s="148"/>
      <c r="E693" s="195"/>
      <c r="F693" s="195"/>
      <c r="G693" s="195"/>
      <c r="J693" s="99"/>
    </row>
    <row r="694" ht="12.75" customHeight="1">
      <c r="C694" s="148"/>
      <c r="E694" s="195"/>
      <c r="F694" s="195"/>
      <c r="G694" s="195"/>
      <c r="J694" s="99"/>
    </row>
    <row r="695" ht="12.75" customHeight="1">
      <c r="C695" s="148"/>
      <c r="E695" s="195"/>
      <c r="F695" s="195"/>
      <c r="G695" s="195"/>
      <c r="J695" s="99"/>
    </row>
    <row r="696" ht="12.75" customHeight="1">
      <c r="C696" s="148"/>
      <c r="E696" s="195"/>
      <c r="F696" s="195"/>
      <c r="G696" s="195"/>
      <c r="J696" s="99"/>
    </row>
    <row r="697" ht="12.75" customHeight="1">
      <c r="C697" s="148"/>
      <c r="E697" s="195"/>
      <c r="F697" s="195"/>
      <c r="G697" s="195"/>
      <c r="J697" s="99"/>
    </row>
    <row r="698" ht="12.75" customHeight="1">
      <c r="C698" s="148"/>
      <c r="E698" s="195"/>
      <c r="F698" s="195"/>
      <c r="G698" s="195"/>
      <c r="J698" s="99"/>
    </row>
    <row r="699" ht="12.75" customHeight="1">
      <c r="C699" s="148"/>
      <c r="E699" s="195"/>
      <c r="F699" s="195"/>
      <c r="G699" s="195"/>
      <c r="J699" s="99"/>
    </row>
    <row r="700" ht="12.75" customHeight="1">
      <c r="C700" s="148"/>
      <c r="E700" s="195"/>
      <c r="F700" s="195"/>
      <c r="G700" s="195"/>
      <c r="J700" s="99"/>
    </row>
    <row r="701" ht="12.75" customHeight="1">
      <c r="C701" s="148"/>
      <c r="E701" s="195"/>
      <c r="F701" s="195"/>
      <c r="G701" s="195"/>
      <c r="J701" s="99"/>
    </row>
    <row r="702" ht="12.75" customHeight="1">
      <c r="C702" s="148"/>
      <c r="E702" s="195"/>
      <c r="F702" s="195"/>
      <c r="G702" s="195"/>
      <c r="J702" s="99"/>
    </row>
    <row r="703" ht="12.75" customHeight="1">
      <c r="C703" s="148"/>
      <c r="E703" s="195"/>
      <c r="F703" s="195"/>
      <c r="G703" s="195"/>
      <c r="J703" s="99"/>
    </row>
    <row r="704" ht="12.75" customHeight="1">
      <c r="C704" s="148"/>
      <c r="E704" s="195"/>
      <c r="F704" s="195"/>
      <c r="G704" s="195"/>
      <c r="J704" s="99"/>
    </row>
    <row r="705" ht="12.75" customHeight="1">
      <c r="C705" s="148"/>
      <c r="E705" s="195"/>
      <c r="F705" s="195"/>
      <c r="G705" s="195"/>
      <c r="J705" s="99"/>
    </row>
    <row r="706" ht="12.75" customHeight="1">
      <c r="C706" s="148"/>
      <c r="E706" s="195"/>
      <c r="F706" s="195"/>
      <c r="G706" s="195"/>
      <c r="J706" s="99"/>
    </row>
    <row r="707" ht="12.75" customHeight="1">
      <c r="C707" s="148"/>
      <c r="E707" s="195"/>
      <c r="F707" s="195"/>
      <c r="G707" s="195"/>
      <c r="J707" s="99"/>
    </row>
    <row r="708" ht="12.75" customHeight="1">
      <c r="C708" s="148"/>
      <c r="E708" s="195"/>
      <c r="F708" s="195"/>
      <c r="G708" s="195"/>
      <c r="J708" s="99"/>
    </row>
    <row r="709" ht="12.75" customHeight="1">
      <c r="C709" s="148"/>
      <c r="E709" s="195"/>
      <c r="F709" s="195"/>
      <c r="G709" s="195"/>
      <c r="J709" s="99"/>
    </row>
    <row r="710" ht="12.75" customHeight="1">
      <c r="C710" s="148"/>
      <c r="E710" s="195"/>
      <c r="F710" s="195"/>
      <c r="G710" s="195"/>
      <c r="J710" s="99"/>
    </row>
    <row r="711" ht="12.75" customHeight="1">
      <c r="C711" s="148"/>
      <c r="E711" s="195"/>
      <c r="F711" s="195"/>
      <c r="G711" s="195"/>
      <c r="J711" s="99"/>
    </row>
    <row r="712" ht="12.75" customHeight="1">
      <c r="C712" s="148"/>
      <c r="E712" s="195"/>
      <c r="F712" s="195"/>
      <c r="G712" s="195"/>
      <c r="J712" s="99"/>
    </row>
    <row r="713" ht="12.75" customHeight="1">
      <c r="C713" s="148"/>
      <c r="E713" s="195"/>
      <c r="F713" s="195"/>
      <c r="G713" s="195"/>
      <c r="J713" s="99"/>
    </row>
    <row r="714" ht="12.75" customHeight="1">
      <c r="C714" s="148"/>
      <c r="E714" s="195"/>
      <c r="F714" s="195"/>
      <c r="G714" s="195"/>
      <c r="J714" s="99"/>
    </row>
    <row r="715" ht="12.75" customHeight="1">
      <c r="C715" s="148"/>
      <c r="E715" s="195"/>
      <c r="F715" s="195"/>
      <c r="G715" s="195"/>
      <c r="J715" s="99"/>
    </row>
    <row r="716" ht="12.75" customHeight="1">
      <c r="C716" s="148"/>
      <c r="E716" s="195"/>
      <c r="F716" s="195"/>
      <c r="G716" s="195"/>
      <c r="J716" s="99"/>
    </row>
    <row r="717" ht="12.75" customHeight="1">
      <c r="C717" s="148"/>
      <c r="E717" s="195"/>
      <c r="F717" s="195"/>
      <c r="G717" s="195"/>
      <c r="J717" s="99"/>
    </row>
    <row r="718" ht="12.75" customHeight="1">
      <c r="C718" s="148"/>
      <c r="E718" s="195"/>
      <c r="F718" s="195"/>
      <c r="G718" s="195"/>
      <c r="J718" s="99"/>
    </row>
    <row r="719" ht="12.75" customHeight="1">
      <c r="C719" s="148"/>
      <c r="E719" s="195"/>
      <c r="F719" s="195"/>
      <c r="G719" s="195"/>
      <c r="J719" s="99"/>
    </row>
    <row r="720" ht="12.75" customHeight="1">
      <c r="C720" s="148"/>
      <c r="E720" s="195"/>
      <c r="F720" s="195"/>
      <c r="G720" s="195"/>
      <c r="J720" s="99"/>
    </row>
    <row r="721" ht="12.75" customHeight="1">
      <c r="C721" s="148"/>
      <c r="E721" s="195"/>
      <c r="F721" s="195"/>
      <c r="G721" s="195"/>
      <c r="J721" s="99"/>
    </row>
    <row r="722" ht="12.75" customHeight="1">
      <c r="C722" s="148"/>
      <c r="E722" s="195"/>
      <c r="F722" s="195"/>
      <c r="G722" s="195"/>
      <c r="J722" s="99"/>
    </row>
    <row r="723" ht="12.75" customHeight="1">
      <c r="C723" s="148"/>
      <c r="E723" s="195"/>
      <c r="F723" s="195"/>
      <c r="G723" s="195"/>
      <c r="J723" s="99"/>
    </row>
    <row r="724" ht="12.75" customHeight="1">
      <c r="C724" s="148"/>
      <c r="E724" s="195"/>
      <c r="F724" s="195"/>
      <c r="G724" s="195"/>
      <c r="J724" s="99"/>
    </row>
    <row r="725" ht="12.75" customHeight="1">
      <c r="C725" s="148"/>
      <c r="E725" s="195"/>
      <c r="F725" s="195"/>
      <c r="G725" s="195"/>
      <c r="J725" s="99"/>
    </row>
    <row r="726" ht="12.75" customHeight="1">
      <c r="C726" s="148"/>
      <c r="E726" s="195"/>
      <c r="F726" s="195"/>
      <c r="G726" s="195"/>
      <c r="J726" s="99"/>
    </row>
    <row r="727" ht="12.75" customHeight="1">
      <c r="C727" s="148"/>
      <c r="E727" s="195"/>
      <c r="F727" s="195"/>
      <c r="G727" s="195"/>
      <c r="J727" s="99"/>
    </row>
    <row r="728" ht="12.75" customHeight="1">
      <c r="C728" s="148"/>
      <c r="E728" s="195"/>
      <c r="F728" s="195"/>
      <c r="G728" s="195"/>
      <c r="J728" s="99"/>
    </row>
    <row r="729" ht="12.75" customHeight="1">
      <c r="C729" s="148"/>
      <c r="E729" s="195"/>
      <c r="F729" s="195"/>
      <c r="G729" s="195"/>
      <c r="J729" s="99"/>
    </row>
    <row r="730" ht="12.75" customHeight="1">
      <c r="C730" s="148"/>
      <c r="E730" s="195"/>
      <c r="F730" s="195"/>
      <c r="G730" s="195"/>
      <c r="J730" s="99"/>
    </row>
    <row r="731" ht="12.75" customHeight="1">
      <c r="C731" s="148"/>
      <c r="E731" s="195"/>
      <c r="F731" s="195"/>
      <c r="G731" s="195"/>
      <c r="J731" s="99"/>
    </row>
    <row r="732" ht="12.75" customHeight="1">
      <c r="C732" s="148"/>
      <c r="E732" s="195"/>
      <c r="F732" s="195"/>
      <c r="G732" s="195"/>
      <c r="J732" s="99"/>
    </row>
    <row r="733" ht="12.75" customHeight="1">
      <c r="C733" s="148"/>
      <c r="E733" s="195"/>
      <c r="F733" s="195"/>
      <c r="G733" s="195"/>
      <c r="J733" s="99"/>
    </row>
    <row r="734" ht="12.75" customHeight="1">
      <c r="C734" s="148"/>
      <c r="E734" s="195"/>
      <c r="F734" s="195"/>
      <c r="G734" s="195"/>
      <c r="J734" s="99"/>
    </row>
    <row r="735" ht="12.75" customHeight="1">
      <c r="C735" s="148"/>
      <c r="E735" s="195"/>
      <c r="F735" s="195"/>
      <c r="G735" s="195"/>
      <c r="J735" s="99"/>
    </row>
    <row r="736" ht="12.75" customHeight="1">
      <c r="C736" s="148"/>
      <c r="E736" s="195"/>
      <c r="F736" s="195"/>
      <c r="G736" s="195"/>
      <c r="J736" s="99"/>
    </row>
    <row r="737" ht="12.75" customHeight="1">
      <c r="C737" s="148"/>
      <c r="E737" s="195"/>
      <c r="F737" s="195"/>
      <c r="G737" s="195"/>
      <c r="J737" s="99"/>
    </row>
    <row r="738" ht="12.75" customHeight="1">
      <c r="C738" s="148"/>
      <c r="E738" s="195"/>
      <c r="F738" s="195"/>
      <c r="G738" s="195"/>
      <c r="J738" s="99"/>
    </row>
    <row r="739" ht="12.75" customHeight="1">
      <c r="C739" s="148"/>
      <c r="E739" s="195"/>
      <c r="F739" s="195"/>
      <c r="G739" s="195"/>
      <c r="J739" s="99"/>
    </row>
    <row r="740" ht="12.75" customHeight="1">
      <c r="C740" s="148"/>
      <c r="E740" s="195"/>
      <c r="F740" s="195"/>
      <c r="G740" s="195"/>
      <c r="J740" s="99"/>
    </row>
    <row r="741" ht="12.75" customHeight="1">
      <c r="C741" s="148"/>
      <c r="E741" s="195"/>
      <c r="F741" s="195"/>
      <c r="G741" s="195"/>
      <c r="J741" s="99"/>
    </row>
    <row r="742" ht="12.75" customHeight="1">
      <c r="C742" s="148"/>
      <c r="E742" s="195"/>
      <c r="F742" s="195"/>
      <c r="G742" s="195"/>
      <c r="J742" s="99"/>
    </row>
    <row r="743" ht="12.75" customHeight="1">
      <c r="C743" s="148"/>
      <c r="E743" s="195"/>
      <c r="F743" s="195"/>
      <c r="G743" s="195"/>
      <c r="J743" s="99"/>
    </row>
    <row r="744" ht="12.75" customHeight="1">
      <c r="C744" s="148"/>
      <c r="E744" s="195"/>
      <c r="F744" s="195"/>
      <c r="G744" s="195"/>
      <c r="J744" s="99"/>
    </row>
    <row r="745" ht="12.75" customHeight="1">
      <c r="C745" s="148"/>
      <c r="E745" s="195"/>
      <c r="F745" s="195"/>
      <c r="G745" s="195"/>
      <c r="J745" s="99"/>
    </row>
    <row r="746" ht="12.75" customHeight="1">
      <c r="C746" s="148"/>
      <c r="E746" s="195"/>
      <c r="F746" s="195"/>
      <c r="G746" s="195"/>
      <c r="J746" s="99"/>
    </row>
    <row r="747" ht="12.75" customHeight="1">
      <c r="C747" s="148"/>
      <c r="E747" s="195"/>
      <c r="F747" s="195"/>
      <c r="G747" s="195"/>
      <c r="J747" s="99"/>
    </row>
    <row r="748" ht="12.75" customHeight="1">
      <c r="C748" s="148"/>
      <c r="E748" s="195"/>
      <c r="F748" s="195"/>
      <c r="G748" s="195"/>
      <c r="J748" s="99"/>
    </row>
    <row r="749" ht="12.75" customHeight="1">
      <c r="C749" s="148"/>
      <c r="E749" s="195"/>
      <c r="F749" s="195"/>
      <c r="G749" s="195"/>
      <c r="J749" s="99"/>
    </row>
    <row r="750" ht="12.75" customHeight="1">
      <c r="C750" s="148"/>
      <c r="E750" s="195"/>
      <c r="F750" s="195"/>
      <c r="G750" s="195"/>
      <c r="J750" s="99"/>
    </row>
    <row r="751" ht="12.75" customHeight="1">
      <c r="C751" s="148"/>
      <c r="E751" s="195"/>
      <c r="F751" s="195"/>
      <c r="G751" s="195"/>
      <c r="J751" s="99"/>
    </row>
    <row r="752" ht="12.75" customHeight="1">
      <c r="C752" s="148"/>
      <c r="E752" s="195"/>
      <c r="F752" s="195"/>
      <c r="G752" s="195"/>
      <c r="J752" s="99"/>
    </row>
    <row r="753" ht="12.75" customHeight="1">
      <c r="C753" s="148"/>
      <c r="E753" s="195"/>
      <c r="F753" s="195"/>
      <c r="G753" s="195"/>
      <c r="J753" s="99"/>
    </row>
    <row r="754" ht="12.75" customHeight="1">
      <c r="C754" s="148"/>
      <c r="E754" s="195"/>
      <c r="F754" s="195"/>
      <c r="G754" s="195"/>
      <c r="J754" s="99"/>
    </row>
    <row r="755" ht="12.75" customHeight="1">
      <c r="C755" s="148"/>
      <c r="E755" s="195"/>
      <c r="F755" s="195"/>
      <c r="G755" s="195"/>
      <c r="J755" s="99"/>
    </row>
    <row r="756" ht="12.75" customHeight="1">
      <c r="C756" s="148"/>
      <c r="E756" s="195"/>
      <c r="F756" s="195"/>
      <c r="G756" s="195"/>
      <c r="J756" s="99"/>
    </row>
    <row r="757" ht="12.75" customHeight="1">
      <c r="C757" s="148"/>
      <c r="E757" s="195"/>
      <c r="F757" s="195"/>
      <c r="G757" s="195"/>
      <c r="J757" s="99"/>
    </row>
    <row r="758" ht="12.75" customHeight="1">
      <c r="C758" s="148"/>
      <c r="E758" s="195"/>
      <c r="F758" s="195"/>
      <c r="G758" s="195"/>
      <c r="J758" s="99"/>
    </row>
    <row r="759" ht="12.75" customHeight="1">
      <c r="C759" s="148"/>
      <c r="E759" s="195"/>
      <c r="F759" s="195"/>
      <c r="G759" s="195"/>
      <c r="J759" s="99"/>
    </row>
    <row r="760" ht="12.75" customHeight="1">
      <c r="C760" s="148"/>
      <c r="E760" s="195"/>
      <c r="F760" s="195"/>
      <c r="G760" s="195"/>
      <c r="J760" s="99"/>
    </row>
    <row r="761" ht="12.75" customHeight="1">
      <c r="C761" s="148"/>
      <c r="E761" s="195"/>
      <c r="F761" s="195"/>
      <c r="G761" s="195"/>
      <c r="J761" s="99"/>
    </row>
    <row r="762" ht="12.75" customHeight="1">
      <c r="C762" s="148"/>
      <c r="E762" s="195"/>
      <c r="F762" s="195"/>
      <c r="G762" s="195"/>
      <c r="J762" s="99"/>
    </row>
    <row r="763" ht="12.75" customHeight="1">
      <c r="C763" s="148"/>
      <c r="E763" s="195"/>
      <c r="F763" s="195"/>
      <c r="G763" s="195"/>
      <c r="J763" s="99"/>
    </row>
    <row r="764" ht="12.75" customHeight="1">
      <c r="C764" s="148"/>
      <c r="E764" s="195"/>
      <c r="F764" s="195"/>
      <c r="G764" s="195"/>
      <c r="J764" s="99"/>
    </row>
    <row r="765" ht="12.75" customHeight="1">
      <c r="C765" s="148"/>
      <c r="E765" s="195"/>
      <c r="F765" s="195"/>
      <c r="G765" s="195"/>
      <c r="J765" s="99"/>
    </row>
    <row r="766" ht="12.75" customHeight="1">
      <c r="C766" s="148"/>
      <c r="E766" s="195"/>
      <c r="F766" s="195"/>
      <c r="G766" s="195"/>
      <c r="J766" s="99"/>
    </row>
    <row r="767" ht="12.75" customHeight="1">
      <c r="C767" s="148"/>
      <c r="E767" s="195"/>
      <c r="F767" s="195"/>
      <c r="G767" s="195"/>
      <c r="J767" s="99"/>
    </row>
    <row r="768" ht="12.75" customHeight="1">
      <c r="C768" s="148"/>
      <c r="E768" s="195"/>
      <c r="F768" s="195"/>
      <c r="G768" s="195"/>
      <c r="J768" s="99"/>
    </row>
    <row r="769" ht="12.75" customHeight="1">
      <c r="C769" s="148"/>
      <c r="E769" s="195"/>
      <c r="F769" s="195"/>
      <c r="G769" s="195"/>
      <c r="J769" s="99"/>
    </row>
    <row r="770" ht="12.75" customHeight="1">
      <c r="C770" s="148"/>
      <c r="E770" s="195"/>
      <c r="F770" s="195"/>
      <c r="G770" s="195"/>
      <c r="J770" s="99"/>
    </row>
    <row r="771" ht="12.75" customHeight="1">
      <c r="C771" s="148"/>
      <c r="E771" s="195"/>
      <c r="F771" s="195"/>
      <c r="G771" s="195"/>
      <c r="J771" s="99"/>
    </row>
    <row r="772" ht="12.75" customHeight="1">
      <c r="C772" s="148"/>
      <c r="E772" s="195"/>
      <c r="F772" s="195"/>
      <c r="G772" s="195"/>
      <c r="J772" s="99"/>
    </row>
    <row r="773" ht="12.75" customHeight="1">
      <c r="C773" s="148"/>
      <c r="E773" s="195"/>
      <c r="F773" s="195"/>
      <c r="G773" s="195"/>
      <c r="J773" s="99"/>
    </row>
    <row r="774" ht="12.75" customHeight="1">
      <c r="C774" s="148"/>
      <c r="E774" s="195"/>
      <c r="F774" s="195"/>
      <c r="G774" s="195"/>
      <c r="J774" s="99"/>
    </row>
    <row r="775" ht="12.75" customHeight="1">
      <c r="C775" s="148"/>
      <c r="E775" s="195"/>
      <c r="F775" s="195"/>
      <c r="G775" s="195"/>
      <c r="J775" s="99"/>
    </row>
    <row r="776" ht="12.75" customHeight="1">
      <c r="C776" s="148"/>
      <c r="E776" s="195"/>
      <c r="F776" s="195"/>
      <c r="G776" s="195"/>
      <c r="J776" s="99"/>
    </row>
    <row r="777" ht="12.75" customHeight="1">
      <c r="C777" s="148"/>
      <c r="E777" s="195"/>
      <c r="F777" s="195"/>
      <c r="G777" s="195"/>
      <c r="J777" s="99"/>
    </row>
    <row r="778" ht="12.75" customHeight="1">
      <c r="C778" s="148"/>
      <c r="E778" s="195"/>
      <c r="F778" s="195"/>
      <c r="G778" s="195"/>
      <c r="J778" s="99"/>
    </row>
    <row r="779" ht="12.75" customHeight="1">
      <c r="C779" s="148"/>
      <c r="E779" s="195"/>
      <c r="F779" s="195"/>
      <c r="G779" s="195"/>
      <c r="J779" s="99"/>
    </row>
    <row r="780" ht="12.75" customHeight="1">
      <c r="C780" s="148"/>
      <c r="E780" s="195"/>
      <c r="F780" s="195"/>
      <c r="G780" s="195"/>
      <c r="J780" s="99"/>
    </row>
    <row r="781" ht="12.75" customHeight="1">
      <c r="C781" s="148"/>
      <c r="E781" s="195"/>
      <c r="F781" s="195"/>
      <c r="G781" s="195"/>
      <c r="J781" s="99"/>
    </row>
    <row r="782" ht="12.75" customHeight="1">
      <c r="C782" s="148"/>
      <c r="E782" s="195"/>
      <c r="F782" s="195"/>
      <c r="G782" s="195"/>
      <c r="J782" s="99"/>
    </row>
    <row r="783" ht="12.75" customHeight="1">
      <c r="C783" s="148"/>
      <c r="E783" s="195"/>
      <c r="F783" s="195"/>
      <c r="G783" s="195"/>
      <c r="J783" s="99"/>
    </row>
    <row r="784" ht="12.75" customHeight="1">
      <c r="C784" s="148"/>
      <c r="E784" s="195"/>
      <c r="F784" s="195"/>
      <c r="G784" s="195"/>
      <c r="J784" s="99"/>
    </row>
    <row r="785" ht="12.75" customHeight="1">
      <c r="C785" s="148"/>
      <c r="E785" s="195"/>
      <c r="F785" s="195"/>
      <c r="G785" s="195"/>
      <c r="J785" s="99"/>
    </row>
    <row r="786" ht="12.75" customHeight="1">
      <c r="C786" s="148"/>
      <c r="E786" s="195"/>
      <c r="F786" s="195"/>
      <c r="G786" s="195"/>
      <c r="J786" s="99"/>
    </row>
    <row r="787" ht="12.75" customHeight="1">
      <c r="C787" s="148"/>
      <c r="E787" s="195"/>
      <c r="F787" s="195"/>
      <c r="G787" s="195"/>
      <c r="J787" s="99"/>
    </row>
    <row r="788" ht="12.75" customHeight="1">
      <c r="C788" s="148"/>
      <c r="E788" s="195"/>
      <c r="F788" s="195"/>
      <c r="G788" s="195"/>
      <c r="J788" s="99"/>
    </row>
    <row r="789" ht="12.75" customHeight="1">
      <c r="C789" s="148"/>
      <c r="E789" s="195"/>
      <c r="F789" s="195"/>
      <c r="G789" s="195"/>
      <c r="J789" s="99"/>
    </row>
    <row r="790" ht="12.75" customHeight="1">
      <c r="C790" s="148"/>
      <c r="E790" s="195"/>
      <c r="F790" s="195"/>
      <c r="G790" s="195"/>
      <c r="J790" s="99"/>
    </row>
    <row r="791" ht="12.75" customHeight="1">
      <c r="C791" s="148"/>
      <c r="E791" s="195"/>
      <c r="F791" s="195"/>
      <c r="G791" s="195"/>
      <c r="J791" s="99"/>
    </row>
    <row r="792" ht="12.75" customHeight="1">
      <c r="C792" s="148"/>
      <c r="E792" s="195"/>
      <c r="F792" s="195"/>
      <c r="G792" s="195"/>
      <c r="J792" s="99"/>
    </row>
    <row r="793" ht="12.75" customHeight="1">
      <c r="C793" s="148"/>
      <c r="E793" s="195"/>
      <c r="F793" s="195"/>
      <c r="G793" s="195"/>
      <c r="J793" s="99"/>
    </row>
    <row r="794" ht="12.75" customHeight="1">
      <c r="C794" s="148"/>
      <c r="E794" s="195"/>
      <c r="F794" s="195"/>
      <c r="G794" s="195"/>
      <c r="J794" s="99"/>
    </row>
    <row r="795" ht="12.75" customHeight="1">
      <c r="C795" s="148"/>
      <c r="E795" s="195"/>
      <c r="F795" s="195"/>
      <c r="G795" s="195"/>
      <c r="J795" s="99"/>
    </row>
    <row r="796" ht="12.75" customHeight="1">
      <c r="C796" s="148"/>
      <c r="E796" s="195"/>
      <c r="F796" s="195"/>
      <c r="G796" s="195"/>
      <c r="J796" s="99"/>
    </row>
    <row r="797" ht="12.75" customHeight="1">
      <c r="C797" s="148"/>
      <c r="E797" s="195"/>
      <c r="F797" s="195"/>
      <c r="G797" s="195"/>
      <c r="J797" s="99"/>
    </row>
    <row r="798" ht="12.75" customHeight="1">
      <c r="C798" s="148"/>
      <c r="E798" s="195"/>
      <c r="F798" s="195"/>
      <c r="G798" s="195"/>
      <c r="J798" s="99"/>
    </row>
    <row r="799" ht="12.75" customHeight="1">
      <c r="C799" s="148"/>
      <c r="E799" s="195"/>
      <c r="F799" s="195"/>
      <c r="G799" s="195"/>
      <c r="J799" s="99"/>
    </row>
    <row r="800" ht="12.75" customHeight="1">
      <c r="C800" s="148"/>
      <c r="E800" s="195"/>
      <c r="F800" s="195"/>
      <c r="G800" s="195"/>
      <c r="J800" s="99"/>
    </row>
    <row r="801" ht="12.75" customHeight="1">
      <c r="C801" s="148"/>
      <c r="E801" s="195"/>
      <c r="F801" s="195"/>
      <c r="G801" s="195"/>
      <c r="J801" s="99"/>
    </row>
    <row r="802" ht="12.75" customHeight="1">
      <c r="C802" s="148"/>
      <c r="E802" s="195"/>
      <c r="F802" s="195"/>
      <c r="G802" s="195"/>
      <c r="J802" s="99"/>
    </row>
    <row r="803" ht="12.75" customHeight="1">
      <c r="C803" s="148"/>
      <c r="E803" s="195"/>
      <c r="F803" s="195"/>
      <c r="G803" s="195"/>
      <c r="J803" s="99"/>
    </row>
    <row r="804" ht="12.75" customHeight="1">
      <c r="C804" s="148"/>
      <c r="E804" s="195"/>
      <c r="F804" s="195"/>
      <c r="G804" s="195"/>
      <c r="J804" s="99"/>
    </row>
    <row r="805" ht="12.75" customHeight="1">
      <c r="C805" s="148"/>
      <c r="E805" s="195"/>
      <c r="F805" s="195"/>
      <c r="G805" s="195"/>
      <c r="J805" s="99"/>
    </row>
    <row r="806" ht="12.75" customHeight="1">
      <c r="C806" s="148"/>
      <c r="E806" s="195"/>
      <c r="F806" s="195"/>
      <c r="G806" s="195"/>
      <c r="J806" s="99"/>
    </row>
    <row r="807" ht="12.75" customHeight="1">
      <c r="C807" s="148"/>
      <c r="E807" s="195"/>
      <c r="F807" s="195"/>
      <c r="G807" s="195"/>
      <c r="J807" s="99"/>
    </row>
    <row r="808" ht="12.75" customHeight="1">
      <c r="C808" s="148"/>
      <c r="E808" s="195"/>
      <c r="F808" s="195"/>
      <c r="G808" s="195"/>
      <c r="J808" s="99"/>
    </row>
    <row r="809" ht="12.75" customHeight="1">
      <c r="C809" s="148"/>
      <c r="E809" s="195"/>
      <c r="F809" s="195"/>
      <c r="G809" s="195"/>
      <c r="J809" s="99"/>
    </row>
    <row r="810" ht="12.75" customHeight="1">
      <c r="C810" s="148"/>
      <c r="E810" s="195"/>
      <c r="F810" s="195"/>
      <c r="G810" s="195"/>
      <c r="J810" s="99"/>
    </row>
    <row r="811" ht="12.75" customHeight="1">
      <c r="C811" s="148"/>
      <c r="E811" s="195"/>
      <c r="F811" s="195"/>
      <c r="G811" s="195"/>
      <c r="J811" s="99"/>
    </row>
    <row r="812" ht="12.75" customHeight="1">
      <c r="C812" s="148"/>
      <c r="E812" s="195"/>
      <c r="F812" s="195"/>
      <c r="G812" s="195"/>
      <c r="J812" s="99"/>
    </row>
    <row r="813" ht="12.75" customHeight="1">
      <c r="C813" s="148"/>
      <c r="E813" s="195"/>
      <c r="F813" s="195"/>
      <c r="G813" s="195"/>
      <c r="J813" s="99"/>
    </row>
    <row r="814" ht="12.75" customHeight="1">
      <c r="C814" s="148"/>
      <c r="E814" s="195"/>
      <c r="F814" s="195"/>
      <c r="G814" s="195"/>
      <c r="J814" s="99"/>
    </row>
    <row r="815" ht="12.75" customHeight="1">
      <c r="C815" s="148"/>
      <c r="E815" s="195"/>
      <c r="F815" s="195"/>
      <c r="G815" s="195"/>
      <c r="J815" s="99"/>
    </row>
    <row r="816" ht="12.75" customHeight="1">
      <c r="C816" s="148"/>
      <c r="E816" s="195"/>
      <c r="F816" s="195"/>
      <c r="G816" s="195"/>
      <c r="J816" s="99"/>
    </row>
    <row r="817" ht="12.75" customHeight="1">
      <c r="C817" s="148"/>
      <c r="E817" s="195"/>
      <c r="F817" s="195"/>
      <c r="G817" s="195"/>
      <c r="J817" s="99"/>
    </row>
    <row r="818" ht="12.75" customHeight="1">
      <c r="C818" s="148"/>
      <c r="E818" s="195"/>
      <c r="F818" s="195"/>
      <c r="G818" s="195"/>
      <c r="J818" s="99"/>
    </row>
    <row r="819" ht="12.75" customHeight="1">
      <c r="C819" s="148"/>
      <c r="E819" s="195"/>
      <c r="F819" s="195"/>
      <c r="G819" s="195"/>
      <c r="J819" s="99"/>
    </row>
    <row r="820" ht="12.75" customHeight="1">
      <c r="C820" s="148"/>
      <c r="E820" s="195"/>
      <c r="F820" s="195"/>
      <c r="G820" s="195"/>
      <c r="J820" s="99"/>
    </row>
    <row r="821" ht="12.75" customHeight="1">
      <c r="C821" s="148"/>
      <c r="E821" s="195"/>
      <c r="F821" s="195"/>
      <c r="G821" s="195"/>
      <c r="J821" s="99"/>
    </row>
    <row r="822" ht="12.75" customHeight="1">
      <c r="C822" s="148"/>
      <c r="E822" s="195"/>
      <c r="F822" s="195"/>
      <c r="G822" s="195"/>
      <c r="J822" s="99"/>
    </row>
    <row r="823" ht="12.75" customHeight="1">
      <c r="C823" s="148"/>
      <c r="E823" s="195"/>
      <c r="F823" s="195"/>
      <c r="G823" s="195"/>
      <c r="J823" s="99"/>
    </row>
    <row r="824" ht="12.75" customHeight="1">
      <c r="C824" s="148"/>
      <c r="E824" s="195"/>
      <c r="F824" s="195"/>
      <c r="G824" s="195"/>
      <c r="J824" s="99"/>
    </row>
    <row r="825" ht="12.75" customHeight="1">
      <c r="C825" s="148"/>
      <c r="E825" s="195"/>
      <c r="F825" s="195"/>
      <c r="G825" s="195"/>
      <c r="J825" s="99"/>
    </row>
    <row r="826" ht="12.75" customHeight="1">
      <c r="C826" s="148"/>
      <c r="E826" s="195"/>
      <c r="F826" s="195"/>
      <c r="G826" s="195"/>
      <c r="J826" s="99"/>
    </row>
    <row r="827" ht="12.75" customHeight="1">
      <c r="C827" s="148"/>
      <c r="E827" s="195"/>
      <c r="F827" s="195"/>
      <c r="G827" s="195"/>
      <c r="J827" s="99"/>
    </row>
    <row r="828" ht="12.75" customHeight="1">
      <c r="C828" s="148"/>
      <c r="E828" s="195"/>
      <c r="F828" s="195"/>
      <c r="G828" s="195"/>
      <c r="J828" s="99"/>
    </row>
    <row r="829" ht="12.75" customHeight="1">
      <c r="C829" s="148"/>
      <c r="E829" s="195"/>
      <c r="F829" s="195"/>
      <c r="G829" s="195"/>
      <c r="J829" s="99"/>
    </row>
    <row r="830" ht="12.75" customHeight="1">
      <c r="C830" s="148"/>
      <c r="E830" s="195"/>
      <c r="F830" s="195"/>
      <c r="G830" s="195"/>
      <c r="J830" s="99"/>
    </row>
    <row r="831" ht="12.75" customHeight="1">
      <c r="C831" s="148"/>
      <c r="E831" s="195"/>
      <c r="F831" s="195"/>
      <c r="G831" s="195"/>
      <c r="J831" s="99"/>
    </row>
    <row r="832" ht="12.75" customHeight="1">
      <c r="C832" s="148"/>
      <c r="E832" s="195"/>
      <c r="F832" s="195"/>
      <c r="G832" s="195"/>
      <c r="J832" s="99"/>
    </row>
    <row r="833" ht="12.75" customHeight="1">
      <c r="C833" s="148"/>
      <c r="E833" s="195"/>
      <c r="F833" s="195"/>
      <c r="G833" s="195"/>
      <c r="J833" s="99"/>
    </row>
    <row r="834" ht="12.75" customHeight="1">
      <c r="C834" s="148"/>
      <c r="E834" s="195"/>
      <c r="F834" s="195"/>
      <c r="G834" s="195"/>
      <c r="J834" s="99"/>
    </row>
    <row r="835" ht="12.75" customHeight="1">
      <c r="C835" s="148"/>
      <c r="E835" s="195"/>
      <c r="F835" s="195"/>
      <c r="G835" s="195"/>
      <c r="J835" s="99"/>
    </row>
    <row r="836" ht="12.75" customHeight="1">
      <c r="C836" s="148"/>
      <c r="E836" s="195"/>
      <c r="F836" s="195"/>
      <c r="G836" s="195"/>
      <c r="J836" s="99"/>
    </row>
    <row r="837" ht="12.75" customHeight="1">
      <c r="C837" s="148"/>
      <c r="E837" s="195"/>
      <c r="F837" s="195"/>
      <c r="G837" s="195"/>
      <c r="J837" s="99"/>
    </row>
    <row r="838" ht="12.75" customHeight="1">
      <c r="C838" s="148"/>
      <c r="E838" s="195"/>
      <c r="F838" s="195"/>
      <c r="G838" s="195"/>
      <c r="J838" s="99"/>
    </row>
    <row r="839" ht="12.75" customHeight="1">
      <c r="C839" s="148"/>
      <c r="E839" s="195"/>
      <c r="F839" s="195"/>
      <c r="G839" s="195"/>
      <c r="J839" s="99"/>
    </row>
    <row r="840" ht="12.75" customHeight="1">
      <c r="C840" s="148"/>
      <c r="E840" s="195"/>
      <c r="F840" s="195"/>
      <c r="G840" s="195"/>
      <c r="J840" s="99"/>
    </row>
    <row r="841" ht="12.75" customHeight="1">
      <c r="C841" s="148"/>
      <c r="E841" s="195"/>
      <c r="F841" s="195"/>
      <c r="G841" s="195"/>
      <c r="J841" s="99"/>
    </row>
    <row r="842" ht="12.75" customHeight="1">
      <c r="C842" s="148"/>
      <c r="E842" s="195"/>
      <c r="F842" s="195"/>
      <c r="G842" s="195"/>
      <c r="J842" s="99"/>
    </row>
    <row r="843" ht="12.75" customHeight="1">
      <c r="C843" s="148"/>
      <c r="E843" s="195"/>
      <c r="F843" s="195"/>
      <c r="G843" s="195"/>
      <c r="J843" s="99"/>
    </row>
    <row r="844" ht="12.75" customHeight="1">
      <c r="C844" s="148"/>
      <c r="E844" s="195"/>
      <c r="F844" s="195"/>
      <c r="G844" s="195"/>
      <c r="J844" s="99"/>
    </row>
    <row r="845" ht="12.75" customHeight="1">
      <c r="C845" s="148"/>
      <c r="E845" s="195"/>
      <c r="F845" s="195"/>
      <c r="G845" s="195"/>
      <c r="J845" s="99"/>
    </row>
    <row r="846" ht="12.75" customHeight="1">
      <c r="C846" s="148"/>
      <c r="E846" s="195"/>
      <c r="F846" s="195"/>
      <c r="G846" s="195"/>
      <c r="J846" s="99"/>
    </row>
    <row r="847" ht="12.75" customHeight="1">
      <c r="C847" s="148"/>
      <c r="E847" s="195"/>
      <c r="F847" s="195"/>
      <c r="G847" s="195"/>
      <c r="J847" s="99"/>
    </row>
    <row r="848" ht="12.75" customHeight="1">
      <c r="C848" s="148"/>
      <c r="E848" s="195"/>
      <c r="F848" s="195"/>
      <c r="G848" s="195"/>
      <c r="J848" s="99"/>
    </row>
    <row r="849" ht="12.75" customHeight="1">
      <c r="C849" s="148"/>
      <c r="E849" s="195"/>
      <c r="F849" s="195"/>
      <c r="G849" s="195"/>
      <c r="J849" s="99"/>
    </row>
    <row r="850" ht="12.75" customHeight="1">
      <c r="C850" s="148"/>
      <c r="E850" s="195"/>
      <c r="F850" s="195"/>
      <c r="G850" s="195"/>
      <c r="J850" s="99"/>
    </row>
    <row r="851" ht="12.75" customHeight="1">
      <c r="C851" s="148"/>
      <c r="E851" s="195"/>
      <c r="F851" s="195"/>
      <c r="G851" s="195"/>
      <c r="J851" s="99"/>
    </row>
    <row r="852" ht="12.75" customHeight="1">
      <c r="C852" s="148"/>
      <c r="E852" s="195"/>
      <c r="F852" s="195"/>
      <c r="G852" s="195"/>
      <c r="J852" s="99"/>
    </row>
    <row r="853" ht="12.75" customHeight="1">
      <c r="C853" s="148"/>
      <c r="E853" s="195"/>
      <c r="F853" s="195"/>
      <c r="G853" s="195"/>
      <c r="J853" s="99"/>
    </row>
    <row r="854" ht="12.75" customHeight="1">
      <c r="C854" s="148"/>
      <c r="E854" s="195"/>
      <c r="F854" s="195"/>
      <c r="G854" s="195"/>
      <c r="J854" s="99"/>
    </row>
    <row r="855" ht="12.75" customHeight="1">
      <c r="C855" s="148"/>
      <c r="E855" s="195"/>
      <c r="F855" s="195"/>
      <c r="G855" s="195"/>
      <c r="J855" s="99"/>
    </row>
    <row r="856" ht="12.75" customHeight="1">
      <c r="C856" s="148"/>
      <c r="E856" s="195"/>
      <c r="F856" s="195"/>
      <c r="G856" s="195"/>
      <c r="J856" s="99"/>
    </row>
    <row r="857" ht="12.75" customHeight="1">
      <c r="C857" s="148"/>
      <c r="E857" s="195"/>
      <c r="F857" s="195"/>
      <c r="G857" s="195"/>
      <c r="J857" s="99"/>
    </row>
    <row r="858" ht="12.75" customHeight="1">
      <c r="C858" s="148"/>
      <c r="E858" s="195"/>
      <c r="F858" s="195"/>
      <c r="G858" s="195"/>
      <c r="J858" s="99"/>
    </row>
    <row r="859" ht="12.75" customHeight="1">
      <c r="C859" s="148"/>
      <c r="E859" s="195"/>
      <c r="F859" s="195"/>
      <c r="G859" s="195"/>
      <c r="J859" s="99"/>
    </row>
    <row r="860" ht="12.75" customHeight="1">
      <c r="C860" s="148"/>
      <c r="E860" s="195"/>
      <c r="F860" s="195"/>
      <c r="G860" s="195"/>
      <c r="J860" s="99"/>
    </row>
    <row r="861" ht="12.75" customHeight="1">
      <c r="C861" s="148"/>
      <c r="E861" s="195"/>
      <c r="F861" s="195"/>
      <c r="G861" s="195"/>
      <c r="J861" s="99"/>
    </row>
    <row r="862" ht="12.75" customHeight="1">
      <c r="C862" s="148"/>
      <c r="E862" s="195"/>
      <c r="F862" s="195"/>
      <c r="G862" s="195"/>
      <c r="J862" s="99"/>
    </row>
    <row r="863" ht="12.75" customHeight="1">
      <c r="C863" s="148"/>
      <c r="E863" s="195"/>
      <c r="F863" s="195"/>
      <c r="G863" s="195"/>
      <c r="J863" s="99"/>
    </row>
    <row r="864" ht="12.75" customHeight="1">
      <c r="C864" s="148"/>
      <c r="E864" s="195"/>
      <c r="F864" s="195"/>
      <c r="G864" s="195"/>
      <c r="J864" s="99"/>
    </row>
    <row r="865" ht="12.75" customHeight="1">
      <c r="C865" s="148"/>
      <c r="E865" s="195"/>
      <c r="F865" s="195"/>
      <c r="G865" s="195"/>
      <c r="J865" s="99"/>
    </row>
    <row r="866" ht="12.75" customHeight="1">
      <c r="C866" s="148"/>
      <c r="E866" s="195"/>
      <c r="F866" s="195"/>
      <c r="G866" s="195"/>
      <c r="J866" s="99"/>
    </row>
    <row r="867" ht="12.75" customHeight="1">
      <c r="C867" s="148"/>
      <c r="E867" s="195"/>
      <c r="F867" s="195"/>
      <c r="G867" s="195"/>
      <c r="J867" s="99"/>
    </row>
    <row r="868" ht="12.75" customHeight="1">
      <c r="C868" s="148"/>
      <c r="E868" s="195"/>
      <c r="F868" s="195"/>
      <c r="G868" s="195"/>
      <c r="J868" s="99"/>
    </row>
    <row r="869" ht="12.75" customHeight="1">
      <c r="C869" s="148"/>
      <c r="E869" s="195"/>
      <c r="F869" s="195"/>
      <c r="G869" s="195"/>
      <c r="J869" s="99"/>
    </row>
    <row r="870" ht="12.75" customHeight="1">
      <c r="C870" s="148"/>
      <c r="E870" s="195"/>
      <c r="F870" s="195"/>
      <c r="G870" s="195"/>
      <c r="J870" s="99"/>
    </row>
    <row r="871" ht="12.75" customHeight="1">
      <c r="C871" s="148"/>
      <c r="E871" s="195"/>
      <c r="F871" s="195"/>
      <c r="G871" s="195"/>
      <c r="J871" s="99"/>
    </row>
    <row r="872" ht="12.75" customHeight="1">
      <c r="C872" s="148"/>
      <c r="E872" s="195"/>
      <c r="F872" s="195"/>
      <c r="G872" s="195"/>
      <c r="J872" s="99"/>
    </row>
    <row r="873" ht="12.75" customHeight="1">
      <c r="C873" s="148"/>
      <c r="E873" s="195"/>
      <c r="F873" s="195"/>
      <c r="G873" s="195"/>
      <c r="J873" s="99"/>
    </row>
    <row r="874" ht="12.75" customHeight="1">
      <c r="C874" s="148"/>
      <c r="E874" s="195"/>
      <c r="F874" s="195"/>
      <c r="G874" s="195"/>
      <c r="J874" s="99"/>
    </row>
    <row r="875" ht="12.75" customHeight="1">
      <c r="C875" s="148"/>
      <c r="E875" s="195"/>
      <c r="F875" s="195"/>
      <c r="G875" s="195"/>
      <c r="J875" s="99"/>
    </row>
    <row r="876" ht="12.75" customHeight="1">
      <c r="C876" s="148"/>
      <c r="E876" s="195"/>
      <c r="F876" s="195"/>
      <c r="G876" s="195"/>
      <c r="J876" s="99"/>
    </row>
    <row r="877" ht="12.75" customHeight="1">
      <c r="C877" s="148"/>
      <c r="E877" s="195"/>
      <c r="F877" s="195"/>
      <c r="G877" s="195"/>
      <c r="J877" s="99"/>
    </row>
    <row r="878" ht="12.75" customHeight="1">
      <c r="C878" s="148"/>
      <c r="E878" s="195"/>
      <c r="F878" s="195"/>
      <c r="G878" s="195"/>
      <c r="J878" s="99"/>
    </row>
    <row r="879" ht="12.75" customHeight="1">
      <c r="C879" s="148"/>
      <c r="E879" s="195"/>
      <c r="F879" s="195"/>
      <c r="G879" s="195"/>
      <c r="J879" s="99"/>
    </row>
    <row r="880" ht="12.75" customHeight="1">
      <c r="C880" s="148"/>
      <c r="E880" s="195"/>
      <c r="F880" s="195"/>
      <c r="G880" s="195"/>
      <c r="J880" s="99"/>
    </row>
    <row r="881" ht="12.75" customHeight="1">
      <c r="C881" s="148"/>
      <c r="E881" s="195"/>
      <c r="F881" s="195"/>
      <c r="G881" s="195"/>
      <c r="J881" s="99"/>
    </row>
    <row r="882" ht="12.75" customHeight="1">
      <c r="C882" s="148"/>
      <c r="E882" s="195"/>
      <c r="F882" s="195"/>
      <c r="G882" s="195"/>
      <c r="J882" s="99"/>
    </row>
    <row r="883" ht="12.75" customHeight="1">
      <c r="C883" s="148"/>
      <c r="E883" s="195"/>
      <c r="F883" s="195"/>
      <c r="G883" s="195"/>
      <c r="J883" s="99"/>
    </row>
    <row r="884" ht="12.75" customHeight="1">
      <c r="C884" s="148"/>
      <c r="E884" s="195"/>
      <c r="F884" s="195"/>
      <c r="G884" s="195"/>
      <c r="J884" s="99"/>
    </row>
    <row r="885" ht="12.75" customHeight="1">
      <c r="C885" s="148"/>
      <c r="E885" s="195"/>
      <c r="F885" s="195"/>
      <c r="G885" s="195"/>
      <c r="J885" s="99"/>
    </row>
    <row r="886" ht="12.75" customHeight="1">
      <c r="C886" s="148"/>
      <c r="E886" s="195"/>
      <c r="F886" s="195"/>
      <c r="G886" s="195"/>
      <c r="J886" s="99"/>
    </row>
    <row r="887" ht="12.75" customHeight="1">
      <c r="C887" s="148"/>
      <c r="E887" s="195"/>
      <c r="F887" s="195"/>
      <c r="G887" s="195"/>
      <c r="J887" s="99"/>
    </row>
    <row r="888" ht="12.75" customHeight="1">
      <c r="C888" s="148"/>
      <c r="E888" s="195"/>
      <c r="F888" s="195"/>
      <c r="G888" s="195"/>
      <c r="J888" s="99"/>
    </row>
    <row r="889" ht="12.75" customHeight="1">
      <c r="C889" s="148"/>
      <c r="E889" s="195"/>
      <c r="F889" s="195"/>
      <c r="G889" s="195"/>
      <c r="J889" s="99"/>
    </row>
    <row r="890" ht="12.75" customHeight="1">
      <c r="C890" s="148"/>
      <c r="E890" s="195"/>
      <c r="F890" s="195"/>
      <c r="G890" s="195"/>
      <c r="J890" s="99"/>
    </row>
    <row r="891" ht="12.75" customHeight="1">
      <c r="C891" s="148"/>
      <c r="E891" s="195"/>
      <c r="F891" s="195"/>
      <c r="G891" s="195"/>
      <c r="J891" s="99"/>
    </row>
    <row r="892" ht="12.75" customHeight="1">
      <c r="C892" s="148"/>
      <c r="E892" s="195"/>
      <c r="F892" s="195"/>
      <c r="G892" s="195"/>
      <c r="J892" s="99"/>
    </row>
    <row r="893" ht="12.75" customHeight="1">
      <c r="C893" s="148"/>
      <c r="E893" s="195"/>
      <c r="F893" s="195"/>
      <c r="G893" s="195"/>
      <c r="J893" s="99"/>
    </row>
    <row r="894" ht="12.75" customHeight="1">
      <c r="C894" s="148"/>
      <c r="E894" s="195"/>
      <c r="F894" s="195"/>
      <c r="G894" s="195"/>
      <c r="J894" s="99"/>
    </row>
    <row r="895" ht="12.75" customHeight="1">
      <c r="C895" s="148"/>
      <c r="E895" s="195"/>
      <c r="F895" s="195"/>
      <c r="G895" s="195"/>
      <c r="J895" s="99"/>
    </row>
    <row r="896" ht="12.75" customHeight="1">
      <c r="C896" s="148"/>
      <c r="E896" s="195"/>
      <c r="F896" s="195"/>
      <c r="G896" s="195"/>
      <c r="J896" s="99"/>
    </row>
    <row r="897" ht="12.75" customHeight="1">
      <c r="C897" s="148"/>
      <c r="E897" s="195"/>
      <c r="F897" s="195"/>
      <c r="G897" s="195"/>
      <c r="J897" s="99"/>
    </row>
    <row r="898" ht="12.75" customHeight="1">
      <c r="C898" s="148"/>
      <c r="E898" s="195"/>
      <c r="F898" s="195"/>
      <c r="G898" s="195"/>
      <c r="J898" s="99"/>
    </row>
    <row r="899" ht="12.75" customHeight="1">
      <c r="C899" s="148"/>
      <c r="E899" s="195"/>
      <c r="F899" s="195"/>
      <c r="G899" s="195"/>
      <c r="J899" s="99"/>
    </row>
    <row r="900" ht="12.75" customHeight="1">
      <c r="C900" s="148"/>
      <c r="E900" s="195"/>
      <c r="F900" s="195"/>
      <c r="G900" s="195"/>
      <c r="J900" s="99"/>
    </row>
    <row r="901" ht="12.75" customHeight="1">
      <c r="C901" s="148"/>
      <c r="E901" s="195"/>
      <c r="F901" s="195"/>
      <c r="G901" s="195"/>
      <c r="J901" s="99"/>
    </row>
    <row r="902" ht="12.75" customHeight="1">
      <c r="C902" s="148"/>
      <c r="E902" s="195"/>
      <c r="F902" s="195"/>
      <c r="G902" s="195"/>
      <c r="J902" s="99"/>
    </row>
    <row r="903" ht="12.75" customHeight="1">
      <c r="C903" s="148"/>
      <c r="E903" s="195"/>
      <c r="F903" s="195"/>
      <c r="G903" s="195"/>
      <c r="J903" s="99"/>
    </row>
    <row r="904" ht="12.75" customHeight="1">
      <c r="C904" s="148"/>
      <c r="E904" s="195"/>
      <c r="F904" s="195"/>
      <c r="G904" s="195"/>
      <c r="J904" s="99"/>
    </row>
    <row r="905" ht="12.75" customHeight="1">
      <c r="C905" s="148"/>
      <c r="E905" s="195"/>
      <c r="F905" s="195"/>
      <c r="G905" s="195"/>
      <c r="J905" s="99"/>
    </row>
    <row r="906" ht="12.75" customHeight="1">
      <c r="C906" s="148"/>
      <c r="E906" s="195"/>
      <c r="F906" s="195"/>
      <c r="G906" s="195"/>
      <c r="J906" s="99"/>
    </row>
    <row r="907" ht="12.75" customHeight="1">
      <c r="C907" s="148"/>
      <c r="E907" s="195"/>
      <c r="F907" s="195"/>
      <c r="G907" s="195"/>
      <c r="J907" s="99"/>
    </row>
    <row r="908" ht="12.75" customHeight="1">
      <c r="C908" s="148"/>
      <c r="E908" s="195"/>
      <c r="F908" s="195"/>
      <c r="G908" s="195"/>
      <c r="J908" s="99"/>
    </row>
    <row r="909" ht="12.75" customHeight="1">
      <c r="C909" s="148"/>
      <c r="E909" s="195"/>
      <c r="F909" s="195"/>
      <c r="G909" s="195"/>
      <c r="J909" s="99"/>
    </row>
    <row r="910" ht="12.75" customHeight="1">
      <c r="C910" s="148"/>
      <c r="E910" s="195"/>
      <c r="F910" s="195"/>
      <c r="G910" s="195"/>
      <c r="J910" s="99"/>
    </row>
    <row r="911" ht="12.75" customHeight="1">
      <c r="C911" s="148"/>
      <c r="E911" s="195"/>
      <c r="F911" s="195"/>
      <c r="G911" s="195"/>
      <c r="J911" s="99"/>
    </row>
    <row r="912" ht="12.75" customHeight="1">
      <c r="C912" s="148"/>
      <c r="E912" s="195"/>
      <c r="F912" s="195"/>
      <c r="G912" s="195"/>
      <c r="J912" s="99"/>
    </row>
    <row r="913" ht="12.75" customHeight="1">
      <c r="C913" s="148"/>
      <c r="E913" s="195"/>
      <c r="F913" s="195"/>
      <c r="G913" s="195"/>
      <c r="J913" s="99"/>
    </row>
    <row r="914" ht="12.75" customHeight="1">
      <c r="C914" s="148"/>
      <c r="E914" s="195"/>
      <c r="F914" s="195"/>
      <c r="G914" s="195"/>
      <c r="J914" s="99"/>
    </row>
    <row r="915" ht="12.75" customHeight="1">
      <c r="C915" s="148"/>
      <c r="E915" s="195"/>
      <c r="F915" s="195"/>
      <c r="G915" s="195"/>
      <c r="J915" s="99"/>
    </row>
    <row r="916" ht="12.75" customHeight="1">
      <c r="C916" s="148"/>
      <c r="E916" s="195"/>
      <c r="F916" s="195"/>
      <c r="G916" s="195"/>
      <c r="J916" s="99"/>
    </row>
    <row r="917" ht="12.75" customHeight="1">
      <c r="C917" s="148"/>
      <c r="E917" s="195"/>
      <c r="F917" s="195"/>
      <c r="G917" s="195"/>
      <c r="J917" s="99"/>
    </row>
    <row r="918" ht="12.75" customHeight="1">
      <c r="C918" s="148"/>
      <c r="E918" s="195"/>
      <c r="F918" s="195"/>
      <c r="G918" s="195"/>
      <c r="J918" s="99"/>
    </row>
    <row r="919" ht="12.75" customHeight="1">
      <c r="C919" s="148"/>
      <c r="E919" s="195"/>
      <c r="F919" s="195"/>
      <c r="G919" s="195"/>
      <c r="J919" s="99"/>
    </row>
    <row r="920" ht="12.75" customHeight="1">
      <c r="C920" s="148"/>
      <c r="E920" s="195"/>
      <c r="F920" s="195"/>
      <c r="G920" s="195"/>
      <c r="J920" s="99"/>
    </row>
    <row r="921" ht="12.75" customHeight="1">
      <c r="C921" s="148"/>
      <c r="E921" s="195"/>
      <c r="F921" s="195"/>
      <c r="G921" s="195"/>
      <c r="J921" s="99"/>
    </row>
    <row r="922" ht="12.75" customHeight="1">
      <c r="C922" s="148"/>
      <c r="E922" s="195"/>
      <c r="F922" s="195"/>
      <c r="G922" s="195"/>
      <c r="J922" s="99"/>
    </row>
    <row r="923" ht="12.75" customHeight="1">
      <c r="C923" s="148"/>
      <c r="E923" s="195"/>
      <c r="F923" s="195"/>
      <c r="G923" s="195"/>
      <c r="J923" s="99"/>
    </row>
    <row r="924" ht="12.75" customHeight="1">
      <c r="C924" s="148"/>
      <c r="E924" s="195"/>
      <c r="F924" s="195"/>
      <c r="G924" s="195"/>
      <c r="J924" s="99"/>
    </row>
    <row r="925" ht="12.75" customHeight="1">
      <c r="C925" s="148"/>
      <c r="E925" s="195"/>
      <c r="F925" s="195"/>
      <c r="G925" s="195"/>
      <c r="J925" s="99"/>
    </row>
    <row r="926" ht="12.75" customHeight="1">
      <c r="C926" s="148"/>
      <c r="E926" s="195"/>
      <c r="F926" s="195"/>
      <c r="G926" s="195"/>
      <c r="J926" s="99"/>
    </row>
    <row r="927" ht="12.75" customHeight="1">
      <c r="C927" s="148"/>
      <c r="E927" s="195"/>
      <c r="F927" s="195"/>
      <c r="G927" s="195"/>
      <c r="J927" s="99"/>
    </row>
    <row r="928" ht="12.75" customHeight="1">
      <c r="C928" s="148"/>
      <c r="E928" s="195"/>
      <c r="F928" s="195"/>
      <c r="G928" s="195"/>
      <c r="J928" s="99"/>
    </row>
    <row r="929" ht="12.75" customHeight="1">
      <c r="C929" s="148"/>
      <c r="E929" s="195"/>
      <c r="F929" s="195"/>
      <c r="G929" s="195"/>
      <c r="J929" s="99"/>
    </row>
    <row r="930" ht="12.75" customHeight="1">
      <c r="C930" s="148"/>
      <c r="E930" s="195"/>
      <c r="F930" s="195"/>
      <c r="G930" s="195"/>
      <c r="J930" s="99"/>
    </row>
    <row r="931" ht="12.75" customHeight="1">
      <c r="C931" s="148"/>
      <c r="E931" s="195"/>
      <c r="F931" s="195"/>
      <c r="G931" s="195"/>
      <c r="J931" s="99"/>
    </row>
    <row r="932" ht="12.75" customHeight="1">
      <c r="C932" s="148"/>
      <c r="E932" s="195"/>
      <c r="F932" s="195"/>
      <c r="G932" s="195"/>
      <c r="J932" s="99"/>
    </row>
    <row r="933" ht="12.75" customHeight="1">
      <c r="C933" s="148"/>
      <c r="E933" s="195"/>
      <c r="F933" s="195"/>
      <c r="G933" s="195"/>
      <c r="J933" s="99"/>
    </row>
    <row r="934" ht="12.75" customHeight="1">
      <c r="C934" s="148"/>
      <c r="E934" s="195"/>
      <c r="F934" s="195"/>
      <c r="G934" s="195"/>
      <c r="J934" s="99"/>
    </row>
    <row r="935" ht="12.75" customHeight="1">
      <c r="C935" s="148"/>
      <c r="E935" s="195"/>
      <c r="F935" s="195"/>
      <c r="G935" s="195"/>
      <c r="J935" s="99"/>
    </row>
    <row r="936" ht="12.75" customHeight="1">
      <c r="C936" s="148"/>
      <c r="E936" s="195"/>
      <c r="F936" s="195"/>
      <c r="G936" s="195"/>
      <c r="J936" s="99"/>
    </row>
    <row r="937" ht="12.75" customHeight="1">
      <c r="C937" s="148"/>
      <c r="E937" s="195"/>
      <c r="F937" s="195"/>
      <c r="G937" s="195"/>
      <c r="J937" s="99"/>
    </row>
    <row r="938" ht="12.75" customHeight="1">
      <c r="C938" s="148"/>
      <c r="E938" s="195"/>
      <c r="F938" s="195"/>
      <c r="G938" s="195"/>
      <c r="J938" s="99"/>
    </row>
    <row r="939" ht="12.75" customHeight="1">
      <c r="C939" s="148"/>
      <c r="E939" s="195"/>
      <c r="F939" s="195"/>
      <c r="G939" s="195"/>
      <c r="J939" s="99"/>
    </row>
    <row r="940" ht="12.75" customHeight="1">
      <c r="C940" s="148"/>
      <c r="E940" s="195"/>
      <c r="F940" s="195"/>
      <c r="G940" s="195"/>
      <c r="J940" s="99"/>
    </row>
    <row r="941" ht="12.75" customHeight="1">
      <c r="C941" s="148"/>
      <c r="E941" s="195"/>
      <c r="F941" s="195"/>
      <c r="G941" s="195"/>
      <c r="J941" s="99"/>
    </row>
    <row r="942" ht="12.75" customHeight="1">
      <c r="C942" s="148"/>
      <c r="E942" s="195"/>
      <c r="F942" s="195"/>
      <c r="G942" s="195"/>
      <c r="J942" s="99"/>
    </row>
    <row r="943" ht="12.75" customHeight="1">
      <c r="C943" s="148"/>
      <c r="E943" s="195"/>
      <c r="F943" s="195"/>
      <c r="G943" s="195"/>
      <c r="J943" s="99"/>
    </row>
    <row r="944" ht="12.75" customHeight="1">
      <c r="C944" s="148"/>
      <c r="E944" s="195"/>
      <c r="F944" s="195"/>
      <c r="G944" s="195"/>
      <c r="J944" s="99"/>
    </row>
    <row r="945" ht="12.75" customHeight="1">
      <c r="C945" s="148"/>
      <c r="E945" s="195"/>
      <c r="F945" s="195"/>
      <c r="G945" s="195"/>
      <c r="J945" s="99"/>
    </row>
    <row r="946" ht="12.75" customHeight="1">
      <c r="C946" s="148"/>
      <c r="E946" s="195"/>
      <c r="F946" s="195"/>
      <c r="G946" s="195"/>
      <c r="J946" s="99"/>
    </row>
    <row r="947" ht="12.75" customHeight="1">
      <c r="C947" s="148"/>
      <c r="E947" s="195"/>
      <c r="F947" s="195"/>
      <c r="G947" s="195"/>
      <c r="J947" s="99"/>
    </row>
    <row r="948" ht="12.75" customHeight="1">
      <c r="C948" s="148"/>
      <c r="E948" s="195"/>
      <c r="F948" s="195"/>
      <c r="G948" s="195"/>
      <c r="J948" s="99"/>
    </row>
    <row r="949" ht="12.75" customHeight="1">
      <c r="C949" s="148"/>
      <c r="E949" s="195"/>
      <c r="F949" s="195"/>
      <c r="G949" s="195"/>
      <c r="J949" s="99"/>
    </row>
    <row r="950" ht="12.75" customHeight="1">
      <c r="C950" s="148"/>
      <c r="E950" s="195"/>
      <c r="F950" s="195"/>
      <c r="G950" s="195"/>
      <c r="J950" s="99"/>
    </row>
    <row r="951" ht="12.75" customHeight="1">
      <c r="C951" s="148"/>
      <c r="E951" s="195"/>
      <c r="F951" s="195"/>
      <c r="G951" s="195"/>
      <c r="J951" s="99"/>
    </row>
    <row r="952" ht="12.75" customHeight="1">
      <c r="C952" s="148"/>
      <c r="E952" s="195"/>
      <c r="F952" s="195"/>
      <c r="G952" s="195"/>
      <c r="J952" s="99"/>
    </row>
    <row r="953" ht="12.75" customHeight="1">
      <c r="C953" s="148"/>
      <c r="E953" s="195"/>
      <c r="F953" s="195"/>
      <c r="G953" s="195"/>
      <c r="J953" s="99"/>
    </row>
    <row r="954" ht="12.75" customHeight="1">
      <c r="C954" s="148"/>
      <c r="E954" s="195"/>
      <c r="F954" s="195"/>
      <c r="G954" s="195"/>
      <c r="J954" s="99"/>
    </row>
    <row r="955" ht="12.75" customHeight="1">
      <c r="C955" s="148"/>
      <c r="E955" s="195"/>
      <c r="F955" s="195"/>
      <c r="G955" s="195"/>
      <c r="J955" s="99"/>
    </row>
    <row r="956" ht="12.75" customHeight="1">
      <c r="C956" s="148"/>
      <c r="E956" s="195"/>
      <c r="F956" s="195"/>
      <c r="G956" s="195"/>
      <c r="J956" s="99"/>
    </row>
    <row r="957" ht="12.75" customHeight="1">
      <c r="C957" s="148"/>
      <c r="E957" s="195"/>
      <c r="F957" s="195"/>
      <c r="G957" s="195"/>
      <c r="J957" s="99"/>
    </row>
    <row r="958" ht="12.75" customHeight="1">
      <c r="C958" s="148"/>
      <c r="E958" s="195"/>
      <c r="F958" s="195"/>
      <c r="G958" s="195"/>
      <c r="J958" s="99"/>
    </row>
    <row r="959" ht="12.75" customHeight="1">
      <c r="C959" s="148"/>
      <c r="E959" s="195"/>
      <c r="F959" s="195"/>
      <c r="G959" s="195"/>
      <c r="J959" s="99"/>
    </row>
    <row r="960" ht="12.75" customHeight="1">
      <c r="C960" s="148"/>
      <c r="E960" s="195"/>
      <c r="F960" s="195"/>
      <c r="G960" s="195"/>
      <c r="J960" s="99"/>
    </row>
    <row r="961" ht="12.75" customHeight="1">
      <c r="C961" s="148"/>
      <c r="E961" s="195"/>
      <c r="F961" s="195"/>
      <c r="G961" s="195"/>
      <c r="J961" s="99"/>
    </row>
    <row r="962" ht="12.75" customHeight="1">
      <c r="C962" s="148"/>
      <c r="E962" s="195"/>
      <c r="F962" s="195"/>
      <c r="G962" s="195"/>
      <c r="J962" s="99"/>
    </row>
    <row r="963" ht="12.75" customHeight="1">
      <c r="C963" s="148"/>
      <c r="E963" s="195"/>
      <c r="F963" s="195"/>
      <c r="G963" s="195"/>
      <c r="J963" s="99"/>
    </row>
    <row r="964" ht="12.75" customHeight="1">
      <c r="C964" s="148"/>
      <c r="E964" s="195"/>
      <c r="F964" s="195"/>
      <c r="G964" s="195"/>
      <c r="J964" s="99"/>
    </row>
    <row r="965" ht="12.75" customHeight="1">
      <c r="C965" s="148"/>
      <c r="E965" s="195"/>
      <c r="F965" s="195"/>
      <c r="G965" s="195"/>
      <c r="J965" s="99"/>
    </row>
    <row r="966" ht="12.75" customHeight="1">
      <c r="C966" s="148"/>
      <c r="E966" s="195"/>
      <c r="F966" s="195"/>
      <c r="G966" s="195"/>
      <c r="J966" s="99"/>
    </row>
    <row r="967" ht="12.75" customHeight="1">
      <c r="C967" s="148"/>
      <c r="E967" s="195"/>
      <c r="F967" s="195"/>
      <c r="G967" s="195"/>
      <c r="J967" s="99"/>
    </row>
    <row r="968" ht="12.75" customHeight="1">
      <c r="C968" s="148"/>
      <c r="E968" s="195"/>
      <c r="F968" s="195"/>
      <c r="G968" s="195"/>
      <c r="J968" s="99"/>
    </row>
    <row r="969" ht="12.75" customHeight="1">
      <c r="C969" s="148"/>
      <c r="E969" s="195"/>
      <c r="F969" s="195"/>
      <c r="G969" s="195"/>
      <c r="J969" s="99"/>
    </row>
    <row r="970" ht="12.75" customHeight="1">
      <c r="C970" s="148"/>
      <c r="E970" s="195"/>
      <c r="F970" s="195"/>
      <c r="G970" s="195"/>
      <c r="J970" s="99"/>
    </row>
    <row r="971" ht="12.75" customHeight="1">
      <c r="C971" s="148"/>
      <c r="E971" s="195"/>
      <c r="F971" s="195"/>
      <c r="G971" s="195"/>
      <c r="J971" s="99"/>
    </row>
    <row r="972" ht="12.75" customHeight="1">
      <c r="C972" s="148"/>
      <c r="E972" s="195"/>
      <c r="F972" s="195"/>
      <c r="G972" s="195"/>
      <c r="J972" s="99"/>
    </row>
    <row r="973" ht="12.75" customHeight="1">
      <c r="C973" s="148"/>
      <c r="E973" s="195"/>
      <c r="F973" s="195"/>
      <c r="G973" s="195"/>
      <c r="J973" s="99"/>
    </row>
    <row r="974" ht="12.75" customHeight="1">
      <c r="C974" s="148"/>
      <c r="E974" s="195"/>
      <c r="F974" s="195"/>
      <c r="G974" s="195"/>
      <c r="J974" s="99"/>
    </row>
    <row r="975" ht="12.75" customHeight="1">
      <c r="C975" s="148"/>
      <c r="E975" s="195"/>
      <c r="F975" s="195"/>
      <c r="G975" s="195"/>
      <c r="J975" s="99"/>
    </row>
    <row r="976" ht="12.75" customHeight="1">
      <c r="C976" s="148"/>
      <c r="E976" s="195"/>
      <c r="F976" s="195"/>
      <c r="G976" s="195"/>
      <c r="J976" s="99"/>
    </row>
    <row r="977" ht="12.75" customHeight="1">
      <c r="C977" s="148"/>
      <c r="E977" s="195"/>
      <c r="F977" s="195"/>
      <c r="G977" s="195"/>
      <c r="J977" s="99"/>
    </row>
    <row r="978" ht="12.75" customHeight="1">
      <c r="C978" s="148"/>
      <c r="E978" s="195"/>
      <c r="F978" s="195"/>
      <c r="G978" s="195"/>
      <c r="J978" s="99"/>
    </row>
    <row r="979" ht="12.75" customHeight="1">
      <c r="C979" s="148"/>
      <c r="E979" s="195"/>
      <c r="F979" s="195"/>
      <c r="G979" s="195"/>
      <c r="J979" s="99"/>
    </row>
    <row r="980" ht="12.75" customHeight="1">
      <c r="C980" s="148"/>
      <c r="E980" s="195"/>
      <c r="F980" s="195"/>
      <c r="G980" s="195"/>
      <c r="J980" s="99"/>
    </row>
    <row r="981" ht="12.75" customHeight="1">
      <c r="C981" s="148"/>
      <c r="E981" s="195"/>
      <c r="F981" s="195"/>
      <c r="G981" s="195"/>
      <c r="J981" s="99"/>
    </row>
    <row r="982" ht="12.75" customHeight="1">
      <c r="C982" s="148"/>
      <c r="E982" s="195"/>
      <c r="F982" s="195"/>
      <c r="G982" s="195"/>
      <c r="J982" s="99"/>
    </row>
    <row r="983" ht="12.75" customHeight="1">
      <c r="C983" s="148"/>
      <c r="E983" s="195"/>
      <c r="F983" s="195"/>
      <c r="G983" s="195"/>
      <c r="J983" s="99"/>
    </row>
    <row r="984" ht="12.75" customHeight="1">
      <c r="C984" s="148"/>
      <c r="E984" s="195"/>
      <c r="F984" s="195"/>
      <c r="G984" s="195"/>
      <c r="J984" s="99"/>
    </row>
    <row r="985" ht="12.75" customHeight="1">
      <c r="C985" s="148"/>
      <c r="E985" s="195"/>
      <c r="F985" s="195"/>
      <c r="G985" s="195"/>
      <c r="J985" s="99"/>
    </row>
    <row r="986" ht="12.75" customHeight="1">
      <c r="C986" s="148"/>
      <c r="E986" s="195"/>
      <c r="F986" s="195"/>
      <c r="G986" s="195"/>
      <c r="J986" s="99"/>
    </row>
    <row r="987" ht="12.75" customHeight="1">
      <c r="C987" s="148"/>
      <c r="E987" s="195"/>
      <c r="F987" s="195"/>
      <c r="G987" s="195"/>
      <c r="J987" s="99"/>
    </row>
    <row r="988" ht="12.75" customHeight="1">
      <c r="C988" s="148"/>
      <c r="E988" s="195"/>
      <c r="F988" s="195"/>
      <c r="G988" s="195"/>
      <c r="J988" s="99"/>
    </row>
    <row r="989" ht="12.75" customHeight="1">
      <c r="C989" s="148"/>
      <c r="E989" s="195"/>
      <c r="F989" s="195"/>
      <c r="G989" s="195"/>
      <c r="J989" s="99"/>
    </row>
    <row r="990" ht="12.75" customHeight="1">
      <c r="C990" s="148"/>
      <c r="E990" s="195"/>
      <c r="F990" s="195"/>
      <c r="G990" s="195"/>
      <c r="J990" s="99"/>
    </row>
    <row r="991" ht="12.75" customHeight="1">
      <c r="C991" s="148"/>
      <c r="E991" s="195"/>
      <c r="F991" s="195"/>
      <c r="G991" s="195"/>
      <c r="J991" s="99"/>
    </row>
    <row r="992" ht="12.75" customHeight="1">
      <c r="C992" s="148"/>
      <c r="E992" s="195"/>
      <c r="F992" s="195"/>
      <c r="G992" s="195"/>
      <c r="J992" s="99"/>
    </row>
    <row r="993" ht="12.75" customHeight="1">
      <c r="C993" s="148"/>
      <c r="E993" s="195"/>
      <c r="F993" s="195"/>
      <c r="G993" s="195"/>
      <c r="J993" s="99"/>
    </row>
    <row r="994" ht="12.75" customHeight="1">
      <c r="C994" s="148"/>
      <c r="E994" s="195"/>
      <c r="F994" s="195"/>
      <c r="G994" s="195"/>
      <c r="J994" s="99"/>
    </row>
    <row r="995" ht="12.75" customHeight="1">
      <c r="C995" s="148"/>
      <c r="E995" s="195"/>
      <c r="F995" s="195"/>
      <c r="G995" s="195"/>
      <c r="J995" s="99"/>
    </row>
    <row r="996" ht="12.75" customHeight="1">
      <c r="C996" s="148"/>
      <c r="E996" s="195"/>
      <c r="F996" s="195"/>
      <c r="G996" s="195"/>
      <c r="J996" s="99"/>
    </row>
    <row r="997" ht="12.75" customHeight="1">
      <c r="C997" s="148"/>
      <c r="E997" s="195"/>
      <c r="F997" s="195"/>
      <c r="G997" s="195"/>
      <c r="J997" s="99"/>
    </row>
    <row r="998" ht="12.75" customHeight="1">
      <c r="C998" s="148"/>
      <c r="E998" s="195"/>
      <c r="F998" s="195"/>
      <c r="G998" s="195"/>
      <c r="J998" s="99"/>
    </row>
    <row r="999" ht="12.75" customHeight="1">
      <c r="C999" s="148"/>
      <c r="E999" s="195"/>
      <c r="F999" s="195"/>
      <c r="G999" s="195"/>
      <c r="J999" s="99"/>
    </row>
    <row r="1000" ht="12.75" customHeight="1">
      <c r="C1000" s="148"/>
      <c r="E1000" s="195"/>
      <c r="F1000" s="195"/>
      <c r="G1000" s="195"/>
      <c r="J1000" s="99"/>
    </row>
  </sheetData>
  <mergeCells count="4">
    <mergeCell ref="D2:H2"/>
    <mergeCell ref="A5:J5"/>
    <mergeCell ref="A13:J13"/>
    <mergeCell ref="A15:J15"/>
  </mergeCells>
  <hyperlinks>
    <hyperlink r:id="rId1" location="polycard_client=search-desktop&amp;search_layout=grid&amp;position=5&amp;type=product&amp;tracking_id=d310df42-6d23-4042-be54-551fd42f7c86&amp;wid=MCO3713302828&amp;sid=search" ref="D8"/>
    <hyperlink r:id="rId2" location="polycard_client=recommendations_pdp-v2p&amp;reco_backend=ranker_retrieval_system_org&amp;reco_model=coldstart_low_exposition&amp;reco_client=pdp-v2p&amp;reco_item_pos=0&amp;reco_backend_type=low_level&amp;reco_id=ae481b39-9ffb-4579-8852-0f71b1bbf312&amp;wid=MCO2799695908&amp;sid=recos" ref="D9"/>
    <hyperlink r:id="rId3" ref="D10"/>
  </hyperlinks>
  <printOptions/>
  <pageMargins bottom="0.75" footer="0.0" header="0.0" left="0.7" right="0.7" top="0.75"/>
  <pageSetup orientation="landscape"/>
  <drawing r:id="rId4"/>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34.75"/>
    <col customWidth="1" min="11" max="26" width="10.0"/>
  </cols>
  <sheetData>
    <row r="1" ht="12.75" customHeight="1">
      <c r="C1" s="148"/>
      <c r="D1" s="148"/>
      <c r="E1" s="207"/>
      <c r="F1" s="195"/>
      <c r="G1" s="195"/>
      <c r="H1" s="195"/>
      <c r="J1" s="99"/>
    </row>
    <row r="2" ht="27.75" customHeight="1">
      <c r="C2" s="148"/>
      <c r="D2" s="208" t="s">
        <v>10</v>
      </c>
      <c r="J2" s="99"/>
    </row>
    <row r="3" ht="12.75" customHeight="1">
      <c r="C3" s="148"/>
      <c r="D3" s="148"/>
      <c r="E3" s="207"/>
      <c r="F3" s="195"/>
      <c r="G3" s="195"/>
      <c r="H3" s="195"/>
      <c r="J3" s="99"/>
    </row>
    <row r="4" ht="12.75" customHeight="1">
      <c r="C4" s="148"/>
      <c r="D4" s="148"/>
      <c r="E4" s="207"/>
      <c r="F4" s="195"/>
      <c r="G4" s="195"/>
      <c r="H4" s="195"/>
      <c r="J4" s="99"/>
    </row>
    <row r="5" ht="43.5" customHeight="1">
      <c r="A5" s="209">
        <v>0.0</v>
      </c>
      <c r="B5" s="17"/>
      <c r="C5" s="17"/>
      <c r="D5" s="17"/>
      <c r="E5" s="17"/>
      <c r="F5" s="17"/>
      <c r="G5" s="17"/>
      <c r="H5" s="17"/>
      <c r="I5" s="17"/>
      <c r="J5" s="18"/>
    </row>
    <row r="6" ht="15.75" customHeight="1">
      <c r="C6" s="148"/>
      <c r="D6" s="148"/>
      <c r="E6" s="207"/>
      <c r="F6" s="195"/>
      <c r="G6" s="195"/>
      <c r="H6" s="195"/>
      <c r="J6" s="99"/>
    </row>
    <row r="7" ht="75.75" customHeight="1">
      <c r="A7" s="19" t="s">
        <v>12</v>
      </c>
      <c r="B7" s="49" t="s">
        <v>392</v>
      </c>
      <c r="C7" s="149" t="s">
        <v>393</v>
      </c>
      <c r="D7" s="210" t="s">
        <v>394</v>
      </c>
      <c r="E7" s="211" t="s">
        <v>395</v>
      </c>
      <c r="F7" s="119" t="s">
        <v>396</v>
      </c>
      <c r="G7" s="204" t="s">
        <v>397</v>
      </c>
      <c r="H7" s="118" t="s">
        <v>19</v>
      </c>
      <c r="I7" s="49" t="s">
        <v>398</v>
      </c>
      <c r="J7" s="49" t="s">
        <v>399</v>
      </c>
      <c r="K7" s="24"/>
      <c r="L7" s="24"/>
      <c r="M7" s="24"/>
      <c r="N7" s="24"/>
      <c r="O7" s="24"/>
      <c r="P7" s="24"/>
      <c r="Q7" s="24"/>
      <c r="R7" s="24"/>
      <c r="S7" s="24"/>
      <c r="T7" s="24"/>
      <c r="U7" s="24"/>
      <c r="V7" s="24"/>
      <c r="W7" s="24"/>
      <c r="X7" s="24"/>
      <c r="Y7" s="24"/>
      <c r="Z7" s="24"/>
    </row>
    <row r="8" ht="111.75" customHeight="1">
      <c r="A8" s="67" t="s">
        <v>22</v>
      </c>
      <c r="B8" s="56" t="s">
        <v>400</v>
      </c>
      <c r="C8" s="156" t="s">
        <v>401</v>
      </c>
      <c r="D8" s="212" t="s">
        <v>402</v>
      </c>
      <c r="E8" s="213">
        <v>39900.0</v>
      </c>
      <c r="F8" s="213">
        <v>39900.0</v>
      </c>
      <c r="G8" s="213">
        <v>10.82</v>
      </c>
      <c r="H8" s="141" t="s">
        <v>403</v>
      </c>
      <c r="I8" s="214" t="s">
        <v>404</v>
      </c>
      <c r="J8" s="112" t="s">
        <v>405</v>
      </c>
    </row>
    <row r="9" ht="105.75" customHeight="1">
      <c r="A9" s="67" t="s">
        <v>31</v>
      </c>
      <c r="B9" s="138" t="s">
        <v>293</v>
      </c>
      <c r="C9" s="156" t="s">
        <v>294</v>
      </c>
      <c r="D9" s="212" t="s">
        <v>406</v>
      </c>
      <c r="E9" s="213">
        <v>39900.0</v>
      </c>
      <c r="F9" s="213">
        <v>39900.0</v>
      </c>
      <c r="G9" s="213">
        <v>10.82</v>
      </c>
      <c r="H9" s="141" t="s">
        <v>204</v>
      </c>
      <c r="I9" s="138" t="s">
        <v>296</v>
      </c>
      <c r="J9" s="43" t="s">
        <v>407</v>
      </c>
    </row>
    <row r="10" ht="109.5" customHeight="1">
      <c r="A10" s="67" t="s">
        <v>40</v>
      </c>
      <c r="B10" s="43" t="s">
        <v>201</v>
      </c>
      <c r="C10" s="156" t="s">
        <v>382</v>
      </c>
      <c r="D10" s="212" t="s">
        <v>408</v>
      </c>
      <c r="E10" s="213">
        <v>43900.0</v>
      </c>
      <c r="F10" s="213">
        <v>43900.0</v>
      </c>
      <c r="G10" s="45">
        <v>11.91</v>
      </c>
      <c r="H10" s="141" t="s">
        <v>204</v>
      </c>
      <c r="I10" s="138" t="s">
        <v>205</v>
      </c>
      <c r="J10" s="57" t="s">
        <v>409</v>
      </c>
    </row>
    <row r="11" ht="15.0" hidden="1" customHeight="1">
      <c r="A11" s="36"/>
      <c r="B11" s="78"/>
      <c r="C11" s="158"/>
      <c r="D11" s="158"/>
      <c r="E11" s="215"/>
      <c r="F11" s="133"/>
      <c r="G11" s="133"/>
      <c r="H11" s="141" t="s">
        <v>410</v>
      </c>
      <c r="I11" s="78"/>
      <c r="J11" s="115"/>
    </row>
    <row r="12" ht="12.75" customHeight="1">
      <c r="C12" s="148"/>
      <c r="D12" s="148"/>
      <c r="E12" s="207"/>
      <c r="F12" s="195"/>
      <c r="G12" s="195"/>
      <c r="H12" s="141"/>
      <c r="J12" s="99"/>
    </row>
    <row r="13" ht="138.75" customHeight="1">
      <c r="A13" s="39" t="s">
        <v>411</v>
      </c>
      <c r="B13" s="17"/>
      <c r="C13" s="17"/>
      <c r="D13" s="17"/>
      <c r="E13" s="17"/>
      <c r="F13" s="17"/>
      <c r="G13" s="17"/>
      <c r="H13" s="17"/>
      <c r="I13" s="17"/>
      <c r="J13" s="18"/>
    </row>
    <row r="14" ht="12.75" customHeight="1">
      <c r="C14" s="148"/>
      <c r="D14" s="148"/>
      <c r="E14" s="207"/>
      <c r="F14" s="195"/>
      <c r="G14" s="195"/>
      <c r="H14" s="195"/>
      <c r="J14" s="99"/>
    </row>
    <row r="15" ht="75.0" customHeight="1">
      <c r="A15" s="39" t="s">
        <v>412</v>
      </c>
      <c r="B15" s="17"/>
      <c r="C15" s="17"/>
      <c r="D15" s="17"/>
      <c r="E15" s="17"/>
      <c r="F15" s="17"/>
      <c r="G15" s="17"/>
      <c r="H15" s="17"/>
      <c r="I15" s="17"/>
      <c r="J15" s="18"/>
    </row>
    <row r="16" ht="12.75" customHeight="1">
      <c r="C16" s="148"/>
      <c r="D16" s="148"/>
      <c r="E16" s="207"/>
      <c r="F16" s="195"/>
      <c r="G16" s="195"/>
      <c r="H16" s="195"/>
      <c r="J16" s="99"/>
    </row>
    <row r="17" ht="12.75" customHeight="1">
      <c r="C17" s="148"/>
      <c r="D17" s="148"/>
      <c r="E17" s="207"/>
      <c r="F17" s="195"/>
      <c r="G17" s="195"/>
      <c r="H17" s="195"/>
      <c r="J17" s="99"/>
    </row>
    <row r="18" ht="12.75" customHeight="1">
      <c r="C18" s="148"/>
      <c r="D18" s="148"/>
      <c r="E18" s="207"/>
      <c r="F18" s="195"/>
      <c r="G18" s="195"/>
      <c r="H18" s="195"/>
      <c r="J18" s="99"/>
    </row>
    <row r="19" ht="12.75" customHeight="1">
      <c r="C19" s="148"/>
      <c r="D19" s="148"/>
      <c r="E19" s="207"/>
      <c r="F19" s="195"/>
      <c r="G19" s="195"/>
      <c r="H19" s="195"/>
      <c r="J19" s="99"/>
    </row>
    <row r="20" ht="12.75" customHeight="1">
      <c r="C20" s="148"/>
      <c r="D20" s="148"/>
      <c r="E20" s="207"/>
      <c r="F20" s="195"/>
      <c r="G20" s="195"/>
      <c r="H20" s="195"/>
      <c r="J20" s="99"/>
    </row>
    <row r="21" ht="12.75" customHeight="1">
      <c r="C21" s="148"/>
      <c r="D21" s="148"/>
      <c r="E21" s="207"/>
      <c r="F21" s="195"/>
      <c r="G21" s="195"/>
      <c r="H21" s="195"/>
      <c r="J21" s="99"/>
    </row>
    <row r="22" ht="12.75" customHeight="1">
      <c r="C22" s="148"/>
      <c r="D22" s="148"/>
      <c r="E22" s="207"/>
      <c r="F22" s="195"/>
      <c r="G22" s="195"/>
      <c r="H22" s="195"/>
      <c r="J22" s="99"/>
    </row>
    <row r="23" ht="12.75" customHeight="1">
      <c r="C23" s="148"/>
      <c r="D23" s="148"/>
      <c r="E23" s="207"/>
      <c r="F23" s="195"/>
      <c r="G23" s="195"/>
      <c r="H23" s="195"/>
      <c r="J23" s="99"/>
    </row>
    <row r="24" ht="12.75" customHeight="1">
      <c r="C24" s="148"/>
      <c r="D24" s="148"/>
      <c r="E24" s="207"/>
      <c r="F24" s="195"/>
      <c r="G24" s="195"/>
      <c r="H24" s="195"/>
      <c r="J24" s="99"/>
    </row>
    <row r="25" ht="12.75" customHeight="1">
      <c r="C25" s="148"/>
      <c r="D25" s="148"/>
      <c r="E25" s="207"/>
      <c r="F25" s="195"/>
      <c r="G25" s="195"/>
      <c r="H25" s="195"/>
      <c r="J25" s="99"/>
    </row>
    <row r="26" ht="12.75" customHeight="1">
      <c r="C26" s="148"/>
      <c r="D26" s="216"/>
      <c r="E26" s="217"/>
      <c r="F26" s="202"/>
      <c r="G26" s="202"/>
      <c r="H26" s="195"/>
      <c r="J26" s="99"/>
    </row>
    <row r="27" ht="12.75" customHeight="1">
      <c r="C27" s="148"/>
      <c r="D27" s="148"/>
      <c r="E27" s="207"/>
      <c r="F27" s="195"/>
      <c r="G27" s="195"/>
      <c r="H27" s="195"/>
      <c r="J27" s="99"/>
    </row>
    <row r="28" ht="12.75" customHeight="1">
      <c r="C28" s="148"/>
      <c r="D28" s="148"/>
      <c r="E28" s="207"/>
      <c r="F28" s="195"/>
      <c r="G28" s="195"/>
      <c r="H28" s="195"/>
      <c r="J28" s="99"/>
    </row>
    <row r="29" ht="12.75" customHeight="1">
      <c r="C29" s="148"/>
      <c r="D29" s="148"/>
      <c r="E29" s="207"/>
      <c r="F29" s="195"/>
      <c r="G29" s="195"/>
      <c r="H29" s="195"/>
      <c r="J29" s="99"/>
    </row>
    <row r="30" ht="12.75" customHeight="1">
      <c r="C30" s="148"/>
      <c r="D30" s="148"/>
      <c r="E30" s="207"/>
      <c r="F30" s="195"/>
      <c r="G30" s="195"/>
      <c r="H30" s="195"/>
      <c r="J30" s="99"/>
    </row>
    <row r="31" ht="12.75" customHeight="1">
      <c r="C31" s="148"/>
      <c r="D31" s="148"/>
      <c r="E31" s="207"/>
      <c r="F31" s="195"/>
      <c r="G31" s="195"/>
      <c r="H31" s="195"/>
      <c r="J31" s="99"/>
    </row>
    <row r="32" ht="12.75" customHeight="1">
      <c r="C32" s="148"/>
      <c r="D32" s="148"/>
      <c r="E32" s="207"/>
      <c r="F32" s="195"/>
      <c r="G32" s="195"/>
      <c r="H32" s="195"/>
      <c r="J32" s="99"/>
    </row>
    <row r="33" ht="12.75" customHeight="1">
      <c r="C33" s="148"/>
      <c r="D33" s="148"/>
      <c r="E33" s="207"/>
      <c r="F33" s="195"/>
      <c r="G33" s="195"/>
      <c r="H33" s="195"/>
      <c r="J33" s="99"/>
    </row>
    <row r="34" ht="12.75" customHeight="1">
      <c r="C34" s="148"/>
      <c r="D34" s="148"/>
      <c r="E34" s="207"/>
      <c r="F34" s="195"/>
      <c r="G34" s="195"/>
      <c r="H34" s="195"/>
      <c r="J34" s="99"/>
    </row>
    <row r="35" ht="12.75" customHeight="1">
      <c r="C35" s="148"/>
      <c r="D35" s="148"/>
      <c r="E35" s="207"/>
      <c r="F35" s="195"/>
      <c r="G35" s="195"/>
      <c r="H35" s="195"/>
      <c r="J35" s="99"/>
    </row>
    <row r="36" ht="12.75" customHeight="1">
      <c r="C36" s="148"/>
      <c r="D36" s="148"/>
      <c r="E36" s="207"/>
      <c r="F36" s="195"/>
      <c r="G36" s="195"/>
      <c r="H36" s="195"/>
      <c r="J36" s="99"/>
    </row>
    <row r="37" ht="12.75" customHeight="1">
      <c r="C37" s="148"/>
      <c r="D37" s="148"/>
      <c r="E37" s="207"/>
      <c r="F37" s="195"/>
      <c r="G37" s="195"/>
      <c r="H37" s="195"/>
      <c r="J37" s="99"/>
    </row>
    <row r="38" ht="12.75" customHeight="1">
      <c r="C38" s="148"/>
      <c r="D38" s="148"/>
      <c r="E38" s="207"/>
      <c r="F38" s="195"/>
      <c r="G38" s="195"/>
      <c r="H38" s="195"/>
      <c r="J38" s="99"/>
    </row>
    <row r="39" ht="12.75" customHeight="1">
      <c r="C39" s="148"/>
      <c r="D39" s="148"/>
      <c r="E39" s="207"/>
      <c r="F39" s="195"/>
      <c r="G39" s="195"/>
      <c r="H39" s="195"/>
      <c r="J39" s="99"/>
    </row>
    <row r="40" ht="12.75" customHeight="1">
      <c r="C40" s="148"/>
      <c r="D40" s="148"/>
      <c r="E40" s="207"/>
      <c r="F40" s="195"/>
      <c r="G40" s="195"/>
      <c r="H40" s="195"/>
      <c r="J40" s="99"/>
    </row>
    <row r="41" ht="12.75" customHeight="1">
      <c r="C41" s="148"/>
      <c r="D41" s="148"/>
      <c r="E41" s="207"/>
      <c r="F41" s="195"/>
      <c r="G41" s="195"/>
      <c r="H41" s="195"/>
      <c r="J41" s="99"/>
    </row>
    <row r="42" ht="12.75" customHeight="1">
      <c r="C42" s="148"/>
      <c r="D42" s="148"/>
      <c r="E42" s="207"/>
      <c r="F42" s="195"/>
      <c r="G42" s="195"/>
      <c r="H42" s="195"/>
      <c r="J42" s="99"/>
    </row>
    <row r="43" ht="12.75" customHeight="1">
      <c r="C43" s="148"/>
      <c r="D43" s="148"/>
      <c r="E43" s="207"/>
      <c r="F43" s="195"/>
      <c r="G43" s="195"/>
      <c r="H43" s="195"/>
      <c r="J43" s="99"/>
    </row>
    <row r="44" ht="12.75" customHeight="1">
      <c r="C44" s="148"/>
      <c r="D44" s="148"/>
      <c r="E44" s="207"/>
      <c r="F44" s="195"/>
      <c r="G44" s="195"/>
      <c r="H44" s="195"/>
      <c r="J44" s="99"/>
    </row>
    <row r="45" ht="12.75" customHeight="1">
      <c r="C45" s="148"/>
      <c r="D45" s="148"/>
      <c r="E45" s="207"/>
      <c r="F45" s="195"/>
      <c r="G45" s="195"/>
      <c r="H45" s="195"/>
      <c r="J45" s="99"/>
    </row>
    <row r="46" ht="12.75" customHeight="1">
      <c r="C46" s="148"/>
      <c r="D46" s="148"/>
      <c r="E46" s="207"/>
      <c r="F46" s="195"/>
      <c r="G46" s="195"/>
      <c r="H46" s="195"/>
      <c r="J46" s="99"/>
    </row>
    <row r="47" ht="12.75" customHeight="1">
      <c r="C47" s="148"/>
      <c r="D47" s="148"/>
      <c r="E47" s="207"/>
      <c r="F47" s="195"/>
      <c r="G47" s="195"/>
      <c r="H47" s="195"/>
      <c r="J47" s="99"/>
    </row>
    <row r="48" ht="12.75" customHeight="1">
      <c r="C48" s="148"/>
      <c r="D48" s="148"/>
      <c r="E48" s="207"/>
      <c r="F48" s="195"/>
      <c r="G48" s="195"/>
      <c r="H48" s="195"/>
      <c r="J48" s="99"/>
    </row>
    <row r="49" ht="12.75" customHeight="1">
      <c r="C49" s="148"/>
      <c r="D49" s="148"/>
      <c r="E49" s="207"/>
      <c r="F49" s="195"/>
      <c r="G49" s="195"/>
      <c r="H49" s="195"/>
      <c r="J49" s="99"/>
    </row>
    <row r="50" ht="12.75" customHeight="1">
      <c r="C50" s="148"/>
      <c r="D50" s="148"/>
      <c r="E50" s="207"/>
      <c r="F50" s="195"/>
      <c r="G50" s="195"/>
      <c r="H50" s="195"/>
      <c r="J50" s="99"/>
    </row>
    <row r="51" ht="12.75" customHeight="1">
      <c r="C51" s="148"/>
      <c r="D51" s="148"/>
      <c r="E51" s="207"/>
      <c r="F51" s="195"/>
      <c r="G51" s="195"/>
      <c r="H51" s="195"/>
      <c r="J51" s="99"/>
    </row>
    <row r="52" ht="12.75" customHeight="1">
      <c r="C52" s="148"/>
      <c r="D52" s="148"/>
      <c r="E52" s="207"/>
      <c r="F52" s="195"/>
      <c r="G52" s="195"/>
      <c r="H52" s="195"/>
      <c r="J52" s="99"/>
    </row>
    <row r="53" ht="12.75" customHeight="1">
      <c r="C53" s="148"/>
      <c r="D53" s="148"/>
      <c r="E53" s="207"/>
      <c r="F53" s="195"/>
      <c r="G53" s="195"/>
      <c r="H53" s="195"/>
      <c r="J53" s="99"/>
    </row>
    <row r="54" ht="12.75" customHeight="1">
      <c r="C54" s="148"/>
      <c r="D54" s="148"/>
      <c r="E54" s="207"/>
      <c r="F54" s="195"/>
      <c r="G54" s="195"/>
      <c r="H54" s="195"/>
      <c r="J54" s="99"/>
    </row>
    <row r="55" ht="12.75" customHeight="1">
      <c r="C55" s="148"/>
      <c r="D55" s="148"/>
      <c r="E55" s="207"/>
      <c r="F55" s="195"/>
      <c r="G55" s="195"/>
      <c r="H55" s="195"/>
      <c r="J55" s="99"/>
    </row>
    <row r="56" ht="12.75" customHeight="1">
      <c r="C56" s="148"/>
      <c r="D56" s="148"/>
      <c r="E56" s="207"/>
      <c r="F56" s="195"/>
      <c r="G56" s="195"/>
      <c r="H56" s="195"/>
      <c r="J56" s="99"/>
    </row>
    <row r="57" ht="12.75" customHeight="1">
      <c r="C57" s="148"/>
      <c r="D57" s="148"/>
      <c r="E57" s="207"/>
      <c r="F57" s="195"/>
      <c r="G57" s="195"/>
      <c r="H57" s="195"/>
      <c r="J57" s="99"/>
    </row>
    <row r="58" ht="12.75" customHeight="1">
      <c r="C58" s="148"/>
      <c r="D58" s="148"/>
      <c r="E58" s="207"/>
      <c r="F58" s="195"/>
      <c r="G58" s="195"/>
      <c r="H58" s="195"/>
      <c r="J58" s="99"/>
    </row>
    <row r="59" ht="12.75" customHeight="1">
      <c r="C59" s="148"/>
      <c r="D59" s="148"/>
      <c r="E59" s="207"/>
      <c r="F59" s="195"/>
      <c r="G59" s="195"/>
      <c r="H59" s="195"/>
      <c r="J59" s="99"/>
    </row>
    <row r="60" ht="12.75" customHeight="1">
      <c r="C60" s="148"/>
      <c r="D60" s="148"/>
      <c r="E60" s="207"/>
      <c r="F60" s="195"/>
      <c r="G60" s="195"/>
      <c r="H60" s="195"/>
      <c r="J60" s="99"/>
    </row>
    <row r="61" ht="12.75" customHeight="1">
      <c r="C61" s="148"/>
      <c r="D61" s="148"/>
      <c r="E61" s="207"/>
      <c r="F61" s="195"/>
      <c r="G61" s="195"/>
      <c r="H61" s="195"/>
      <c r="J61" s="99"/>
    </row>
    <row r="62" ht="12.75" customHeight="1">
      <c r="C62" s="148"/>
      <c r="D62" s="148"/>
      <c r="E62" s="207"/>
      <c r="F62" s="195"/>
      <c r="G62" s="195"/>
      <c r="H62" s="195"/>
      <c r="J62" s="99"/>
    </row>
    <row r="63" ht="12.75" customHeight="1">
      <c r="C63" s="148"/>
      <c r="D63" s="148"/>
      <c r="E63" s="207"/>
      <c r="F63" s="195"/>
      <c r="G63" s="195"/>
      <c r="H63" s="195"/>
      <c r="J63" s="99"/>
    </row>
    <row r="64" ht="12.75" customHeight="1">
      <c r="C64" s="148"/>
      <c r="D64" s="148"/>
      <c r="E64" s="207"/>
      <c r="F64" s="195"/>
      <c r="G64" s="195"/>
      <c r="H64" s="195"/>
      <c r="J64" s="99"/>
    </row>
    <row r="65" ht="12.75" customHeight="1">
      <c r="C65" s="148"/>
      <c r="D65" s="148"/>
      <c r="E65" s="207"/>
      <c r="F65" s="195"/>
      <c r="G65" s="195"/>
      <c r="H65" s="195"/>
      <c r="J65" s="99"/>
    </row>
    <row r="66" ht="12.75" customHeight="1">
      <c r="C66" s="148"/>
      <c r="D66" s="148"/>
      <c r="E66" s="207"/>
      <c r="F66" s="195"/>
      <c r="G66" s="195"/>
      <c r="H66" s="195"/>
      <c r="J66" s="99"/>
    </row>
    <row r="67" ht="12.75" customHeight="1">
      <c r="C67" s="148"/>
      <c r="D67" s="148"/>
      <c r="E67" s="207"/>
      <c r="F67" s="195"/>
      <c r="G67" s="195"/>
      <c r="H67" s="195"/>
      <c r="J67" s="99"/>
    </row>
    <row r="68" ht="12.75" customHeight="1">
      <c r="C68" s="148"/>
      <c r="D68" s="148"/>
      <c r="E68" s="207"/>
      <c r="F68" s="195"/>
      <c r="G68" s="195"/>
      <c r="H68" s="195"/>
      <c r="J68" s="99"/>
    </row>
    <row r="69" ht="12.75" customHeight="1">
      <c r="C69" s="148"/>
      <c r="D69" s="148"/>
      <c r="E69" s="207"/>
      <c r="F69" s="195"/>
      <c r="G69" s="195"/>
      <c r="H69" s="195"/>
      <c r="J69" s="99"/>
    </row>
    <row r="70" ht="12.75" customHeight="1">
      <c r="C70" s="148"/>
      <c r="D70" s="148"/>
      <c r="E70" s="207"/>
      <c r="F70" s="195"/>
      <c r="G70" s="195"/>
      <c r="H70" s="195"/>
      <c r="J70" s="99"/>
    </row>
    <row r="71" ht="12.75" customHeight="1">
      <c r="C71" s="148"/>
      <c r="D71" s="148"/>
      <c r="E71" s="207"/>
      <c r="F71" s="195"/>
      <c r="G71" s="195"/>
      <c r="H71" s="195"/>
      <c r="J71" s="99"/>
    </row>
    <row r="72" ht="12.75" customHeight="1">
      <c r="C72" s="148"/>
      <c r="D72" s="148"/>
      <c r="E72" s="207"/>
      <c r="F72" s="195"/>
      <c r="G72" s="195"/>
      <c r="H72" s="195"/>
      <c r="J72" s="99"/>
    </row>
    <row r="73" ht="12.75" customHeight="1">
      <c r="C73" s="148"/>
      <c r="D73" s="148"/>
      <c r="E73" s="207"/>
      <c r="F73" s="195"/>
      <c r="G73" s="195"/>
      <c r="H73" s="195"/>
      <c r="J73" s="99"/>
    </row>
    <row r="74" ht="12.75" customHeight="1">
      <c r="C74" s="148"/>
      <c r="D74" s="148"/>
      <c r="E74" s="207"/>
      <c r="F74" s="195"/>
      <c r="G74" s="195"/>
      <c r="H74" s="195"/>
      <c r="J74" s="99"/>
    </row>
    <row r="75" ht="12.75" customHeight="1">
      <c r="C75" s="148"/>
      <c r="D75" s="148"/>
      <c r="E75" s="207"/>
      <c r="F75" s="195"/>
      <c r="G75" s="195"/>
      <c r="H75" s="195"/>
      <c r="J75" s="99"/>
    </row>
    <row r="76" ht="12.75" customHeight="1">
      <c r="C76" s="148"/>
      <c r="D76" s="148"/>
      <c r="E76" s="207"/>
      <c r="F76" s="195"/>
      <c r="G76" s="195"/>
      <c r="H76" s="195"/>
      <c r="J76" s="99"/>
    </row>
    <row r="77" ht="12.75" customHeight="1">
      <c r="C77" s="148"/>
      <c r="D77" s="148"/>
      <c r="E77" s="207"/>
      <c r="F77" s="195"/>
      <c r="G77" s="195"/>
      <c r="H77" s="195"/>
      <c r="J77" s="99"/>
    </row>
    <row r="78" ht="12.75" customHeight="1">
      <c r="C78" s="148"/>
      <c r="D78" s="148"/>
      <c r="E78" s="207"/>
      <c r="F78" s="195"/>
      <c r="G78" s="195"/>
      <c r="H78" s="195"/>
      <c r="J78" s="99"/>
    </row>
    <row r="79" ht="12.75" customHeight="1">
      <c r="C79" s="148"/>
      <c r="D79" s="148"/>
      <c r="E79" s="207"/>
      <c r="F79" s="195"/>
      <c r="G79" s="195"/>
      <c r="H79" s="195"/>
      <c r="J79" s="99"/>
    </row>
    <row r="80" ht="12.75" customHeight="1">
      <c r="C80" s="148"/>
      <c r="D80" s="148"/>
      <c r="E80" s="207"/>
      <c r="F80" s="195"/>
      <c r="G80" s="195"/>
      <c r="H80" s="195"/>
      <c r="J80" s="99"/>
    </row>
    <row r="81" ht="12.75" customHeight="1">
      <c r="C81" s="148"/>
      <c r="D81" s="148"/>
      <c r="E81" s="207"/>
      <c r="F81" s="195"/>
      <c r="G81" s="195"/>
      <c r="H81" s="195"/>
      <c r="J81" s="99"/>
    </row>
    <row r="82" ht="12.75" customHeight="1">
      <c r="C82" s="148"/>
      <c r="D82" s="148"/>
      <c r="E82" s="207"/>
      <c r="F82" s="195"/>
      <c r="G82" s="195"/>
      <c r="H82" s="195"/>
      <c r="J82" s="99"/>
    </row>
    <row r="83" ht="12.75" customHeight="1">
      <c r="C83" s="148"/>
      <c r="D83" s="148"/>
      <c r="E83" s="207"/>
      <c r="F83" s="195"/>
      <c r="G83" s="195"/>
      <c r="H83" s="195"/>
      <c r="J83" s="99"/>
    </row>
    <row r="84" ht="12.75" customHeight="1">
      <c r="C84" s="148"/>
      <c r="D84" s="148"/>
      <c r="E84" s="207"/>
      <c r="F84" s="195"/>
      <c r="G84" s="195"/>
      <c r="H84" s="195"/>
      <c r="J84" s="99"/>
    </row>
    <row r="85" ht="12.75" customHeight="1">
      <c r="C85" s="148"/>
      <c r="D85" s="148"/>
      <c r="E85" s="207"/>
      <c r="F85" s="195"/>
      <c r="G85" s="195"/>
      <c r="H85" s="195"/>
      <c r="J85" s="99"/>
    </row>
    <row r="86" ht="12.75" customHeight="1">
      <c r="C86" s="148"/>
      <c r="D86" s="148"/>
      <c r="E86" s="207"/>
      <c r="F86" s="195"/>
      <c r="G86" s="195"/>
      <c r="H86" s="195"/>
      <c r="J86" s="99"/>
    </row>
    <row r="87" ht="12.75" customHeight="1">
      <c r="C87" s="148"/>
      <c r="D87" s="148"/>
      <c r="E87" s="207"/>
      <c r="F87" s="195"/>
      <c r="G87" s="195"/>
      <c r="H87" s="195"/>
      <c r="J87" s="99"/>
    </row>
    <row r="88" ht="12.75" customHeight="1">
      <c r="C88" s="148"/>
      <c r="D88" s="148"/>
      <c r="E88" s="207"/>
      <c r="F88" s="195"/>
      <c r="G88" s="195"/>
      <c r="H88" s="195"/>
      <c r="J88" s="99"/>
    </row>
    <row r="89" ht="12.75" customHeight="1">
      <c r="C89" s="148"/>
      <c r="D89" s="148"/>
      <c r="E89" s="207"/>
      <c r="F89" s="195"/>
      <c r="G89" s="195"/>
      <c r="H89" s="195"/>
      <c r="J89" s="99"/>
    </row>
    <row r="90" ht="12.75" customHeight="1">
      <c r="C90" s="148"/>
      <c r="D90" s="148"/>
      <c r="E90" s="207"/>
      <c r="F90" s="195"/>
      <c r="G90" s="195"/>
      <c r="H90" s="195"/>
      <c r="J90" s="99"/>
    </row>
    <row r="91" ht="12.75" customHeight="1">
      <c r="C91" s="148"/>
      <c r="D91" s="148"/>
      <c r="E91" s="207"/>
      <c r="F91" s="195"/>
      <c r="G91" s="195"/>
      <c r="H91" s="195"/>
      <c r="J91" s="99"/>
    </row>
    <row r="92" ht="12.75" customHeight="1">
      <c r="C92" s="148"/>
      <c r="D92" s="148"/>
      <c r="E92" s="207"/>
      <c r="F92" s="195"/>
      <c r="G92" s="195"/>
      <c r="H92" s="195"/>
      <c r="J92" s="99"/>
    </row>
    <row r="93" ht="12.75" customHeight="1">
      <c r="C93" s="148"/>
      <c r="D93" s="148"/>
      <c r="E93" s="207"/>
      <c r="F93" s="195"/>
      <c r="G93" s="195"/>
      <c r="H93" s="195"/>
      <c r="J93" s="99"/>
    </row>
    <row r="94" ht="12.75" customHeight="1">
      <c r="C94" s="148"/>
      <c r="D94" s="148"/>
      <c r="E94" s="207"/>
      <c r="F94" s="195"/>
      <c r="G94" s="195"/>
      <c r="H94" s="195"/>
      <c r="J94" s="99"/>
    </row>
    <row r="95" ht="12.75" customHeight="1">
      <c r="C95" s="148"/>
      <c r="D95" s="148"/>
      <c r="E95" s="207"/>
      <c r="F95" s="195"/>
      <c r="G95" s="195"/>
      <c r="H95" s="195"/>
      <c r="J95" s="99"/>
    </row>
    <row r="96" ht="12.75" customHeight="1">
      <c r="C96" s="148"/>
      <c r="D96" s="148"/>
      <c r="E96" s="207"/>
      <c r="F96" s="195"/>
      <c r="G96" s="195"/>
      <c r="H96" s="195"/>
      <c r="J96" s="99"/>
    </row>
    <row r="97" ht="12.75" customHeight="1">
      <c r="C97" s="148"/>
      <c r="D97" s="148"/>
      <c r="E97" s="207"/>
      <c r="F97" s="195"/>
      <c r="G97" s="195"/>
      <c r="H97" s="195"/>
      <c r="J97" s="99"/>
    </row>
    <row r="98" ht="12.75" customHeight="1">
      <c r="C98" s="148"/>
      <c r="D98" s="148"/>
      <c r="E98" s="207"/>
      <c r="F98" s="195"/>
      <c r="G98" s="195"/>
      <c r="H98" s="195"/>
      <c r="J98" s="99"/>
    </row>
    <row r="99" ht="12.75" customHeight="1">
      <c r="C99" s="148"/>
      <c r="D99" s="148"/>
      <c r="E99" s="207"/>
      <c r="F99" s="195"/>
      <c r="G99" s="195"/>
      <c r="H99" s="195"/>
      <c r="J99" s="99"/>
    </row>
    <row r="100" ht="12.75" customHeight="1">
      <c r="C100" s="148"/>
      <c r="D100" s="148"/>
      <c r="E100" s="207"/>
      <c r="F100" s="195"/>
      <c r="G100" s="195"/>
      <c r="H100" s="195"/>
      <c r="J100" s="99"/>
    </row>
    <row r="101" ht="12.75" customHeight="1">
      <c r="C101" s="148"/>
      <c r="D101" s="148"/>
      <c r="E101" s="207"/>
      <c r="F101" s="195"/>
      <c r="G101" s="195"/>
      <c r="H101" s="195"/>
      <c r="J101" s="99"/>
    </row>
    <row r="102" ht="12.75" customHeight="1">
      <c r="C102" s="148"/>
      <c r="D102" s="148"/>
      <c r="E102" s="207"/>
      <c r="F102" s="195"/>
      <c r="G102" s="195"/>
      <c r="H102" s="195"/>
      <c r="J102" s="99"/>
    </row>
    <row r="103" ht="12.75" customHeight="1">
      <c r="C103" s="148"/>
      <c r="D103" s="148"/>
      <c r="E103" s="207"/>
      <c r="F103" s="195"/>
      <c r="G103" s="195"/>
      <c r="H103" s="195"/>
      <c r="J103" s="99"/>
    </row>
    <row r="104" ht="12.75" customHeight="1">
      <c r="C104" s="148"/>
      <c r="D104" s="148"/>
      <c r="E104" s="207"/>
      <c r="F104" s="195"/>
      <c r="G104" s="195"/>
      <c r="H104" s="195"/>
      <c r="J104" s="99"/>
    </row>
    <row r="105" ht="12.75" customHeight="1">
      <c r="C105" s="148"/>
      <c r="D105" s="148"/>
      <c r="E105" s="207"/>
      <c r="F105" s="195"/>
      <c r="G105" s="195"/>
      <c r="H105" s="195"/>
      <c r="J105" s="99"/>
    </row>
    <row r="106" ht="12.75" customHeight="1">
      <c r="C106" s="148"/>
      <c r="D106" s="148"/>
      <c r="E106" s="207"/>
      <c r="F106" s="195"/>
      <c r="G106" s="195"/>
      <c r="H106" s="195"/>
      <c r="J106" s="99"/>
    </row>
    <row r="107" ht="12.75" customHeight="1">
      <c r="C107" s="148"/>
      <c r="D107" s="148"/>
      <c r="E107" s="207"/>
      <c r="F107" s="195"/>
      <c r="G107" s="195"/>
      <c r="H107" s="195"/>
      <c r="J107" s="99"/>
    </row>
    <row r="108" ht="12.75" customHeight="1">
      <c r="C108" s="148"/>
      <c r="D108" s="148"/>
      <c r="E108" s="207"/>
      <c r="F108" s="195"/>
      <c r="G108" s="195"/>
      <c r="H108" s="195"/>
      <c r="J108" s="99"/>
    </row>
    <row r="109" ht="12.75" customHeight="1">
      <c r="C109" s="148"/>
      <c r="D109" s="148"/>
      <c r="E109" s="207"/>
      <c r="F109" s="195"/>
      <c r="G109" s="195"/>
      <c r="H109" s="195"/>
      <c r="J109" s="99"/>
    </row>
    <row r="110" ht="12.75" customHeight="1">
      <c r="C110" s="148"/>
      <c r="D110" s="148"/>
      <c r="E110" s="207"/>
      <c r="F110" s="195"/>
      <c r="G110" s="195"/>
      <c r="H110" s="195"/>
      <c r="J110" s="99"/>
    </row>
    <row r="111" ht="12.75" customHeight="1">
      <c r="C111" s="148"/>
      <c r="D111" s="148"/>
      <c r="E111" s="207"/>
      <c r="F111" s="195"/>
      <c r="G111" s="195"/>
      <c r="H111" s="195"/>
      <c r="J111" s="99"/>
    </row>
    <row r="112" ht="12.75" customHeight="1">
      <c r="C112" s="148"/>
      <c r="D112" s="148"/>
      <c r="E112" s="207"/>
      <c r="F112" s="195"/>
      <c r="G112" s="195"/>
      <c r="H112" s="195"/>
      <c r="J112" s="99"/>
    </row>
    <row r="113" ht="12.75" customHeight="1">
      <c r="C113" s="148"/>
      <c r="D113" s="148"/>
      <c r="E113" s="207"/>
      <c r="F113" s="195"/>
      <c r="G113" s="195"/>
      <c r="H113" s="195"/>
      <c r="J113" s="99"/>
    </row>
    <row r="114" ht="12.75" customHeight="1">
      <c r="C114" s="148"/>
      <c r="D114" s="148"/>
      <c r="E114" s="207"/>
      <c r="F114" s="195"/>
      <c r="G114" s="195"/>
      <c r="H114" s="195"/>
      <c r="J114" s="99"/>
    </row>
    <row r="115" ht="12.75" customHeight="1">
      <c r="C115" s="148"/>
      <c r="D115" s="148"/>
      <c r="E115" s="207"/>
      <c r="F115" s="195"/>
      <c r="G115" s="195"/>
      <c r="H115" s="195"/>
      <c r="J115" s="99"/>
    </row>
    <row r="116" ht="12.75" customHeight="1">
      <c r="C116" s="148"/>
      <c r="D116" s="148"/>
      <c r="E116" s="207"/>
      <c r="F116" s="195"/>
      <c r="G116" s="195"/>
      <c r="H116" s="195"/>
      <c r="J116" s="99"/>
    </row>
    <row r="117" ht="12.75" customHeight="1">
      <c r="C117" s="148"/>
      <c r="D117" s="148"/>
      <c r="E117" s="207"/>
      <c r="F117" s="195"/>
      <c r="G117" s="195"/>
      <c r="H117" s="195"/>
      <c r="J117" s="99"/>
    </row>
    <row r="118" ht="12.75" customHeight="1">
      <c r="C118" s="148"/>
      <c r="D118" s="148"/>
      <c r="E118" s="207"/>
      <c r="F118" s="195"/>
      <c r="G118" s="195"/>
      <c r="H118" s="195"/>
      <c r="J118" s="99"/>
    </row>
    <row r="119" ht="12.75" customHeight="1">
      <c r="C119" s="148"/>
      <c r="D119" s="148"/>
      <c r="E119" s="207"/>
      <c r="F119" s="195"/>
      <c r="G119" s="195"/>
      <c r="H119" s="195"/>
      <c r="J119" s="99"/>
    </row>
    <row r="120" ht="12.75" customHeight="1">
      <c r="C120" s="148"/>
      <c r="D120" s="148"/>
      <c r="E120" s="207"/>
      <c r="F120" s="195"/>
      <c r="G120" s="195"/>
      <c r="H120" s="195"/>
      <c r="J120" s="99"/>
    </row>
    <row r="121" ht="12.75" customHeight="1">
      <c r="C121" s="148"/>
      <c r="D121" s="148"/>
      <c r="E121" s="207"/>
      <c r="F121" s="195"/>
      <c r="G121" s="195"/>
      <c r="H121" s="195"/>
      <c r="J121" s="99"/>
    </row>
    <row r="122" ht="12.75" customHeight="1">
      <c r="C122" s="148"/>
      <c r="D122" s="148"/>
      <c r="E122" s="207"/>
      <c r="F122" s="195"/>
      <c r="G122" s="195"/>
      <c r="H122" s="195"/>
      <c r="J122" s="99"/>
    </row>
    <row r="123" ht="12.75" customHeight="1">
      <c r="C123" s="148"/>
      <c r="D123" s="148"/>
      <c r="E123" s="207"/>
      <c r="F123" s="195"/>
      <c r="G123" s="195"/>
      <c r="H123" s="195"/>
      <c r="J123" s="99"/>
    </row>
    <row r="124" ht="12.75" customHeight="1">
      <c r="C124" s="148"/>
      <c r="D124" s="148"/>
      <c r="E124" s="207"/>
      <c r="F124" s="195"/>
      <c r="G124" s="195"/>
      <c r="H124" s="195"/>
      <c r="J124" s="99"/>
    </row>
    <row r="125" ht="12.75" customHeight="1">
      <c r="C125" s="148"/>
      <c r="D125" s="148"/>
      <c r="E125" s="207"/>
      <c r="F125" s="195"/>
      <c r="G125" s="195"/>
      <c r="H125" s="195"/>
      <c r="J125" s="99"/>
    </row>
    <row r="126" ht="12.75" customHeight="1">
      <c r="C126" s="148"/>
      <c r="D126" s="148"/>
      <c r="E126" s="207"/>
      <c r="F126" s="195"/>
      <c r="G126" s="195"/>
      <c r="H126" s="195"/>
      <c r="J126" s="99"/>
    </row>
    <row r="127" ht="12.75" customHeight="1">
      <c r="C127" s="148"/>
      <c r="D127" s="148"/>
      <c r="E127" s="207"/>
      <c r="F127" s="195"/>
      <c r="G127" s="195"/>
      <c r="H127" s="195"/>
      <c r="J127" s="99"/>
    </row>
    <row r="128" ht="12.75" customHeight="1">
      <c r="C128" s="148"/>
      <c r="D128" s="148"/>
      <c r="E128" s="207"/>
      <c r="F128" s="195"/>
      <c r="G128" s="195"/>
      <c r="H128" s="195"/>
      <c r="J128" s="99"/>
    </row>
    <row r="129" ht="12.75" customHeight="1">
      <c r="C129" s="148"/>
      <c r="D129" s="148"/>
      <c r="E129" s="207"/>
      <c r="F129" s="195"/>
      <c r="G129" s="195"/>
      <c r="H129" s="195"/>
      <c r="J129" s="99"/>
    </row>
    <row r="130" ht="12.75" customHeight="1">
      <c r="C130" s="148"/>
      <c r="D130" s="148"/>
      <c r="E130" s="207"/>
      <c r="F130" s="195"/>
      <c r="G130" s="195"/>
      <c r="H130" s="195"/>
      <c r="J130" s="99"/>
    </row>
    <row r="131" ht="12.75" customHeight="1">
      <c r="C131" s="148"/>
      <c r="D131" s="148"/>
      <c r="E131" s="207"/>
      <c r="F131" s="195"/>
      <c r="G131" s="195"/>
      <c r="H131" s="195"/>
      <c r="J131" s="99"/>
    </row>
    <row r="132" ht="12.75" customHeight="1">
      <c r="C132" s="148"/>
      <c r="D132" s="148"/>
      <c r="E132" s="207"/>
      <c r="F132" s="195"/>
      <c r="G132" s="195"/>
      <c r="H132" s="195"/>
      <c r="J132" s="99"/>
    </row>
    <row r="133" ht="12.75" customHeight="1">
      <c r="C133" s="148"/>
      <c r="D133" s="148"/>
      <c r="E133" s="207"/>
      <c r="F133" s="195"/>
      <c r="G133" s="195"/>
      <c r="H133" s="195"/>
      <c r="J133" s="99"/>
    </row>
    <row r="134" ht="12.75" customHeight="1">
      <c r="C134" s="148"/>
      <c r="D134" s="148"/>
      <c r="E134" s="207"/>
      <c r="F134" s="195"/>
      <c r="G134" s="195"/>
      <c r="H134" s="195"/>
      <c r="J134" s="99"/>
    </row>
    <row r="135" ht="12.75" customHeight="1">
      <c r="C135" s="148"/>
      <c r="D135" s="148"/>
      <c r="E135" s="207"/>
      <c r="F135" s="195"/>
      <c r="G135" s="195"/>
      <c r="H135" s="195"/>
      <c r="J135" s="99"/>
    </row>
    <row r="136" ht="12.75" customHeight="1">
      <c r="C136" s="148"/>
      <c r="D136" s="148"/>
      <c r="E136" s="207"/>
      <c r="F136" s="195"/>
      <c r="G136" s="195"/>
      <c r="H136" s="195"/>
      <c r="J136" s="99"/>
    </row>
    <row r="137" ht="12.75" customHeight="1">
      <c r="C137" s="148"/>
      <c r="D137" s="148"/>
      <c r="E137" s="207"/>
      <c r="F137" s="195"/>
      <c r="G137" s="195"/>
      <c r="H137" s="195"/>
      <c r="J137" s="99"/>
    </row>
    <row r="138" ht="12.75" customHeight="1">
      <c r="C138" s="148"/>
      <c r="D138" s="148"/>
      <c r="E138" s="207"/>
      <c r="F138" s="195"/>
      <c r="G138" s="195"/>
      <c r="H138" s="195"/>
      <c r="J138" s="99"/>
    </row>
    <row r="139" ht="12.75" customHeight="1">
      <c r="C139" s="148"/>
      <c r="D139" s="148"/>
      <c r="E139" s="207"/>
      <c r="F139" s="195"/>
      <c r="G139" s="195"/>
      <c r="H139" s="195"/>
      <c r="J139" s="99"/>
    </row>
    <row r="140" ht="12.75" customHeight="1">
      <c r="C140" s="148"/>
      <c r="D140" s="148"/>
      <c r="E140" s="207"/>
      <c r="F140" s="195"/>
      <c r="G140" s="195"/>
      <c r="H140" s="195"/>
      <c r="J140" s="99"/>
    </row>
    <row r="141" ht="12.75" customHeight="1">
      <c r="C141" s="148"/>
      <c r="D141" s="148"/>
      <c r="E141" s="207"/>
      <c r="F141" s="195"/>
      <c r="G141" s="195"/>
      <c r="H141" s="195"/>
      <c r="J141" s="99"/>
    </row>
    <row r="142" ht="12.75" customHeight="1">
      <c r="C142" s="148"/>
      <c r="D142" s="148"/>
      <c r="E142" s="207"/>
      <c r="F142" s="195"/>
      <c r="G142" s="195"/>
      <c r="H142" s="195"/>
      <c r="J142" s="99"/>
    </row>
    <row r="143" ht="12.75" customHeight="1">
      <c r="C143" s="148"/>
      <c r="D143" s="148"/>
      <c r="E143" s="207"/>
      <c r="F143" s="195"/>
      <c r="G143" s="195"/>
      <c r="H143" s="195"/>
      <c r="J143" s="99"/>
    </row>
    <row r="144" ht="12.75" customHeight="1">
      <c r="C144" s="148"/>
      <c r="D144" s="148"/>
      <c r="E144" s="207"/>
      <c r="F144" s="195"/>
      <c r="G144" s="195"/>
      <c r="H144" s="195"/>
      <c r="J144" s="99"/>
    </row>
    <row r="145" ht="12.75" customHeight="1">
      <c r="C145" s="148"/>
      <c r="D145" s="148"/>
      <c r="E145" s="207"/>
      <c r="F145" s="195"/>
      <c r="G145" s="195"/>
      <c r="H145" s="195"/>
      <c r="J145" s="99"/>
    </row>
    <row r="146" ht="12.75" customHeight="1">
      <c r="C146" s="148"/>
      <c r="D146" s="148"/>
      <c r="E146" s="207"/>
      <c r="F146" s="195"/>
      <c r="G146" s="195"/>
      <c r="H146" s="195"/>
      <c r="J146" s="99"/>
    </row>
    <row r="147" ht="12.75" customHeight="1">
      <c r="C147" s="148"/>
      <c r="D147" s="148"/>
      <c r="E147" s="207"/>
      <c r="F147" s="195"/>
      <c r="G147" s="195"/>
      <c r="H147" s="195"/>
      <c r="J147" s="99"/>
    </row>
    <row r="148" ht="12.75" customHeight="1">
      <c r="C148" s="148"/>
      <c r="D148" s="148"/>
      <c r="E148" s="207"/>
      <c r="F148" s="195"/>
      <c r="G148" s="195"/>
      <c r="H148" s="195"/>
      <c r="J148" s="99"/>
    </row>
    <row r="149" ht="12.75" customHeight="1">
      <c r="C149" s="148"/>
      <c r="D149" s="148"/>
      <c r="E149" s="207"/>
      <c r="F149" s="195"/>
      <c r="G149" s="195"/>
      <c r="H149" s="195"/>
      <c r="J149" s="99"/>
    </row>
    <row r="150" ht="12.75" customHeight="1">
      <c r="C150" s="148"/>
      <c r="D150" s="148"/>
      <c r="E150" s="207"/>
      <c r="F150" s="195"/>
      <c r="G150" s="195"/>
      <c r="H150" s="195"/>
      <c r="J150" s="99"/>
    </row>
    <row r="151" ht="12.75" customHeight="1">
      <c r="C151" s="148"/>
      <c r="D151" s="148"/>
      <c r="E151" s="207"/>
      <c r="F151" s="195"/>
      <c r="G151" s="195"/>
      <c r="H151" s="195"/>
      <c r="J151" s="99"/>
    </row>
    <row r="152" ht="12.75" customHeight="1">
      <c r="C152" s="148"/>
      <c r="D152" s="148"/>
      <c r="E152" s="207"/>
      <c r="F152" s="195"/>
      <c r="G152" s="195"/>
      <c r="H152" s="195"/>
      <c r="J152" s="99"/>
    </row>
    <row r="153" ht="12.75" customHeight="1">
      <c r="C153" s="148"/>
      <c r="D153" s="148"/>
      <c r="E153" s="207"/>
      <c r="F153" s="195"/>
      <c r="G153" s="195"/>
      <c r="H153" s="195"/>
      <c r="J153" s="99"/>
    </row>
    <row r="154" ht="12.75" customHeight="1">
      <c r="C154" s="148"/>
      <c r="D154" s="148"/>
      <c r="E154" s="207"/>
      <c r="F154" s="195"/>
      <c r="G154" s="195"/>
      <c r="H154" s="195"/>
      <c r="J154" s="99"/>
    </row>
    <row r="155" ht="12.75" customHeight="1">
      <c r="C155" s="148"/>
      <c r="D155" s="148"/>
      <c r="E155" s="207"/>
      <c r="F155" s="195"/>
      <c r="G155" s="195"/>
      <c r="H155" s="195"/>
      <c r="J155" s="99"/>
    </row>
    <row r="156" ht="12.75" customHeight="1">
      <c r="C156" s="148"/>
      <c r="D156" s="148"/>
      <c r="E156" s="207"/>
      <c r="F156" s="195"/>
      <c r="G156" s="195"/>
      <c r="H156" s="195"/>
      <c r="J156" s="99"/>
    </row>
    <row r="157" ht="12.75" customHeight="1">
      <c r="C157" s="148"/>
      <c r="D157" s="148"/>
      <c r="E157" s="207"/>
      <c r="F157" s="195"/>
      <c r="G157" s="195"/>
      <c r="H157" s="195"/>
      <c r="J157" s="99"/>
    </row>
    <row r="158" ht="12.75" customHeight="1">
      <c r="C158" s="148"/>
      <c r="D158" s="148"/>
      <c r="E158" s="207"/>
      <c r="F158" s="195"/>
      <c r="G158" s="195"/>
      <c r="H158" s="195"/>
      <c r="J158" s="99"/>
    </row>
    <row r="159" ht="12.75" customHeight="1">
      <c r="C159" s="148"/>
      <c r="D159" s="148"/>
      <c r="E159" s="207"/>
      <c r="F159" s="195"/>
      <c r="G159" s="195"/>
      <c r="H159" s="195"/>
      <c r="J159" s="99"/>
    </row>
    <row r="160" ht="12.75" customHeight="1">
      <c r="C160" s="148"/>
      <c r="D160" s="148"/>
      <c r="E160" s="207"/>
      <c r="F160" s="195"/>
      <c r="G160" s="195"/>
      <c r="H160" s="195"/>
      <c r="J160" s="99"/>
    </row>
    <row r="161" ht="12.75" customHeight="1">
      <c r="C161" s="148"/>
      <c r="D161" s="148"/>
      <c r="E161" s="207"/>
      <c r="F161" s="195"/>
      <c r="G161" s="195"/>
      <c r="H161" s="195"/>
      <c r="J161" s="99"/>
    </row>
    <row r="162" ht="12.75" customHeight="1">
      <c r="C162" s="148"/>
      <c r="D162" s="148"/>
      <c r="E162" s="207"/>
      <c r="F162" s="195"/>
      <c r="G162" s="195"/>
      <c r="H162" s="195"/>
      <c r="J162" s="99"/>
    </row>
    <row r="163" ht="12.75" customHeight="1">
      <c r="C163" s="148"/>
      <c r="D163" s="148"/>
      <c r="E163" s="207"/>
      <c r="F163" s="195"/>
      <c r="G163" s="195"/>
      <c r="H163" s="195"/>
      <c r="J163" s="99"/>
    </row>
    <row r="164" ht="12.75" customHeight="1">
      <c r="C164" s="148"/>
      <c r="D164" s="148"/>
      <c r="E164" s="207"/>
      <c r="F164" s="195"/>
      <c r="G164" s="195"/>
      <c r="H164" s="195"/>
      <c r="J164" s="99"/>
    </row>
    <row r="165" ht="12.75" customHeight="1">
      <c r="C165" s="148"/>
      <c r="D165" s="148"/>
      <c r="E165" s="207"/>
      <c r="F165" s="195"/>
      <c r="G165" s="195"/>
      <c r="H165" s="195"/>
      <c r="J165" s="99"/>
    </row>
    <row r="166" ht="12.75" customHeight="1">
      <c r="C166" s="148"/>
      <c r="D166" s="148"/>
      <c r="E166" s="207"/>
      <c r="F166" s="195"/>
      <c r="G166" s="195"/>
      <c r="H166" s="195"/>
      <c r="J166" s="99"/>
    </row>
    <row r="167" ht="12.75" customHeight="1">
      <c r="C167" s="148"/>
      <c r="D167" s="148"/>
      <c r="E167" s="207"/>
      <c r="F167" s="195"/>
      <c r="G167" s="195"/>
      <c r="H167" s="195"/>
      <c r="J167" s="99"/>
    </row>
    <row r="168" ht="12.75" customHeight="1">
      <c r="C168" s="148"/>
      <c r="D168" s="148"/>
      <c r="E168" s="207"/>
      <c r="F168" s="195"/>
      <c r="G168" s="195"/>
      <c r="H168" s="195"/>
      <c r="J168" s="99"/>
    </row>
    <row r="169" ht="12.75" customHeight="1">
      <c r="C169" s="148"/>
      <c r="D169" s="148"/>
      <c r="E169" s="207"/>
      <c r="F169" s="195"/>
      <c r="G169" s="195"/>
      <c r="H169" s="195"/>
      <c r="J169" s="99"/>
    </row>
    <row r="170" ht="12.75" customHeight="1">
      <c r="C170" s="148"/>
      <c r="D170" s="148"/>
      <c r="E170" s="207"/>
      <c r="F170" s="195"/>
      <c r="G170" s="195"/>
      <c r="H170" s="195"/>
      <c r="J170" s="99"/>
    </row>
    <row r="171" ht="12.75" customHeight="1">
      <c r="C171" s="148"/>
      <c r="D171" s="148"/>
      <c r="E171" s="207"/>
      <c r="F171" s="195"/>
      <c r="G171" s="195"/>
      <c r="H171" s="195"/>
      <c r="J171" s="99"/>
    </row>
    <row r="172" ht="12.75" customHeight="1">
      <c r="C172" s="148"/>
      <c r="D172" s="148"/>
      <c r="E172" s="207"/>
      <c r="F172" s="195"/>
      <c r="G172" s="195"/>
      <c r="H172" s="195"/>
      <c r="J172" s="99"/>
    </row>
    <row r="173" ht="12.75" customHeight="1">
      <c r="C173" s="148"/>
      <c r="D173" s="148"/>
      <c r="E173" s="207"/>
      <c r="F173" s="195"/>
      <c r="G173" s="195"/>
      <c r="H173" s="195"/>
      <c r="J173" s="99"/>
    </row>
    <row r="174" ht="12.75" customHeight="1">
      <c r="C174" s="148"/>
      <c r="D174" s="148"/>
      <c r="E174" s="207"/>
      <c r="F174" s="195"/>
      <c r="G174" s="195"/>
      <c r="H174" s="195"/>
      <c r="J174" s="99"/>
    </row>
    <row r="175" ht="12.75" customHeight="1">
      <c r="C175" s="148"/>
      <c r="D175" s="148"/>
      <c r="E175" s="207"/>
      <c r="F175" s="195"/>
      <c r="G175" s="195"/>
      <c r="H175" s="195"/>
      <c r="J175" s="99"/>
    </row>
    <row r="176" ht="12.75" customHeight="1">
      <c r="C176" s="148"/>
      <c r="D176" s="148"/>
      <c r="E176" s="207"/>
      <c r="F176" s="195"/>
      <c r="G176" s="195"/>
      <c r="H176" s="195"/>
      <c r="J176" s="99"/>
    </row>
    <row r="177" ht="12.75" customHeight="1">
      <c r="C177" s="148"/>
      <c r="D177" s="148"/>
      <c r="E177" s="207"/>
      <c r="F177" s="195"/>
      <c r="G177" s="195"/>
      <c r="H177" s="195"/>
      <c r="J177" s="99"/>
    </row>
    <row r="178" ht="12.75" customHeight="1">
      <c r="C178" s="148"/>
      <c r="D178" s="148"/>
      <c r="E178" s="207"/>
      <c r="F178" s="195"/>
      <c r="G178" s="195"/>
      <c r="H178" s="195"/>
      <c r="J178" s="99"/>
    </row>
    <row r="179" ht="12.75" customHeight="1">
      <c r="C179" s="148"/>
      <c r="D179" s="148"/>
      <c r="E179" s="207"/>
      <c r="F179" s="195"/>
      <c r="G179" s="195"/>
      <c r="H179" s="195"/>
      <c r="J179" s="99"/>
    </row>
    <row r="180" ht="12.75" customHeight="1">
      <c r="C180" s="148"/>
      <c r="D180" s="148"/>
      <c r="E180" s="207"/>
      <c r="F180" s="195"/>
      <c r="G180" s="195"/>
      <c r="H180" s="195"/>
      <c r="J180" s="99"/>
    </row>
    <row r="181" ht="12.75" customHeight="1">
      <c r="C181" s="148"/>
      <c r="D181" s="148"/>
      <c r="E181" s="207"/>
      <c r="F181" s="195"/>
      <c r="G181" s="195"/>
      <c r="H181" s="195"/>
      <c r="J181" s="99"/>
    </row>
    <row r="182" ht="12.75" customHeight="1">
      <c r="C182" s="148"/>
      <c r="D182" s="148"/>
      <c r="E182" s="207"/>
      <c r="F182" s="195"/>
      <c r="G182" s="195"/>
      <c r="H182" s="195"/>
      <c r="J182" s="99"/>
    </row>
    <row r="183" ht="12.75" customHeight="1">
      <c r="C183" s="148"/>
      <c r="D183" s="148"/>
      <c r="E183" s="207"/>
      <c r="F183" s="195"/>
      <c r="G183" s="195"/>
      <c r="H183" s="195"/>
      <c r="J183" s="99"/>
    </row>
    <row r="184" ht="12.75" customHeight="1">
      <c r="C184" s="148"/>
      <c r="D184" s="148"/>
      <c r="E184" s="207"/>
      <c r="F184" s="195"/>
      <c r="G184" s="195"/>
      <c r="H184" s="195"/>
      <c r="J184" s="99"/>
    </row>
    <row r="185" ht="12.75" customHeight="1">
      <c r="C185" s="148"/>
      <c r="D185" s="148"/>
      <c r="E185" s="207"/>
      <c r="F185" s="195"/>
      <c r="G185" s="195"/>
      <c r="H185" s="195"/>
      <c r="J185" s="99"/>
    </row>
    <row r="186" ht="12.75" customHeight="1">
      <c r="C186" s="148"/>
      <c r="D186" s="148"/>
      <c r="E186" s="207"/>
      <c r="F186" s="195"/>
      <c r="G186" s="195"/>
      <c r="H186" s="195"/>
      <c r="J186" s="99"/>
    </row>
    <row r="187" ht="12.75" customHeight="1">
      <c r="C187" s="148"/>
      <c r="D187" s="148"/>
      <c r="E187" s="207"/>
      <c r="F187" s="195"/>
      <c r="G187" s="195"/>
      <c r="H187" s="195"/>
      <c r="J187" s="99"/>
    </row>
    <row r="188" ht="12.75" customHeight="1">
      <c r="C188" s="148"/>
      <c r="D188" s="148"/>
      <c r="E188" s="207"/>
      <c r="F188" s="195"/>
      <c r="G188" s="195"/>
      <c r="H188" s="195"/>
      <c r="J188" s="99"/>
    </row>
    <row r="189" ht="12.75" customHeight="1">
      <c r="C189" s="148"/>
      <c r="D189" s="148"/>
      <c r="E189" s="207"/>
      <c r="F189" s="195"/>
      <c r="G189" s="195"/>
      <c r="H189" s="195"/>
      <c r="J189" s="99"/>
    </row>
    <row r="190" ht="12.75" customHeight="1">
      <c r="C190" s="148"/>
      <c r="D190" s="148"/>
      <c r="E190" s="207"/>
      <c r="F190" s="195"/>
      <c r="G190" s="195"/>
      <c r="H190" s="195"/>
      <c r="J190" s="99"/>
    </row>
    <row r="191" ht="12.75" customHeight="1">
      <c r="C191" s="148"/>
      <c r="D191" s="148"/>
      <c r="E191" s="207"/>
      <c r="F191" s="195"/>
      <c r="G191" s="195"/>
      <c r="H191" s="195"/>
      <c r="J191" s="99"/>
    </row>
    <row r="192" ht="12.75" customHeight="1">
      <c r="C192" s="148"/>
      <c r="D192" s="148"/>
      <c r="E192" s="207"/>
      <c r="F192" s="195"/>
      <c r="G192" s="195"/>
      <c r="H192" s="195"/>
      <c r="J192" s="99"/>
    </row>
    <row r="193" ht="12.75" customHeight="1">
      <c r="C193" s="148"/>
      <c r="D193" s="148"/>
      <c r="E193" s="207"/>
      <c r="F193" s="195"/>
      <c r="G193" s="195"/>
      <c r="H193" s="195"/>
      <c r="J193" s="99"/>
    </row>
    <row r="194" ht="12.75" customHeight="1">
      <c r="C194" s="148"/>
      <c r="D194" s="148"/>
      <c r="E194" s="207"/>
      <c r="F194" s="195"/>
      <c r="G194" s="195"/>
      <c r="H194" s="195"/>
      <c r="J194" s="99"/>
    </row>
    <row r="195" ht="12.75" customHeight="1">
      <c r="C195" s="148"/>
      <c r="D195" s="148"/>
      <c r="E195" s="207"/>
      <c r="F195" s="195"/>
      <c r="G195" s="195"/>
      <c r="H195" s="195"/>
      <c r="J195" s="99"/>
    </row>
    <row r="196" ht="12.75" customHeight="1">
      <c r="C196" s="148"/>
      <c r="D196" s="148"/>
      <c r="E196" s="207"/>
      <c r="F196" s="195"/>
      <c r="G196" s="195"/>
      <c r="H196" s="195"/>
      <c r="J196" s="99"/>
    </row>
    <row r="197" ht="12.75" customHeight="1">
      <c r="C197" s="148"/>
      <c r="D197" s="148"/>
      <c r="E197" s="207"/>
      <c r="F197" s="195"/>
      <c r="G197" s="195"/>
      <c r="H197" s="195"/>
      <c r="J197" s="99"/>
    </row>
    <row r="198" ht="12.75" customHeight="1">
      <c r="C198" s="148"/>
      <c r="D198" s="148"/>
      <c r="E198" s="207"/>
      <c r="F198" s="195"/>
      <c r="G198" s="195"/>
      <c r="H198" s="195"/>
      <c r="J198" s="99"/>
    </row>
    <row r="199" ht="12.75" customHeight="1">
      <c r="C199" s="148"/>
      <c r="D199" s="148"/>
      <c r="E199" s="207"/>
      <c r="F199" s="195"/>
      <c r="G199" s="195"/>
      <c r="H199" s="195"/>
      <c r="J199" s="99"/>
    </row>
    <row r="200" ht="12.75" customHeight="1">
      <c r="C200" s="148"/>
      <c r="D200" s="148"/>
      <c r="E200" s="207"/>
      <c r="F200" s="195"/>
      <c r="G200" s="195"/>
      <c r="H200" s="195"/>
      <c r="J200" s="99"/>
    </row>
    <row r="201" ht="12.75" customHeight="1">
      <c r="C201" s="148"/>
      <c r="D201" s="148"/>
      <c r="E201" s="207"/>
      <c r="F201" s="195"/>
      <c r="G201" s="195"/>
      <c r="H201" s="195"/>
      <c r="J201" s="99"/>
    </row>
    <row r="202" ht="12.75" customHeight="1">
      <c r="C202" s="148"/>
      <c r="D202" s="148"/>
      <c r="E202" s="207"/>
      <c r="F202" s="195"/>
      <c r="G202" s="195"/>
      <c r="H202" s="195"/>
      <c r="J202" s="99"/>
    </row>
    <row r="203" ht="12.75" customHeight="1">
      <c r="C203" s="148"/>
      <c r="D203" s="148"/>
      <c r="E203" s="207"/>
      <c r="F203" s="195"/>
      <c r="G203" s="195"/>
      <c r="H203" s="195"/>
      <c r="J203" s="99"/>
    </row>
    <row r="204" ht="12.75" customHeight="1">
      <c r="C204" s="148"/>
      <c r="D204" s="148"/>
      <c r="E204" s="207"/>
      <c r="F204" s="195"/>
      <c r="G204" s="195"/>
      <c r="H204" s="195"/>
      <c r="J204" s="99"/>
    </row>
    <row r="205" ht="12.75" customHeight="1">
      <c r="C205" s="148"/>
      <c r="D205" s="148"/>
      <c r="E205" s="207"/>
      <c r="F205" s="195"/>
      <c r="G205" s="195"/>
      <c r="H205" s="195"/>
      <c r="J205" s="99"/>
    </row>
    <row r="206" ht="12.75" customHeight="1">
      <c r="C206" s="148"/>
      <c r="D206" s="148"/>
      <c r="E206" s="207"/>
      <c r="F206" s="195"/>
      <c r="G206" s="195"/>
      <c r="H206" s="195"/>
      <c r="J206" s="99"/>
    </row>
    <row r="207" ht="12.75" customHeight="1">
      <c r="C207" s="148"/>
      <c r="D207" s="148"/>
      <c r="E207" s="207"/>
      <c r="F207" s="195"/>
      <c r="G207" s="195"/>
      <c r="H207" s="195"/>
      <c r="J207" s="99"/>
    </row>
    <row r="208" ht="12.75" customHeight="1">
      <c r="C208" s="148"/>
      <c r="D208" s="148"/>
      <c r="E208" s="207"/>
      <c r="F208" s="195"/>
      <c r="G208" s="195"/>
      <c r="H208" s="195"/>
      <c r="J208" s="99"/>
    </row>
    <row r="209" ht="12.75" customHeight="1">
      <c r="C209" s="148"/>
      <c r="D209" s="148"/>
      <c r="E209" s="207"/>
      <c r="F209" s="195"/>
      <c r="G209" s="195"/>
      <c r="H209" s="195"/>
      <c r="J209" s="99"/>
    </row>
    <row r="210" ht="12.75" customHeight="1">
      <c r="C210" s="148"/>
      <c r="D210" s="148"/>
      <c r="E210" s="207"/>
      <c r="F210" s="195"/>
      <c r="G210" s="195"/>
      <c r="H210" s="195"/>
      <c r="J210" s="99"/>
    </row>
    <row r="211" ht="12.75" customHeight="1">
      <c r="C211" s="148"/>
      <c r="D211" s="148"/>
      <c r="E211" s="207"/>
      <c r="F211" s="195"/>
      <c r="G211" s="195"/>
      <c r="H211" s="195"/>
      <c r="J211" s="99"/>
    </row>
    <row r="212" ht="12.75" customHeight="1">
      <c r="C212" s="148"/>
      <c r="D212" s="148"/>
      <c r="E212" s="207"/>
      <c r="F212" s="195"/>
      <c r="G212" s="195"/>
      <c r="H212" s="195"/>
      <c r="J212" s="99"/>
    </row>
    <row r="213" ht="12.75" customHeight="1">
      <c r="C213" s="148"/>
      <c r="D213" s="148"/>
      <c r="E213" s="207"/>
      <c r="F213" s="195"/>
      <c r="G213" s="195"/>
      <c r="H213" s="195"/>
      <c r="J213" s="99"/>
    </row>
    <row r="214" ht="12.75" customHeight="1">
      <c r="C214" s="148"/>
      <c r="D214" s="148"/>
      <c r="E214" s="207"/>
      <c r="F214" s="195"/>
      <c r="G214" s="195"/>
      <c r="H214" s="195"/>
      <c r="J214" s="99"/>
    </row>
    <row r="215" ht="12.75" customHeight="1">
      <c r="C215" s="148"/>
      <c r="D215" s="148"/>
      <c r="E215" s="207"/>
      <c r="F215" s="195"/>
      <c r="G215" s="195"/>
      <c r="H215" s="195"/>
      <c r="J215" s="99"/>
    </row>
    <row r="216" ht="12.75" customHeight="1">
      <c r="C216" s="148"/>
      <c r="D216" s="148"/>
      <c r="E216" s="207"/>
      <c r="F216" s="195"/>
      <c r="G216" s="195"/>
      <c r="H216" s="195"/>
      <c r="J216" s="99"/>
    </row>
    <row r="217" ht="12.75" customHeight="1">
      <c r="C217" s="148"/>
      <c r="D217" s="148"/>
      <c r="E217" s="207"/>
      <c r="F217" s="195"/>
      <c r="G217" s="195"/>
      <c r="H217" s="195"/>
      <c r="J217" s="99"/>
    </row>
    <row r="218" ht="12.75" customHeight="1">
      <c r="C218" s="148"/>
      <c r="D218" s="148"/>
      <c r="E218" s="207"/>
      <c r="F218" s="195"/>
      <c r="G218" s="195"/>
      <c r="H218" s="195"/>
      <c r="J218" s="99"/>
    </row>
    <row r="219" ht="12.75" customHeight="1">
      <c r="C219" s="148"/>
      <c r="D219" s="148"/>
      <c r="E219" s="207"/>
      <c r="F219" s="195"/>
      <c r="G219" s="195"/>
      <c r="H219" s="195"/>
      <c r="J219" s="99"/>
    </row>
    <row r="220" ht="12.75" customHeight="1">
      <c r="C220" s="148"/>
      <c r="D220" s="148"/>
      <c r="E220" s="207"/>
      <c r="F220" s="195"/>
      <c r="G220" s="195"/>
      <c r="H220" s="195"/>
      <c r="J220" s="99"/>
    </row>
    <row r="221" ht="15.75" customHeight="1">
      <c r="C221" s="148"/>
      <c r="D221" s="148"/>
      <c r="E221" s="207"/>
      <c r="F221" s="195"/>
      <c r="G221" s="195"/>
      <c r="H221" s="195"/>
      <c r="J221" s="99"/>
    </row>
    <row r="222" ht="15.75" customHeight="1">
      <c r="C222" s="148"/>
      <c r="D222" s="148"/>
      <c r="E222" s="207"/>
      <c r="F222" s="195"/>
      <c r="G222" s="195"/>
      <c r="H222" s="195"/>
      <c r="J222" s="99"/>
    </row>
    <row r="223" ht="15.75" customHeight="1">
      <c r="C223" s="148"/>
      <c r="D223" s="148"/>
      <c r="E223" s="207"/>
      <c r="F223" s="195"/>
      <c r="G223" s="195"/>
      <c r="H223" s="195"/>
      <c r="J223" s="99"/>
    </row>
    <row r="224" ht="15.75" customHeight="1">
      <c r="C224" s="148"/>
      <c r="D224" s="148"/>
      <c r="E224" s="207"/>
      <c r="F224" s="195"/>
      <c r="G224" s="195"/>
      <c r="H224" s="195"/>
      <c r="J224" s="99"/>
    </row>
    <row r="225" ht="15.75" customHeight="1">
      <c r="C225" s="148"/>
      <c r="D225" s="148"/>
      <c r="E225" s="207"/>
      <c r="F225" s="195"/>
      <c r="G225" s="195"/>
      <c r="H225" s="195"/>
      <c r="J225" s="99"/>
    </row>
    <row r="226" ht="15.75" customHeight="1">
      <c r="C226" s="148"/>
      <c r="D226" s="148"/>
      <c r="E226" s="207"/>
      <c r="F226" s="195"/>
      <c r="G226" s="195"/>
      <c r="H226" s="195"/>
      <c r="J226" s="99"/>
    </row>
    <row r="227" ht="15.75" customHeight="1">
      <c r="C227" s="148"/>
      <c r="D227" s="148"/>
      <c r="E227" s="207"/>
      <c r="F227" s="195"/>
      <c r="G227" s="195"/>
      <c r="H227" s="195"/>
      <c r="J227" s="99"/>
    </row>
    <row r="228" ht="15.75" customHeight="1">
      <c r="C228" s="148"/>
      <c r="D228" s="148"/>
      <c r="E228" s="207"/>
      <c r="F228" s="195"/>
      <c r="G228" s="195"/>
      <c r="H228" s="195"/>
      <c r="J228" s="99"/>
    </row>
    <row r="229" ht="15.75" customHeight="1">
      <c r="C229" s="148"/>
      <c r="D229" s="148"/>
      <c r="E229" s="207"/>
      <c r="F229" s="195"/>
      <c r="G229" s="195"/>
      <c r="H229" s="195"/>
      <c r="J229" s="99"/>
    </row>
    <row r="230" ht="15.75" customHeight="1">
      <c r="C230" s="148"/>
      <c r="D230" s="148"/>
      <c r="E230" s="207"/>
      <c r="F230" s="195"/>
      <c r="G230" s="195"/>
      <c r="H230" s="195"/>
      <c r="J230" s="99"/>
    </row>
    <row r="231" ht="15.75" customHeight="1">
      <c r="C231" s="148"/>
      <c r="D231" s="148"/>
      <c r="E231" s="207"/>
      <c r="F231" s="195"/>
      <c r="G231" s="195"/>
      <c r="H231" s="195"/>
      <c r="J231" s="99"/>
    </row>
    <row r="232" ht="15.75" customHeight="1">
      <c r="C232" s="148"/>
      <c r="D232" s="148"/>
      <c r="E232" s="207"/>
      <c r="F232" s="195"/>
      <c r="G232" s="195"/>
      <c r="H232" s="195"/>
      <c r="J232" s="99"/>
    </row>
    <row r="233" ht="15.75" customHeight="1">
      <c r="C233" s="148"/>
      <c r="D233" s="148"/>
      <c r="E233" s="207"/>
      <c r="F233" s="195"/>
      <c r="G233" s="195"/>
      <c r="H233" s="195"/>
      <c r="J233" s="99"/>
    </row>
    <row r="234" ht="15.75" customHeight="1">
      <c r="C234" s="148"/>
      <c r="D234" s="148"/>
      <c r="E234" s="207"/>
      <c r="F234" s="195"/>
      <c r="G234" s="195"/>
      <c r="H234" s="195"/>
      <c r="J234" s="99"/>
    </row>
    <row r="235" ht="15.75" customHeight="1">
      <c r="C235" s="148"/>
      <c r="D235" s="148"/>
      <c r="E235" s="207"/>
      <c r="F235" s="195"/>
      <c r="G235" s="195"/>
      <c r="H235" s="195"/>
      <c r="J235" s="99"/>
    </row>
    <row r="236" ht="15.75" customHeight="1">
      <c r="C236" s="148"/>
      <c r="D236" s="148"/>
      <c r="E236" s="207"/>
      <c r="F236" s="195"/>
      <c r="G236" s="195"/>
      <c r="H236" s="195"/>
      <c r="J236" s="99"/>
    </row>
    <row r="237" ht="15.75" customHeight="1">
      <c r="C237" s="148"/>
      <c r="D237" s="148"/>
      <c r="E237" s="207"/>
      <c r="F237" s="195"/>
      <c r="G237" s="195"/>
      <c r="H237" s="195"/>
      <c r="J237" s="99"/>
    </row>
    <row r="238" ht="15.75" customHeight="1">
      <c r="C238" s="148"/>
      <c r="D238" s="148"/>
      <c r="E238" s="207"/>
      <c r="F238" s="195"/>
      <c r="G238" s="195"/>
      <c r="H238" s="195"/>
      <c r="J238" s="99"/>
    </row>
    <row r="239" ht="15.75" customHeight="1">
      <c r="C239" s="148"/>
      <c r="D239" s="148"/>
      <c r="E239" s="207"/>
      <c r="F239" s="195"/>
      <c r="G239" s="195"/>
      <c r="H239" s="195"/>
      <c r="J239" s="99"/>
    </row>
    <row r="240" ht="15.75" customHeight="1">
      <c r="C240" s="148"/>
      <c r="D240" s="148"/>
      <c r="E240" s="207"/>
      <c r="F240" s="195"/>
      <c r="G240" s="195"/>
      <c r="H240" s="195"/>
      <c r="J240" s="99"/>
    </row>
    <row r="241" ht="15.75" customHeight="1">
      <c r="C241" s="148"/>
      <c r="D241" s="148"/>
      <c r="E241" s="207"/>
      <c r="F241" s="195"/>
      <c r="G241" s="195"/>
      <c r="H241" s="195"/>
      <c r="J241" s="99"/>
    </row>
    <row r="242" ht="15.75" customHeight="1">
      <c r="C242" s="148"/>
      <c r="D242" s="148"/>
      <c r="E242" s="207"/>
      <c r="F242" s="195"/>
      <c r="G242" s="195"/>
      <c r="H242" s="195"/>
      <c r="J242" s="99"/>
    </row>
    <row r="243" ht="15.75" customHeight="1">
      <c r="C243" s="148"/>
      <c r="D243" s="148"/>
      <c r="E243" s="207"/>
      <c r="F243" s="195"/>
      <c r="G243" s="195"/>
      <c r="H243" s="195"/>
      <c r="J243" s="99"/>
    </row>
    <row r="244" ht="15.75" customHeight="1">
      <c r="C244" s="148"/>
      <c r="D244" s="148"/>
      <c r="E244" s="207"/>
      <c r="F244" s="195"/>
      <c r="G244" s="195"/>
      <c r="H244" s="195"/>
      <c r="J244" s="99"/>
    </row>
    <row r="245" ht="15.75" customHeight="1">
      <c r="C245" s="148"/>
      <c r="D245" s="148"/>
      <c r="E245" s="207"/>
      <c r="F245" s="195"/>
      <c r="G245" s="195"/>
      <c r="H245" s="195"/>
      <c r="J245" s="99"/>
    </row>
    <row r="246" ht="15.75" customHeight="1">
      <c r="C246" s="148"/>
      <c r="D246" s="148"/>
      <c r="E246" s="207"/>
      <c r="F246" s="195"/>
      <c r="G246" s="195"/>
      <c r="H246" s="195"/>
      <c r="J246" s="99"/>
    </row>
    <row r="247" ht="15.75" customHeight="1">
      <c r="C247" s="148"/>
      <c r="D247" s="148"/>
      <c r="E247" s="207"/>
      <c r="F247" s="195"/>
      <c r="G247" s="195"/>
      <c r="H247" s="195"/>
      <c r="J247" s="99"/>
    </row>
    <row r="248" ht="15.75" customHeight="1">
      <c r="C248" s="148"/>
      <c r="D248" s="148"/>
      <c r="E248" s="207"/>
      <c r="F248" s="195"/>
      <c r="G248" s="195"/>
      <c r="H248" s="195"/>
      <c r="J248" s="99"/>
    </row>
    <row r="249" ht="15.75" customHeight="1">
      <c r="C249" s="148"/>
      <c r="D249" s="148"/>
      <c r="E249" s="207"/>
      <c r="F249" s="195"/>
      <c r="G249" s="195"/>
      <c r="H249" s="195"/>
      <c r="J249" s="99"/>
    </row>
    <row r="250" ht="15.75" customHeight="1">
      <c r="C250" s="148"/>
      <c r="D250" s="148"/>
      <c r="E250" s="207"/>
      <c r="F250" s="195"/>
      <c r="G250" s="195"/>
      <c r="H250" s="195"/>
      <c r="J250" s="99"/>
    </row>
    <row r="251" ht="15.75" customHeight="1">
      <c r="C251" s="148"/>
      <c r="D251" s="148"/>
      <c r="E251" s="207"/>
      <c r="F251" s="195"/>
      <c r="G251" s="195"/>
      <c r="H251" s="195"/>
      <c r="J251" s="99"/>
    </row>
    <row r="252" ht="15.75" customHeight="1">
      <c r="C252" s="148"/>
      <c r="D252" s="148"/>
      <c r="E252" s="207"/>
      <c r="F252" s="195"/>
      <c r="G252" s="195"/>
      <c r="H252" s="195"/>
      <c r="J252" s="99"/>
    </row>
    <row r="253" ht="15.75" customHeight="1">
      <c r="C253" s="148"/>
      <c r="D253" s="148"/>
      <c r="E253" s="207"/>
      <c r="F253" s="195"/>
      <c r="G253" s="195"/>
      <c r="H253" s="195"/>
      <c r="J253" s="99"/>
    </row>
    <row r="254" ht="15.75" customHeight="1">
      <c r="C254" s="148"/>
      <c r="D254" s="148"/>
      <c r="E254" s="207"/>
      <c r="F254" s="195"/>
      <c r="G254" s="195"/>
      <c r="H254" s="195"/>
      <c r="J254" s="99"/>
    </row>
    <row r="255" ht="15.75" customHeight="1">
      <c r="C255" s="148"/>
      <c r="D255" s="148"/>
      <c r="E255" s="207"/>
      <c r="F255" s="195"/>
      <c r="G255" s="195"/>
      <c r="H255" s="195"/>
      <c r="J255" s="99"/>
    </row>
    <row r="256" ht="15.75" customHeight="1">
      <c r="C256" s="148"/>
      <c r="D256" s="148"/>
      <c r="E256" s="207"/>
      <c r="F256" s="195"/>
      <c r="G256" s="195"/>
      <c r="H256" s="195"/>
      <c r="J256" s="99"/>
    </row>
    <row r="257" ht="15.75" customHeight="1">
      <c r="C257" s="148"/>
      <c r="D257" s="148"/>
      <c r="E257" s="207"/>
      <c r="F257" s="195"/>
      <c r="G257" s="195"/>
      <c r="H257" s="195"/>
      <c r="J257" s="99"/>
    </row>
    <row r="258" ht="15.75" customHeight="1">
      <c r="C258" s="148"/>
      <c r="D258" s="148"/>
      <c r="E258" s="207"/>
      <c r="F258" s="195"/>
      <c r="G258" s="195"/>
      <c r="H258" s="195"/>
      <c r="J258" s="99"/>
    </row>
    <row r="259" ht="15.75" customHeight="1">
      <c r="C259" s="148"/>
      <c r="D259" s="148"/>
      <c r="E259" s="207"/>
      <c r="F259" s="195"/>
      <c r="G259" s="195"/>
      <c r="H259" s="195"/>
      <c r="J259" s="99"/>
    </row>
    <row r="260" ht="15.75" customHeight="1">
      <c r="C260" s="148"/>
      <c r="D260" s="148"/>
      <c r="E260" s="207"/>
      <c r="F260" s="195"/>
      <c r="G260" s="195"/>
      <c r="H260" s="195"/>
      <c r="J260" s="99"/>
    </row>
    <row r="261" ht="15.75" customHeight="1">
      <c r="C261" s="148"/>
      <c r="D261" s="148"/>
      <c r="E261" s="207"/>
      <c r="F261" s="195"/>
      <c r="G261" s="195"/>
      <c r="H261" s="195"/>
      <c r="J261" s="99"/>
    </row>
    <row r="262" ht="15.75" customHeight="1">
      <c r="C262" s="148"/>
      <c r="D262" s="148"/>
      <c r="E262" s="207"/>
      <c r="F262" s="195"/>
      <c r="G262" s="195"/>
      <c r="H262" s="195"/>
      <c r="J262" s="99"/>
    </row>
    <row r="263" ht="15.75" customHeight="1">
      <c r="C263" s="148"/>
      <c r="D263" s="148"/>
      <c r="E263" s="207"/>
      <c r="F263" s="195"/>
      <c r="G263" s="195"/>
      <c r="H263" s="195"/>
      <c r="J263" s="99"/>
    </row>
    <row r="264" ht="15.75" customHeight="1">
      <c r="C264" s="148"/>
      <c r="D264" s="148"/>
      <c r="E264" s="207"/>
      <c r="F264" s="195"/>
      <c r="G264" s="195"/>
      <c r="H264" s="195"/>
      <c r="J264" s="99"/>
    </row>
    <row r="265" ht="15.75" customHeight="1">
      <c r="C265" s="148"/>
      <c r="D265" s="148"/>
      <c r="E265" s="207"/>
      <c r="F265" s="195"/>
      <c r="G265" s="195"/>
      <c r="H265" s="195"/>
      <c r="J265" s="99"/>
    </row>
    <row r="266" ht="15.75" customHeight="1">
      <c r="C266" s="148"/>
      <c r="D266" s="148"/>
      <c r="E266" s="207"/>
      <c r="F266" s="195"/>
      <c r="G266" s="195"/>
      <c r="H266" s="195"/>
      <c r="J266" s="99"/>
    </row>
    <row r="267" ht="15.75" customHeight="1">
      <c r="C267" s="148"/>
      <c r="D267" s="148"/>
      <c r="E267" s="207"/>
      <c r="F267" s="195"/>
      <c r="G267" s="195"/>
      <c r="H267" s="195"/>
      <c r="J267" s="99"/>
    </row>
    <row r="268" ht="15.75" customHeight="1">
      <c r="C268" s="148"/>
      <c r="D268" s="148"/>
      <c r="E268" s="207"/>
      <c r="F268" s="195"/>
      <c r="G268" s="195"/>
      <c r="H268" s="195"/>
      <c r="J268" s="99"/>
    </row>
    <row r="269" ht="15.75" customHeight="1">
      <c r="C269" s="148"/>
      <c r="D269" s="148"/>
      <c r="E269" s="207"/>
      <c r="F269" s="195"/>
      <c r="G269" s="195"/>
      <c r="H269" s="195"/>
      <c r="J269" s="99"/>
    </row>
    <row r="270" ht="15.75" customHeight="1">
      <c r="C270" s="148"/>
      <c r="D270" s="148"/>
      <c r="E270" s="207"/>
      <c r="F270" s="195"/>
      <c r="G270" s="195"/>
      <c r="H270" s="195"/>
      <c r="J270" s="99"/>
    </row>
    <row r="271" ht="15.75" customHeight="1">
      <c r="C271" s="148"/>
      <c r="D271" s="148"/>
      <c r="E271" s="207"/>
      <c r="F271" s="195"/>
      <c r="G271" s="195"/>
      <c r="H271" s="195"/>
      <c r="J271" s="99"/>
    </row>
    <row r="272" ht="15.75" customHeight="1">
      <c r="C272" s="148"/>
      <c r="D272" s="148"/>
      <c r="E272" s="207"/>
      <c r="F272" s="195"/>
      <c r="G272" s="195"/>
      <c r="H272" s="195"/>
      <c r="J272" s="99"/>
    </row>
    <row r="273" ht="15.75" customHeight="1">
      <c r="C273" s="148"/>
      <c r="D273" s="148"/>
      <c r="E273" s="207"/>
      <c r="F273" s="195"/>
      <c r="G273" s="195"/>
      <c r="H273" s="195"/>
      <c r="J273" s="99"/>
    </row>
    <row r="274" ht="15.75" customHeight="1">
      <c r="C274" s="148"/>
      <c r="D274" s="148"/>
      <c r="E274" s="207"/>
      <c r="F274" s="195"/>
      <c r="G274" s="195"/>
      <c r="H274" s="195"/>
      <c r="J274" s="99"/>
    </row>
    <row r="275" ht="15.75" customHeight="1">
      <c r="C275" s="148"/>
      <c r="D275" s="148"/>
      <c r="E275" s="207"/>
      <c r="F275" s="195"/>
      <c r="G275" s="195"/>
      <c r="H275" s="195"/>
      <c r="J275" s="99"/>
    </row>
    <row r="276" ht="15.75" customHeight="1">
      <c r="C276" s="148"/>
      <c r="D276" s="148"/>
      <c r="E276" s="207"/>
      <c r="F276" s="195"/>
      <c r="G276" s="195"/>
      <c r="H276" s="195"/>
      <c r="J276" s="99"/>
    </row>
    <row r="277" ht="15.75" customHeight="1">
      <c r="C277" s="148"/>
      <c r="D277" s="148"/>
      <c r="E277" s="207"/>
      <c r="F277" s="195"/>
      <c r="G277" s="195"/>
      <c r="H277" s="195"/>
      <c r="J277" s="99"/>
    </row>
    <row r="278" ht="15.75" customHeight="1">
      <c r="C278" s="148"/>
      <c r="D278" s="148"/>
      <c r="E278" s="207"/>
      <c r="F278" s="195"/>
      <c r="G278" s="195"/>
      <c r="H278" s="195"/>
      <c r="J278" s="99"/>
    </row>
    <row r="279" ht="15.75" customHeight="1">
      <c r="C279" s="148"/>
      <c r="D279" s="148"/>
      <c r="E279" s="207"/>
      <c r="F279" s="195"/>
      <c r="G279" s="195"/>
      <c r="H279" s="195"/>
      <c r="J279" s="99"/>
    </row>
    <row r="280" ht="15.75" customHeight="1">
      <c r="C280" s="148"/>
      <c r="D280" s="148"/>
      <c r="E280" s="207"/>
      <c r="F280" s="195"/>
      <c r="G280" s="195"/>
      <c r="H280" s="195"/>
      <c r="J280" s="99"/>
    </row>
    <row r="281" ht="15.75" customHeight="1">
      <c r="C281" s="148"/>
      <c r="D281" s="148"/>
      <c r="E281" s="207"/>
      <c r="F281" s="195"/>
      <c r="G281" s="195"/>
      <c r="H281" s="195"/>
      <c r="J281" s="99"/>
    </row>
    <row r="282" ht="15.75" customHeight="1">
      <c r="C282" s="148"/>
      <c r="D282" s="148"/>
      <c r="E282" s="207"/>
      <c r="F282" s="195"/>
      <c r="G282" s="195"/>
      <c r="H282" s="195"/>
      <c r="J282" s="99"/>
    </row>
    <row r="283" ht="15.75" customHeight="1">
      <c r="C283" s="148"/>
      <c r="D283" s="148"/>
      <c r="E283" s="207"/>
      <c r="F283" s="195"/>
      <c r="G283" s="195"/>
      <c r="H283" s="195"/>
      <c r="J283" s="99"/>
    </row>
    <row r="284" ht="15.75" customHeight="1">
      <c r="C284" s="148"/>
      <c r="D284" s="148"/>
      <c r="E284" s="207"/>
      <c r="F284" s="195"/>
      <c r="G284" s="195"/>
      <c r="H284" s="195"/>
      <c r="J284" s="99"/>
    </row>
    <row r="285" ht="15.75" customHeight="1">
      <c r="C285" s="148"/>
      <c r="D285" s="148"/>
      <c r="E285" s="207"/>
      <c r="F285" s="195"/>
      <c r="G285" s="195"/>
      <c r="H285" s="195"/>
      <c r="J285" s="99"/>
    </row>
    <row r="286" ht="15.75" customHeight="1">
      <c r="C286" s="148"/>
      <c r="D286" s="148"/>
      <c r="E286" s="207"/>
      <c r="F286" s="195"/>
      <c r="G286" s="195"/>
      <c r="H286" s="195"/>
      <c r="J286" s="99"/>
    </row>
    <row r="287" ht="15.75" customHeight="1">
      <c r="C287" s="148"/>
      <c r="D287" s="148"/>
      <c r="E287" s="207"/>
      <c r="F287" s="195"/>
      <c r="G287" s="195"/>
      <c r="H287" s="195"/>
      <c r="J287" s="99"/>
    </row>
    <row r="288" ht="15.75" customHeight="1">
      <c r="C288" s="148"/>
      <c r="D288" s="148"/>
      <c r="E288" s="207"/>
      <c r="F288" s="195"/>
      <c r="G288" s="195"/>
      <c r="H288" s="195"/>
      <c r="J288" s="99"/>
    </row>
    <row r="289" ht="15.75" customHeight="1">
      <c r="C289" s="148"/>
      <c r="D289" s="148"/>
      <c r="E289" s="207"/>
      <c r="F289" s="195"/>
      <c r="G289" s="195"/>
      <c r="H289" s="195"/>
      <c r="J289" s="99"/>
    </row>
    <row r="290" ht="15.75" customHeight="1">
      <c r="C290" s="148"/>
      <c r="D290" s="148"/>
      <c r="E290" s="207"/>
      <c r="F290" s="195"/>
      <c r="G290" s="195"/>
      <c r="H290" s="195"/>
      <c r="J290" s="99"/>
    </row>
    <row r="291" ht="15.75" customHeight="1">
      <c r="C291" s="148"/>
      <c r="D291" s="148"/>
      <c r="E291" s="207"/>
      <c r="F291" s="195"/>
      <c r="G291" s="195"/>
      <c r="H291" s="195"/>
      <c r="J291" s="99"/>
    </row>
    <row r="292" ht="15.75" customHeight="1">
      <c r="C292" s="148"/>
      <c r="D292" s="148"/>
      <c r="E292" s="207"/>
      <c r="F292" s="195"/>
      <c r="G292" s="195"/>
      <c r="H292" s="195"/>
      <c r="J292" s="99"/>
    </row>
    <row r="293" ht="15.75" customHeight="1">
      <c r="C293" s="148"/>
      <c r="D293" s="148"/>
      <c r="E293" s="207"/>
      <c r="F293" s="195"/>
      <c r="G293" s="195"/>
      <c r="H293" s="195"/>
      <c r="J293" s="99"/>
    </row>
    <row r="294" ht="15.75" customHeight="1">
      <c r="C294" s="148"/>
      <c r="D294" s="148"/>
      <c r="E294" s="207"/>
      <c r="F294" s="195"/>
      <c r="G294" s="195"/>
      <c r="H294" s="195"/>
      <c r="J294" s="99"/>
    </row>
    <row r="295" ht="15.75" customHeight="1">
      <c r="C295" s="148"/>
      <c r="D295" s="148"/>
      <c r="E295" s="207"/>
      <c r="F295" s="195"/>
      <c r="G295" s="195"/>
      <c r="H295" s="195"/>
      <c r="J295" s="99"/>
    </row>
    <row r="296" ht="15.75" customHeight="1">
      <c r="C296" s="148"/>
      <c r="D296" s="148"/>
      <c r="E296" s="207"/>
      <c r="F296" s="195"/>
      <c r="G296" s="195"/>
      <c r="H296" s="195"/>
      <c r="J296" s="99"/>
    </row>
    <row r="297" ht="15.75" customHeight="1">
      <c r="C297" s="148"/>
      <c r="D297" s="148"/>
      <c r="E297" s="207"/>
      <c r="F297" s="195"/>
      <c r="G297" s="195"/>
      <c r="H297" s="195"/>
      <c r="J297" s="99"/>
    </row>
    <row r="298" ht="15.75" customHeight="1">
      <c r="C298" s="148"/>
      <c r="D298" s="148"/>
      <c r="E298" s="207"/>
      <c r="F298" s="195"/>
      <c r="G298" s="195"/>
      <c r="H298" s="195"/>
      <c r="J298" s="99"/>
    </row>
    <row r="299" ht="15.75" customHeight="1">
      <c r="C299" s="148"/>
      <c r="D299" s="148"/>
      <c r="E299" s="207"/>
      <c r="F299" s="195"/>
      <c r="G299" s="195"/>
      <c r="H299" s="195"/>
      <c r="J299" s="99"/>
    </row>
    <row r="300" ht="15.75" customHeight="1">
      <c r="C300" s="148"/>
      <c r="D300" s="148"/>
      <c r="E300" s="207"/>
      <c r="F300" s="195"/>
      <c r="G300" s="195"/>
      <c r="H300" s="195"/>
      <c r="J300" s="99"/>
    </row>
    <row r="301" ht="15.75" customHeight="1">
      <c r="C301" s="148"/>
      <c r="D301" s="148"/>
      <c r="E301" s="207"/>
      <c r="F301" s="195"/>
      <c r="G301" s="195"/>
      <c r="H301" s="195"/>
      <c r="J301" s="99"/>
    </row>
    <row r="302" ht="15.75" customHeight="1">
      <c r="C302" s="148"/>
      <c r="D302" s="148"/>
      <c r="E302" s="207"/>
      <c r="F302" s="195"/>
      <c r="G302" s="195"/>
      <c r="H302" s="195"/>
      <c r="J302" s="99"/>
    </row>
    <row r="303" ht="15.75" customHeight="1">
      <c r="C303" s="148"/>
      <c r="D303" s="148"/>
      <c r="E303" s="207"/>
      <c r="F303" s="195"/>
      <c r="G303" s="195"/>
      <c r="H303" s="195"/>
      <c r="J303" s="99"/>
    </row>
    <row r="304" ht="15.75" customHeight="1">
      <c r="C304" s="148"/>
      <c r="D304" s="148"/>
      <c r="E304" s="207"/>
      <c r="F304" s="195"/>
      <c r="G304" s="195"/>
      <c r="H304" s="195"/>
      <c r="J304" s="99"/>
    </row>
    <row r="305" ht="15.75" customHeight="1">
      <c r="C305" s="148"/>
      <c r="D305" s="148"/>
      <c r="E305" s="207"/>
      <c r="F305" s="195"/>
      <c r="G305" s="195"/>
      <c r="H305" s="195"/>
      <c r="J305" s="99"/>
    </row>
    <row r="306" ht="15.75" customHeight="1">
      <c r="C306" s="148"/>
      <c r="D306" s="148"/>
      <c r="E306" s="207"/>
      <c r="F306" s="195"/>
      <c r="G306" s="195"/>
      <c r="H306" s="195"/>
      <c r="J306" s="99"/>
    </row>
    <row r="307" ht="15.75" customHeight="1">
      <c r="C307" s="148"/>
      <c r="D307" s="148"/>
      <c r="E307" s="207"/>
      <c r="F307" s="195"/>
      <c r="G307" s="195"/>
      <c r="H307" s="195"/>
      <c r="J307" s="99"/>
    </row>
    <row r="308" ht="15.75" customHeight="1">
      <c r="C308" s="148"/>
      <c r="D308" s="148"/>
      <c r="E308" s="207"/>
      <c r="F308" s="195"/>
      <c r="G308" s="195"/>
      <c r="H308" s="195"/>
      <c r="J308" s="99"/>
    </row>
    <row r="309" ht="15.75" customHeight="1">
      <c r="C309" s="148"/>
      <c r="D309" s="148"/>
      <c r="E309" s="207"/>
      <c r="F309" s="195"/>
      <c r="G309" s="195"/>
      <c r="H309" s="195"/>
      <c r="J309" s="99"/>
    </row>
    <row r="310" ht="15.75" customHeight="1">
      <c r="C310" s="148"/>
      <c r="D310" s="148"/>
      <c r="E310" s="207"/>
      <c r="F310" s="195"/>
      <c r="G310" s="195"/>
      <c r="H310" s="195"/>
      <c r="J310" s="99"/>
    </row>
    <row r="311" ht="15.75" customHeight="1">
      <c r="C311" s="148"/>
      <c r="D311" s="148"/>
      <c r="E311" s="207"/>
      <c r="F311" s="195"/>
      <c r="G311" s="195"/>
      <c r="H311" s="195"/>
      <c r="J311" s="99"/>
    </row>
    <row r="312" ht="15.75" customHeight="1">
      <c r="C312" s="148"/>
      <c r="D312" s="148"/>
      <c r="E312" s="207"/>
      <c r="F312" s="195"/>
      <c r="G312" s="195"/>
      <c r="H312" s="195"/>
      <c r="J312" s="99"/>
    </row>
    <row r="313" ht="15.75" customHeight="1">
      <c r="C313" s="148"/>
      <c r="D313" s="148"/>
      <c r="E313" s="207"/>
      <c r="F313" s="195"/>
      <c r="G313" s="195"/>
      <c r="H313" s="195"/>
      <c r="J313" s="99"/>
    </row>
    <row r="314" ht="15.75" customHeight="1">
      <c r="C314" s="148"/>
      <c r="D314" s="148"/>
      <c r="E314" s="207"/>
      <c r="F314" s="195"/>
      <c r="G314" s="195"/>
      <c r="H314" s="195"/>
      <c r="J314" s="99"/>
    </row>
    <row r="315" ht="15.75" customHeight="1">
      <c r="C315" s="148"/>
      <c r="D315" s="148"/>
      <c r="E315" s="207"/>
      <c r="F315" s="195"/>
      <c r="G315" s="195"/>
      <c r="H315" s="195"/>
      <c r="J315" s="99"/>
    </row>
    <row r="316" ht="15.75" customHeight="1">
      <c r="C316" s="148"/>
      <c r="D316" s="148"/>
      <c r="E316" s="207"/>
      <c r="F316" s="195"/>
      <c r="G316" s="195"/>
      <c r="H316" s="195"/>
      <c r="J316" s="99"/>
    </row>
    <row r="317" ht="15.75" customHeight="1">
      <c r="C317" s="148"/>
      <c r="D317" s="148"/>
      <c r="E317" s="207"/>
      <c r="F317" s="195"/>
      <c r="G317" s="195"/>
      <c r="H317" s="195"/>
      <c r="J317" s="99"/>
    </row>
    <row r="318" ht="15.75" customHeight="1">
      <c r="C318" s="148"/>
      <c r="D318" s="148"/>
      <c r="E318" s="207"/>
      <c r="F318" s="195"/>
      <c r="G318" s="195"/>
      <c r="H318" s="195"/>
      <c r="J318" s="99"/>
    </row>
    <row r="319" ht="15.75" customHeight="1">
      <c r="C319" s="148"/>
      <c r="D319" s="148"/>
      <c r="E319" s="207"/>
      <c r="F319" s="195"/>
      <c r="G319" s="195"/>
      <c r="H319" s="195"/>
      <c r="J319" s="99"/>
    </row>
    <row r="320" ht="15.75" customHeight="1">
      <c r="C320" s="148"/>
      <c r="D320" s="148"/>
      <c r="E320" s="207"/>
      <c r="F320" s="195"/>
      <c r="G320" s="195"/>
      <c r="H320" s="195"/>
      <c r="J320" s="99"/>
    </row>
    <row r="321" ht="15.75" customHeight="1">
      <c r="C321" s="148"/>
      <c r="D321" s="148"/>
      <c r="E321" s="207"/>
      <c r="F321" s="195"/>
      <c r="G321" s="195"/>
      <c r="H321" s="195"/>
      <c r="J321" s="99"/>
    </row>
    <row r="322" ht="15.75" customHeight="1">
      <c r="C322" s="148"/>
      <c r="D322" s="148"/>
      <c r="E322" s="207"/>
      <c r="F322" s="195"/>
      <c r="G322" s="195"/>
      <c r="H322" s="195"/>
      <c r="J322" s="99"/>
    </row>
    <row r="323" ht="15.75" customHeight="1">
      <c r="C323" s="148"/>
      <c r="D323" s="148"/>
      <c r="E323" s="207"/>
      <c r="F323" s="195"/>
      <c r="G323" s="195"/>
      <c r="H323" s="195"/>
      <c r="J323" s="99"/>
    </row>
    <row r="324" ht="15.75" customHeight="1">
      <c r="C324" s="148"/>
      <c r="D324" s="148"/>
      <c r="E324" s="207"/>
      <c r="F324" s="195"/>
      <c r="G324" s="195"/>
      <c r="H324" s="195"/>
      <c r="J324" s="99"/>
    </row>
    <row r="325" ht="15.75" customHeight="1">
      <c r="C325" s="148"/>
      <c r="D325" s="148"/>
      <c r="E325" s="207"/>
      <c r="F325" s="195"/>
      <c r="G325" s="195"/>
      <c r="H325" s="195"/>
      <c r="J325" s="99"/>
    </row>
    <row r="326" ht="15.75" customHeight="1">
      <c r="C326" s="148"/>
      <c r="D326" s="148"/>
      <c r="E326" s="207"/>
      <c r="F326" s="195"/>
      <c r="G326" s="195"/>
      <c r="H326" s="195"/>
      <c r="J326" s="99"/>
    </row>
    <row r="327" ht="15.75" customHeight="1">
      <c r="C327" s="148"/>
      <c r="D327" s="148"/>
      <c r="E327" s="207"/>
      <c r="F327" s="195"/>
      <c r="G327" s="195"/>
      <c r="H327" s="195"/>
      <c r="J327" s="99"/>
    </row>
    <row r="328" ht="15.75" customHeight="1">
      <c r="C328" s="148"/>
      <c r="D328" s="148"/>
      <c r="E328" s="207"/>
      <c r="F328" s="195"/>
      <c r="G328" s="195"/>
      <c r="H328" s="195"/>
      <c r="J328" s="99"/>
    </row>
    <row r="329" ht="15.75" customHeight="1">
      <c r="C329" s="148"/>
      <c r="D329" s="148"/>
      <c r="E329" s="207"/>
      <c r="F329" s="195"/>
      <c r="G329" s="195"/>
      <c r="H329" s="195"/>
      <c r="J329" s="99"/>
    </row>
    <row r="330" ht="15.75" customHeight="1">
      <c r="C330" s="148"/>
      <c r="D330" s="148"/>
      <c r="E330" s="207"/>
      <c r="F330" s="195"/>
      <c r="G330" s="195"/>
      <c r="H330" s="195"/>
      <c r="J330" s="99"/>
    </row>
    <row r="331" ht="15.75" customHeight="1">
      <c r="C331" s="148"/>
      <c r="D331" s="148"/>
      <c r="E331" s="207"/>
      <c r="F331" s="195"/>
      <c r="G331" s="195"/>
      <c r="H331" s="195"/>
      <c r="J331" s="99"/>
    </row>
    <row r="332" ht="15.75" customHeight="1">
      <c r="C332" s="148"/>
      <c r="D332" s="148"/>
      <c r="E332" s="207"/>
      <c r="F332" s="195"/>
      <c r="G332" s="195"/>
      <c r="H332" s="195"/>
      <c r="J332" s="99"/>
    </row>
    <row r="333" ht="15.75" customHeight="1">
      <c r="C333" s="148"/>
      <c r="D333" s="148"/>
      <c r="E333" s="207"/>
      <c r="F333" s="195"/>
      <c r="G333" s="195"/>
      <c r="H333" s="195"/>
      <c r="J333" s="99"/>
    </row>
    <row r="334" ht="15.75" customHeight="1">
      <c r="C334" s="148"/>
      <c r="D334" s="148"/>
      <c r="E334" s="207"/>
      <c r="F334" s="195"/>
      <c r="G334" s="195"/>
      <c r="H334" s="195"/>
      <c r="J334" s="99"/>
    </row>
    <row r="335" ht="15.75" customHeight="1">
      <c r="C335" s="148"/>
      <c r="D335" s="148"/>
      <c r="E335" s="207"/>
      <c r="F335" s="195"/>
      <c r="G335" s="195"/>
      <c r="H335" s="195"/>
      <c r="J335" s="99"/>
    </row>
    <row r="336" ht="15.75" customHeight="1">
      <c r="C336" s="148"/>
      <c r="D336" s="148"/>
      <c r="E336" s="207"/>
      <c r="F336" s="195"/>
      <c r="G336" s="195"/>
      <c r="H336" s="195"/>
      <c r="J336" s="99"/>
    </row>
    <row r="337" ht="15.75" customHeight="1">
      <c r="C337" s="148"/>
      <c r="D337" s="148"/>
      <c r="E337" s="207"/>
      <c r="F337" s="195"/>
      <c r="G337" s="195"/>
      <c r="H337" s="195"/>
      <c r="J337" s="99"/>
    </row>
    <row r="338" ht="15.75" customHeight="1">
      <c r="C338" s="148"/>
      <c r="D338" s="148"/>
      <c r="E338" s="207"/>
      <c r="F338" s="195"/>
      <c r="G338" s="195"/>
      <c r="H338" s="195"/>
      <c r="J338" s="99"/>
    </row>
    <row r="339" ht="15.75" customHeight="1">
      <c r="C339" s="148"/>
      <c r="D339" s="148"/>
      <c r="E339" s="207"/>
      <c r="F339" s="195"/>
      <c r="G339" s="195"/>
      <c r="H339" s="195"/>
      <c r="J339" s="99"/>
    </row>
    <row r="340" ht="15.75" customHeight="1">
      <c r="C340" s="148"/>
      <c r="D340" s="148"/>
      <c r="E340" s="207"/>
      <c r="F340" s="195"/>
      <c r="G340" s="195"/>
      <c r="H340" s="195"/>
      <c r="J340" s="99"/>
    </row>
    <row r="341" ht="15.75" customHeight="1">
      <c r="C341" s="148"/>
      <c r="D341" s="148"/>
      <c r="E341" s="207"/>
      <c r="F341" s="195"/>
      <c r="G341" s="195"/>
      <c r="H341" s="195"/>
      <c r="J341" s="99"/>
    </row>
    <row r="342" ht="15.75" customHeight="1">
      <c r="C342" s="148"/>
      <c r="D342" s="148"/>
      <c r="E342" s="207"/>
      <c r="F342" s="195"/>
      <c r="G342" s="195"/>
      <c r="H342" s="195"/>
      <c r="J342" s="99"/>
    </row>
    <row r="343" ht="15.75" customHeight="1">
      <c r="C343" s="148"/>
      <c r="D343" s="148"/>
      <c r="E343" s="207"/>
      <c r="F343" s="195"/>
      <c r="G343" s="195"/>
      <c r="H343" s="195"/>
      <c r="J343" s="99"/>
    </row>
    <row r="344" ht="15.75" customHeight="1">
      <c r="C344" s="148"/>
      <c r="D344" s="148"/>
      <c r="E344" s="207"/>
      <c r="F344" s="195"/>
      <c r="G344" s="195"/>
      <c r="H344" s="195"/>
      <c r="J344" s="99"/>
    </row>
    <row r="345" ht="15.75" customHeight="1">
      <c r="C345" s="148"/>
      <c r="D345" s="148"/>
      <c r="E345" s="207"/>
      <c r="F345" s="195"/>
      <c r="G345" s="195"/>
      <c r="H345" s="195"/>
      <c r="J345" s="99"/>
    </row>
    <row r="346" ht="15.75" customHeight="1">
      <c r="C346" s="148"/>
      <c r="D346" s="148"/>
      <c r="E346" s="207"/>
      <c r="F346" s="195"/>
      <c r="G346" s="195"/>
      <c r="H346" s="195"/>
      <c r="J346" s="99"/>
    </row>
    <row r="347" ht="15.75" customHeight="1">
      <c r="C347" s="148"/>
      <c r="D347" s="148"/>
      <c r="E347" s="207"/>
      <c r="F347" s="195"/>
      <c r="G347" s="195"/>
      <c r="H347" s="195"/>
      <c r="J347" s="99"/>
    </row>
    <row r="348" ht="15.75" customHeight="1">
      <c r="C348" s="148"/>
      <c r="D348" s="148"/>
      <c r="E348" s="207"/>
      <c r="F348" s="195"/>
      <c r="G348" s="195"/>
      <c r="H348" s="195"/>
      <c r="J348" s="99"/>
    </row>
    <row r="349" ht="15.75" customHeight="1">
      <c r="C349" s="148"/>
      <c r="D349" s="148"/>
      <c r="E349" s="207"/>
      <c r="F349" s="195"/>
      <c r="G349" s="195"/>
      <c r="H349" s="195"/>
      <c r="J349" s="99"/>
    </row>
    <row r="350" ht="15.75" customHeight="1">
      <c r="C350" s="148"/>
      <c r="D350" s="148"/>
      <c r="E350" s="207"/>
      <c r="F350" s="195"/>
      <c r="G350" s="195"/>
      <c r="H350" s="195"/>
      <c r="J350" s="99"/>
    </row>
    <row r="351" ht="15.75" customHeight="1">
      <c r="C351" s="148"/>
      <c r="D351" s="148"/>
      <c r="E351" s="207"/>
      <c r="F351" s="195"/>
      <c r="G351" s="195"/>
      <c r="H351" s="195"/>
      <c r="J351" s="99"/>
    </row>
    <row r="352" ht="15.75" customHeight="1">
      <c r="C352" s="148"/>
      <c r="D352" s="148"/>
      <c r="E352" s="207"/>
      <c r="F352" s="195"/>
      <c r="G352" s="195"/>
      <c r="H352" s="195"/>
      <c r="J352" s="99"/>
    </row>
    <row r="353" ht="15.75" customHeight="1">
      <c r="C353" s="148"/>
      <c r="D353" s="148"/>
      <c r="E353" s="207"/>
      <c r="F353" s="195"/>
      <c r="G353" s="195"/>
      <c r="H353" s="195"/>
      <c r="J353" s="99"/>
    </row>
    <row r="354" ht="15.75" customHeight="1">
      <c r="C354" s="148"/>
      <c r="D354" s="148"/>
      <c r="E354" s="207"/>
      <c r="F354" s="195"/>
      <c r="G354" s="195"/>
      <c r="H354" s="195"/>
      <c r="J354" s="99"/>
    </row>
    <row r="355" ht="15.75" customHeight="1">
      <c r="C355" s="148"/>
      <c r="D355" s="148"/>
      <c r="E355" s="207"/>
      <c r="F355" s="195"/>
      <c r="G355" s="195"/>
      <c r="H355" s="195"/>
      <c r="J355" s="99"/>
    </row>
    <row r="356" ht="15.75" customHeight="1">
      <c r="C356" s="148"/>
      <c r="D356" s="148"/>
      <c r="E356" s="207"/>
      <c r="F356" s="195"/>
      <c r="G356" s="195"/>
      <c r="H356" s="195"/>
      <c r="J356" s="99"/>
    </row>
    <row r="357" ht="15.75" customHeight="1">
      <c r="C357" s="148"/>
      <c r="D357" s="148"/>
      <c r="E357" s="207"/>
      <c r="F357" s="195"/>
      <c r="G357" s="195"/>
      <c r="H357" s="195"/>
      <c r="J357" s="99"/>
    </row>
    <row r="358" ht="15.75" customHeight="1">
      <c r="C358" s="148"/>
      <c r="D358" s="148"/>
      <c r="E358" s="207"/>
      <c r="F358" s="195"/>
      <c r="G358" s="195"/>
      <c r="H358" s="195"/>
      <c r="J358" s="99"/>
    </row>
    <row r="359" ht="15.75" customHeight="1">
      <c r="C359" s="148"/>
      <c r="D359" s="148"/>
      <c r="E359" s="207"/>
      <c r="F359" s="195"/>
      <c r="G359" s="195"/>
      <c r="H359" s="195"/>
      <c r="J359" s="99"/>
    </row>
    <row r="360" ht="15.75" customHeight="1">
      <c r="C360" s="148"/>
      <c r="D360" s="148"/>
      <c r="E360" s="207"/>
      <c r="F360" s="195"/>
      <c r="G360" s="195"/>
      <c r="H360" s="195"/>
      <c r="J360" s="99"/>
    </row>
    <row r="361" ht="15.75" customHeight="1">
      <c r="C361" s="148"/>
      <c r="D361" s="148"/>
      <c r="E361" s="207"/>
      <c r="F361" s="195"/>
      <c r="G361" s="195"/>
      <c r="H361" s="195"/>
      <c r="J361" s="99"/>
    </row>
    <row r="362" ht="15.75" customHeight="1">
      <c r="C362" s="148"/>
      <c r="D362" s="148"/>
      <c r="E362" s="207"/>
      <c r="F362" s="195"/>
      <c r="G362" s="195"/>
      <c r="H362" s="195"/>
      <c r="J362" s="99"/>
    </row>
    <row r="363" ht="15.75" customHeight="1">
      <c r="C363" s="148"/>
      <c r="D363" s="148"/>
      <c r="E363" s="207"/>
      <c r="F363" s="195"/>
      <c r="G363" s="195"/>
      <c r="H363" s="195"/>
      <c r="J363" s="99"/>
    </row>
    <row r="364" ht="15.75" customHeight="1">
      <c r="C364" s="148"/>
      <c r="D364" s="148"/>
      <c r="E364" s="207"/>
      <c r="F364" s="195"/>
      <c r="G364" s="195"/>
      <c r="H364" s="195"/>
      <c r="J364" s="99"/>
    </row>
    <row r="365" ht="15.75" customHeight="1">
      <c r="C365" s="148"/>
      <c r="D365" s="148"/>
      <c r="E365" s="207"/>
      <c r="F365" s="195"/>
      <c r="G365" s="195"/>
      <c r="H365" s="195"/>
      <c r="J365" s="99"/>
    </row>
    <row r="366" ht="15.75" customHeight="1">
      <c r="C366" s="148"/>
      <c r="D366" s="148"/>
      <c r="E366" s="207"/>
      <c r="F366" s="195"/>
      <c r="G366" s="195"/>
      <c r="H366" s="195"/>
      <c r="J366" s="99"/>
    </row>
    <row r="367" ht="15.75" customHeight="1">
      <c r="C367" s="148"/>
      <c r="D367" s="148"/>
      <c r="E367" s="207"/>
      <c r="F367" s="195"/>
      <c r="G367" s="195"/>
      <c r="H367" s="195"/>
      <c r="J367" s="99"/>
    </row>
    <row r="368" ht="15.75" customHeight="1">
      <c r="C368" s="148"/>
      <c r="D368" s="148"/>
      <c r="E368" s="207"/>
      <c r="F368" s="195"/>
      <c r="G368" s="195"/>
      <c r="H368" s="195"/>
      <c r="J368" s="99"/>
    </row>
    <row r="369" ht="15.75" customHeight="1">
      <c r="C369" s="148"/>
      <c r="D369" s="148"/>
      <c r="E369" s="207"/>
      <c r="F369" s="195"/>
      <c r="G369" s="195"/>
      <c r="H369" s="195"/>
      <c r="J369" s="99"/>
    </row>
    <row r="370" ht="15.75" customHeight="1">
      <c r="C370" s="148"/>
      <c r="D370" s="148"/>
      <c r="E370" s="207"/>
      <c r="F370" s="195"/>
      <c r="G370" s="195"/>
      <c r="H370" s="195"/>
      <c r="J370" s="99"/>
    </row>
    <row r="371" ht="15.75" customHeight="1">
      <c r="C371" s="148"/>
      <c r="D371" s="148"/>
      <c r="E371" s="207"/>
      <c r="F371" s="195"/>
      <c r="G371" s="195"/>
      <c r="H371" s="195"/>
      <c r="J371" s="99"/>
    </row>
    <row r="372" ht="15.75" customHeight="1">
      <c r="C372" s="148"/>
      <c r="D372" s="148"/>
      <c r="E372" s="207"/>
      <c r="F372" s="195"/>
      <c r="G372" s="195"/>
      <c r="H372" s="195"/>
      <c r="J372" s="99"/>
    </row>
    <row r="373" ht="15.75" customHeight="1">
      <c r="C373" s="148"/>
      <c r="D373" s="148"/>
      <c r="E373" s="207"/>
      <c r="F373" s="195"/>
      <c r="G373" s="195"/>
      <c r="H373" s="195"/>
      <c r="J373" s="99"/>
    </row>
    <row r="374" ht="15.75" customHeight="1">
      <c r="C374" s="148"/>
      <c r="D374" s="148"/>
      <c r="E374" s="207"/>
      <c r="F374" s="195"/>
      <c r="G374" s="195"/>
      <c r="H374" s="195"/>
      <c r="J374" s="99"/>
    </row>
    <row r="375" ht="15.75" customHeight="1">
      <c r="C375" s="148"/>
      <c r="D375" s="148"/>
      <c r="E375" s="207"/>
      <c r="F375" s="195"/>
      <c r="G375" s="195"/>
      <c r="H375" s="195"/>
      <c r="J375" s="99"/>
    </row>
    <row r="376" ht="15.75" customHeight="1">
      <c r="C376" s="148"/>
      <c r="D376" s="148"/>
      <c r="E376" s="207"/>
      <c r="F376" s="195"/>
      <c r="G376" s="195"/>
      <c r="H376" s="195"/>
      <c r="J376" s="99"/>
    </row>
    <row r="377" ht="15.75" customHeight="1">
      <c r="C377" s="148"/>
      <c r="D377" s="148"/>
      <c r="E377" s="207"/>
      <c r="F377" s="195"/>
      <c r="G377" s="195"/>
      <c r="H377" s="195"/>
      <c r="J377" s="99"/>
    </row>
    <row r="378" ht="15.75" customHeight="1">
      <c r="C378" s="148"/>
      <c r="D378" s="148"/>
      <c r="E378" s="207"/>
      <c r="F378" s="195"/>
      <c r="G378" s="195"/>
      <c r="H378" s="195"/>
      <c r="J378" s="99"/>
    </row>
    <row r="379" ht="15.75" customHeight="1">
      <c r="C379" s="148"/>
      <c r="D379" s="148"/>
      <c r="E379" s="207"/>
      <c r="F379" s="195"/>
      <c r="G379" s="195"/>
      <c r="H379" s="195"/>
      <c r="J379" s="99"/>
    </row>
    <row r="380" ht="15.75" customHeight="1">
      <c r="C380" s="148"/>
      <c r="D380" s="148"/>
      <c r="E380" s="207"/>
      <c r="F380" s="195"/>
      <c r="G380" s="195"/>
      <c r="H380" s="195"/>
      <c r="J380" s="99"/>
    </row>
    <row r="381" ht="15.75" customHeight="1">
      <c r="C381" s="148"/>
      <c r="D381" s="148"/>
      <c r="E381" s="207"/>
      <c r="F381" s="195"/>
      <c r="G381" s="195"/>
      <c r="H381" s="195"/>
      <c r="J381" s="99"/>
    </row>
    <row r="382" ht="15.75" customHeight="1">
      <c r="C382" s="148"/>
      <c r="D382" s="148"/>
      <c r="E382" s="207"/>
      <c r="F382" s="195"/>
      <c r="G382" s="195"/>
      <c r="H382" s="195"/>
      <c r="J382" s="99"/>
    </row>
    <row r="383" ht="15.75" customHeight="1">
      <c r="C383" s="148"/>
      <c r="D383" s="148"/>
      <c r="E383" s="207"/>
      <c r="F383" s="195"/>
      <c r="G383" s="195"/>
      <c r="H383" s="195"/>
      <c r="J383" s="99"/>
    </row>
    <row r="384" ht="15.75" customHeight="1">
      <c r="C384" s="148"/>
      <c r="D384" s="148"/>
      <c r="E384" s="207"/>
      <c r="F384" s="195"/>
      <c r="G384" s="195"/>
      <c r="H384" s="195"/>
      <c r="J384" s="99"/>
    </row>
    <row r="385" ht="15.75" customHeight="1">
      <c r="C385" s="148"/>
      <c r="D385" s="148"/>
      <c r="E385" s="207"/>
      <c r="F385" s="195"/>
      <c r="G385" s="195"/>
      <c r="H385" s="195"/>
      <c r="J385" s="99"/>
    </row>
    <row r="386" ht="15.75" customHeight="1">
      <c r="C386" s="148"/>
      <c r="D386" s="148"/>
      <c r="E386" s="207"/>
      <c r="F386" s="195"/>
      <c r="G386" s="195"/>
      <c r="H386" s="195"/>
      <c r="J386" s="99"/>
    </row>
    <row r="387" ht="15.75" customHeight="1">
      <c r="C387" s="148"/>
      <c r="D387" s="148"/>
      <c r="E387" s="207"/>
      <c r="F387" s="195"/>
      <c r="G387" s="195"/>
      <c r="H387" s="195"/>
      <c r="J387" s="99"/>
    </row>
    <row r="388" ht="15.75" customHeight="1">
      <c r="C388" s="148"/>
      <c r="D388" s="148"/>
      <c r="E388" s="207"/>
      <c r="F388" s="195"/>
      <c r="G388" s="195"/>
      <c r="H388" s="195"/>
      <c r="J388" s="99"/>
    </row>
    <row r="389" ht="15.75" customHeight="1">
      <c r="C389" s="148"/>
      <c r="D389" s="148"/>
      <c r="E389" s="207"/>
      <c r="F389" s="195"/>
      <c r="G389" s="195"/>
      <c r="H389" s="195"/>
      <c r="J389" s="99"/>
    </row>
    <row r="390" ht="15.75" customHeight="1">
      <c r="C390" s="148"/>
      <c r="D390" s="148"/>
      <c r="E390" s="207"/>
      <c r="F390" s="195"/>
      <c r="G390" s="195"/>
      <c r="H390" s="195"/>
      <c r="J390" s="99"/>
    </row>
    <row r="391" ht="15.75" customHeight="1">
      <c r="C391" s="148"/>
      <c r="D391" s="148"/>
      <c r="E391" s="207"/>
      <c r="F391" s="195"/>
      <c r="G391" s="195"/>
      <c r="H391" s="195"/>
      <c r="J391" s="99"/>
    </row>
    <row r="392" ht="15.75" customHeight="1">
      <c r="C392" s="148"/>
      <c r="D392" s="148"/>
      <c r="E392" s="207"/>
      <c r="F392" s="195"/>
      <c r="G392" s="195"/>
      <c r="H392" s="195"/>
      <c r="J392" s="99"/>
    </row>
    <row r="393" ht="15.75" customHeight="1">
      <c r="C393" s="148"/>
      <c r="D393" s="148"/>
      <c r="E393" s="207"/>
      <c r="F393" s="195"/>
      <c r="G393" s="195"/>
      <c r="H393" s="195"/>
      <c r="J393" s="99"/>
    </row>
    <row r="394" ht="15.75" customHeight="1">
      <c r="C394" s="148"/>
      <c r="D394" s="148"/>
      <c r="E394" s="207"/>
      <c r="F394" s="195"/>
      <c r="G394" s="195"/>
      <c r="H394" s="195"/>
      <c r="J394" s="99"/>
    </row>
    <row r="395" ht="15.75" customHeight="1">
      <c r="C395" s="148"/>
      <c r="D395" s="148"/>
      <c r="E395" s="207"/>
      <c r="F395" s="195"/>
      <c r="G395" s="195"/>
      <c r="H395" s="195"/>
      <c r="J395" s="99"/>
    </row>
    <row r="396" ht="15.75" customHeight="1">
      <c r="C396" s="148"/>
      <c r="D396" s="148"/>
      <c r="E396" s="207"/>
      <c r="F396" s="195"/>
      <c r="G396" s="195"/>
      <c r="H396" s="195"/>
      <c r="J396" s="99"/>
    </row>
    <row r="397" ht="15.75" customHeight="1">
      <c r="C397" s="148"/>
      <c r="D397" s="148"/>
      <c r="E397" s="207"/>
      <c r="F397" s="195"/>
      <c r="G397" s="195"/>
      <c r="H397" s="195"/>
      <c r="J397" s="99"/>
    </row>
    <row r="398" ht="15.75" customHeight="1">
      <c r="C398" s="148"/>
      <c r="D398" s="148"/>
      <c r="E398" s="207"/>
      <c r="F398" s="195"/>
      <c r="G398" s="195"/>
      <c r="H398" s="195"/>
      <c r="J398" s="99"/>
    </row>
    <row r="399" ht="15.75" customHeight="1">
      <c r="C399" s="148"/>
      <c r="D399" s="148"/>
      <c r="E399" s="207"/>
      <c r="F399" s="195"/>
      <c r="G399" s="195"/>
      <c r="H399" s="195"/>
      <c r="J399" s="99"/>
    </row>
    <row r="400" ht="15.75" customHeight="1">
      <c r="C400" s="148"/>
      <c r="D400" s="148"/>
      <c r="E400" s="207"/>
      <c r="F400" s="195"/>
      <c r="G400" s="195"/>
      <c r="H400" s="195"/>
      <c r="J400" s="99"/>
    </row>
    <row r="401" ht="15.75" customHeight="1">
      <c r="C401" s="148"/>
      <c r="D401" s="148"/>
      <c r="E401" s="207"/>
      <c r="F401" s="195"/>
      <c r="G401" s="195"/>
      <c r="H401" s="195"/>
      <c r="J401" s="99"/>
    </row>
    <row r="402" ht="15.75" customHeight="1">
      <c r="C402" s="148"/>
      <c r="D402" s="148"/>
      <c r="E402" s="207"/>
      <c r="F402" s="195"/>
      <c r="G402" s="195"/>
      <c r="H402" s="195"/>
      <c r="J402" s="99"/>
    </row>
    <row r="403" ht="15.75" customHeight="1">
      <c r="C403" s="148"/>
      <c r="D403" s="148"/>
      <c r="E403" s="207"/>
      <c r="F403" s="195"/>
      <c r="G403" s="195"/>
      <c r="H403" s="195"/>
      <c r="J403" s="99"/>
    </row>
    <row r="404" ht="15.75" customHeight="1">
      <c r="C404" s="148"/>
      <c r="D404" s="148"/>
      <c r="E404" s="207"/>
      <c r="F404" s="195"/>
      <c r="G404" s="195"/>
      <c r="H404" s="195"/>
      <c r="J404" s="99"/>
    </row>
    <row r="405" ht="15.75" customHeight="1">
      <c r="C405" s="148"/>
      <c r="D405" s="148"/>
      <c r="E405" s="207"/>
      <c r="F405" s="195"/>
      <c r="G405" s="195"/>
      <c r="H405" s="195"/>
      <c r="J405" s="99"/>
    </row>
    <row r="406" ht="15.75" customHeight="1">
      <c r="C406" s="148"/>
      <c r="D406" s="148"/>
      <c r="E406" s="207"/>
      <c r="F406" s="195"/>
      <c r="G406" s="195"/>
      <c r="H406" s="195"/>
      <c r="J406" s="99"/>
    </row>
    <row r="407" ht="15.75" customHeight="1">
      <c r="C407" s="148"/>
      <c r="D407" s="148"/>
      <c r="E407" s="207"/>
      <c r="F407" s="195"/>
      <c r="G407" s="195"/>
      <c r="H407" s="195"/>
      <c r="J407" s="99"/>
    </row>
    <row r="408" ht="15.75" customHeight="1">
      <c r="C408" s="148"/>
      <c r="D408" s="148"/>
      <c r="E408" s="207"/>
      <c r="F408" s="195"/>
      <c r="G408" s="195"/>
      <c r="H408" s="195"/>
      <c r="J408" s="99"/>
    </row>
    <row r="409" ht="15.75" customHeight="1">
      <c r="C409" s="148"/>
      <c r="D409" s="148"/>
      <c r="E409" s="207"/>
      <c r="F409" s="195"/>
      <c r="G409" s="195"/>
      <c r="H409" s="195"/>
      <c r="J409" s="99"/>
    </row>
    <row r="410" ht="15.75" customHeight="1">
      <c r="C410" s="148"/>
      <c r="D410" s="148"/>
      <c r="E410" s="207"/>
      <c r="F410" s="195"/>
      <c r="G410" s="195"/>
      <c r="H410" s="195"/>
      <c r="J410" s="99"/>
    </row>
    <row r="411" ht="15.75" customHeight="1">
      <c r="C411" s="148"/>
      <c r="D411" s="148"/>
      <c r="E411" s="207"/>
      <c r="F411" s="195"/>
      <c r="G411" s="195"/>
      <c r="H411" s="195"/>
      <c r="J411" s="99"/>
    </row>
    <row r="412" ht="15.75" customHeight="1">
      <c r="C412" s="148"/>
      <c r="D412" s="148"/>
      <c r="E412" s="207"/>
      <c r="F412" s="195"/>
      <c r="G412" s="195"/>
      <c r="H412" s="195"/>
      <c r="J412" s="99"/>
    </row>
    <row r="413" ht="15.75" customHeight="1">
      <c r="C413" s="148"/>
      <c r="D413" s="148"/>
      <c r="E413" s="207"/>
      <c r="F413" s="195"/>
      <c r="G413" s="195"/>
      <c r="H413" s="195"/>
      <c r="J413" s="99"/>
    </row>
    <row r="414" ht="15.75" customHeight="1">
      <c r="C414" s="148"/>
      <c r="D414" s="148"/>
      <c r="E414" s="207"/>
      <c r="F414" s="195"/>
      <c r="G414" s="195"/>
      <c r="H414" s="195"/>
      <c r="J414" s="99"/>
    </row>
    <row r="415" ht="15.75" customHeight="1">
      <c r="C415" s="148"/>
      <c r="D415" s="148"/>
      <c r="E415" s="207"/>
      <c r="F415" s="195"/>
      <c r="G415" s="195"/>
      <c r="H415" s="195"/>
      <c r="J415" s="99"/>
    </row>
    <row r="416" ht="15.75" customHeight="1">
      <c r="C416" s="148"/>
      <c r="D416" s="148"/>
      <c r="E416" s="207"/>
      <c r="F416" s="195"/>
      <c r="G416" s="195"/>
      <c r="H416" s="195"/>
      <c r="J416" s="99"/>
    </row>
    <row r="417" ht="15.75" customHeight="1">
      <c r="C417" s="148"/>
      <c r="D417" s="148"/>
      <c r="E417" s="207"/>
      <c r="F417" s="195"/>
      <c r="G417" s="195"/>
      <c r="H417" s="195"/>
      <c r="J417" s="99"/>
    </row>
    <row r="418" ht="15.75" customHeight="1">
      <c r="C418" s="148"/>
      <c r="D418" s="148"/>
      <c r="E418" s="207"/>
      <c r="F418" s="195"/>
      <c r="G418" s="195"/>
      <c r="H418" s="195"/>
      <c r="J418" s="99"/>
    </row>
    <row r="419" ht="15.75" customHeight="1">
      <c r="C419" s="148"/>
      <c r="D419" s="148"/>
      <c r="E419" s="207"/>
      <c r="F419" s="195"/>
      <c r="G419" s="195"/>
      <c r="H419" s="195"/>
      <c r="J419" s="99"/>
    </row>
    <row r="420" ht="15.75" customHeight="1">
      <c r="C420" s="148"/>
      <c r="D420" s="148"/>
      <c r="E420" s="207"/>
      <c r="F420" s="195"/>
      <c r="G420" s="195"/>
      <c r="H420" s="195"/>
      <c r="J420" s="99"/>
    </row>
    <row r="421" ht="15.75" customHeight="1">
      <c r="C421" s="148"/>
      <c r="D421" s="148"/>
      <c r="E421" s="207"/>
      <c r="F421" s="195"/>
      <c r="G421" s="195"/>
      <c r="H421" s="195"/>
      <c r="J421" s="99"/>
    </row>
    <row r="422" ht="15.75" customHeight="1">
      <c r="C422" s="148"/>
      <c r="D422" s="148"/>
      <c r="E422" s="207"/>
      <c r="F422" s="195"/>
      <c r="G422" s="195"/>
      <c r="H422" s="195"/>
      <c r="J422" s="99"/>
    </row>
    <row r="423" ht="15.75" customHeight="1">
      <c r="C423" s="148"/>
      <c r="D423" s="148"/>
      <c r="E423" s="207"/>
      <c r="F423" s="195"/>
      <c r="G423" s="195"/>
      <c r="H423" s="195"/>
      <c r="J423" s="99"/>
    </row>
    <row r="424" ht="15.75" customHeight="1">
      <c r="C424" s="148"/>
      <c r="D424" s="148"/>
      <c r="E424" s="207"/>
      <c r="F424" s="195"/>
      <c r="G424" s="195"/>
      <c r="H424" s="195"/>
      <c r="J424" s="99"/>
    </row>
    <row r="425" ht="15.75" customHeight="1">
      <c r="C425" s="148"/>
      <c r="D425" s="148"/>
      <c r="E425" s="207"/>
      <c r="F425" s="195"/>
      <c r="G425" s="195"/>
      <c r="H425" s="195"/>
      <c r="J425" s="99"/>
    </row>
    <row r="426" ht="15.75" customHeight="1">
      <c r="C426" s="148"/>
      <c r="D426" s="148"/>
      <c r="E426" s="207"/>
      <c r="F426" s="195"/>
      <c r="G426" s="195"/>
      <c r="H426" s="195"/>
      <c r="J426" s="99"/>
    </row>
    <row r="427" ht="15.75" customHeight="1">
      <c r="C427" s="148"/>
      <c r="D427" s="148"/>
      <c r="E427" s="207"/>
      <c r="F427" s="195"/>
      <c r="G427" s="195"/>
      <c r="H427" s="195"/>
      <c r="J427" s="99"/>
    </row>
    <row r="428" ht="15.75" customHeight="1">
      <c r="C428" s="148"/>
      <c r="D428" s="148"/>
      <c r="E428" s="207"/>
      <c r="F428" s="195"/>
      <c r="G428" s="195"/>
      <c r="H428" s="195"/>
      <c r="J428" s="99"/>
    </row>
    <row r="429" ht="15.75" customHeight="1">
      <c r="C429" s="148"/>
      <c r="D429" s="148"/>
      <c r="E429" s="207"/>
      <c r="F429" s="195"/>
      <c r="G429" s="195"/>
      <c r="H429" s="195"/>
      <c r="J429" s="99"/>
    </row>
    <row r="430" ht="15.75" customHeight="1">
      <c r="C430" s="148"/>
      <c r="D430" s="148"/>
      <c r="E430" s="207"/>
      <c r="F430" s="195"/>
      <c r="G430" s="195"/>
      <c r="H430" s="195"/>
      <c r="J430" s="99"/>
    </row>
    <row r="431" ht="15.75" customHeight="1">
      <c r="C431" s="148"/>
      <c r="D431" s="148"/>
      <c r="E431" s="207"/>
      <c r="F431" s="195"/>
      <c r="G431" s="195"/>
      <c r="H431" s="195"/>
      <c r="J431" s="99"/>
    </row>
    <row r="432" ht="15.75" customHeight="1">
      <c r="C432" s="148"/>
      <c r="D432" s="148"/>
      <c r="E432" s="207"/>
      <c r="F432" s="195"/>
      <c r="G432" s="195"/>
      <c r="H432" s="195"/>
      <c r="J432" s="99"/>
    </row>
    <row r="433" ht="15.75" customHeight="1">
      <c r="C433" s="148"/>
      <c r="D433" s="148"/>
      <c r="E433" s="207"/>
      <c r="F433" s="195"/>
      <c r="G433" s="195"/>
      <c r="H433" s="195"/>
      <c r="J433" s="99"/>
    </row>
    <row r="434" ht="15.75" customHeight="1">
      <c r="C434" s="148"/>
      <c r="D434" s="148"/>
      <c r="E434" s="207"/>
      <c r="F434" s="195"/>
      <c r="G434" s="195"/>
      <c r="H434" s="195"/>
      <c r="J434" s="99"/>
    </row>
    <row r="435" ht="15.75" customHeight="1">
      <c r="C435" s="148"/>
      <c r="D435" s="148"/>
      <c r="E435" s="207"/>
      <c r="F435" s="195"/>
      <c r="G435" s="195"/>
      <c r="H435" s="195"/>
      <c r="J435" s="99"/>
    </row>
    <row r="436" ht="15.75" customHeight="1">
      <c r="C436" s="148"/>
      <c r="D436" s="148"/>
      <c r="E436" s="207"/>
      <c r="F436" s="195"/>
      <c r="G436" s="195"/>
      <c r="H436" s="195"/>
      <c r="J436" s="99"/>
    </row>
    <row r="437" ht="15.75" customHeight="1">
      <c r="C437" s="148"/>
      <c r="D437" s="148"/>
      <c r="E437" s="207"/>
      <c r="F437" s="195"/>
      <c r="G437" s="195"/>
      <c r="H437" s="195"/>
      <c r="J437" s="99"/>
    </row>
    <row r="438" ht="15.75" customHeight="1">
      <c r="C438" s="148"/>
      <c r="D438" s="148"/>
      <c r="E438" s="207"/>
      <c r="F438" s="195"/>
      <c r="G438" s="195"/>
      <c r="H438" s="195"/>
      <c r="J438" s="99"/>
    </row>
    <row r="439" ht="15.75" customHeight="1">
      <c r="C439" s="148"/>
      <c r="D439" s="148"/>
      <c r="E439" s="207"/>
      <c r="F439" s="195"/>
      <c r="G439" s="195"/>
      <c r="H439" s="195"/>
      <c r="J439" s="99"/>
    </row>
    <row r="440" ht="15.75" customHeight="1">
      <c r="C440" s="148"/>
      <c r="D440" s="148"/>
      <c r="E440" s="207"/>
      <c r="F440" s="195"/>
      <c r="G440" s="195"/>
      <c r="H440" s="195"/>
      <c r="J440" s="99"/>
    </row>
    <row r="441" ht="15.75" customHeight="1">
      <c r="C441" s="148"/>
      <c r="D441" s="148"/>
      <c r="E441" s="207"/>
      <c r="F441" s="195"/>
      <c r="G441" s="195"/>
      <c r="H441" s="195"/>
      <c r="J441" s="99"/>
    </row>
    <row r="442" ht="15.75" customHeight="1">
      <c r="C442" s="148"/>
      <c r="D442" s="148"/>
      <c r="E442" s="207"/>
      <c r="F442" s="195"/>
      <c r="G442" s="195"/>
      <c r="H442" s="195"/>
      <c r="J442" s="99"/>
    </row>
    <row r="443" ht="15.75" customHeight="1">
      <c r="C443" s="148"/>
      <c r="D443" s="148"/>
      <c r="E443" s="207"/>
      <c r="F443" s="195"/>
      <c r="G443" s="195"/>
      <c r="H443" s="195"/>
      <c r="J443" s="99"/>
    </row>
    <row r="444" ht="15.75" customHeight="1">
      <c r="C444" s="148"/>
      <c r="D444" s="148"/>
      <c r="E444" s="207"/>
      <c r="F444" s="195"/>
      <c r="G444" s="195"/>
      <c r="H444" s="195"/>
      <c r="J444" s="99"/>
    </row>
    <row r="445" ht="15.75" customHeight="1">
      <c r="C445" s="148"/>
      <c r="D445" s="148"/>
      <c r="E445" s="207"/>
      <c r="F445" s="195"/>
      <c r="G445" s="195"/>
      <c r="H445" s="195"/>
      <c r="J445" s="99"/>
    </row>
    <row r="446" ht="15.75" customHeight="1">
      <c r="C446" s="148"/>
      <c r="D446" s="148"/>
      <c r="E446" s="207"/>
      <c r="F446" s="195"/>
      <c r="G446" s="195"/>
      <c r="H446" s="195"/>
      <c r="J446" s="99"/>
    </row>
    <row r="447" ht="15.75" customHeight="1">
      <c r="C447" s="148"/>
      <c r="D447" s="148"/>
      <c r="E447" s="207"/>
      <c r="F447" s="195"/>
      <c r="G447" s="195"/>
      <c r="H447" s="195"/>
      <c r="J447" s="99"/>
    </row>
    <row r="448" ht="15.75" customHeight="1">
      <c r="C448" s="148"/>
      <c r="D448" s="148"/>
      <c r="E448" s="207"/>
      <c r="F448" s="195"/>
      <c r="G448" s="195"/>
      <c r="H448" s="195"/>
      <c r="J448" s="99"/>
    </row>
    <row r="449" ht="15.75" customHeight="1">
      <c r="C449" s="148"/>
      <c r="D449" s="148"/>
      <c r="E449" s="207"/>
      <c r="F449" s="195"/>
      <c r="G449" s="195"/>
      <c r="H449" s="195"/>
      <c r="J449" s="99"/>
    </row>
    <row r="450" ht="15.75" customHeight="1">
      <c r="C450" s="148"/>
      <c r="D450" s="148"/>
      <c r="E450" s="207"/>
      <c r="F450" s="195"/>
      <c r="G450" s="195"/>
      <c r="H450" s="195"/>
      <c r="J450" s="99"/>
    </row>
    <row r="451" ht="15.75" customHeight="1">
      <c r="C451" s="148"/>
      <c r="D451" s="148"/>
      <c r="E451" s="207"/>
      <c r="F451" s="195"/>
      <c r="G451" s="195"/>
      <c r="H451" s="195"/>
      <c r="J451" s="99"/>
    </row>
    <row r="452" ht="15.75" customHeight="1">
      <c r="C452" s="148"/>
      <c r="D452" s="148"/>
      <c r="E452" s="207"/>
      <c r="F452" s="195"/>
      <c r="G452" s="195"/>
      <c r="H452" s="195"/>
      <c r="J452" s="99"/>
    </row>
    <row r="453" ht="15.75" customHeight="1">
      <c r="C453" s="148"/>
      <c r="D453" s="148"/>
      <c r="E453" s="207"/>
      <c r="F453" s="195"/>
      <c r="G453" s="195"/>
      <c r="H453" s="195"/>
      <c r="J453" s="99"/>
    </row>
    <row r="454" ht="15.75" customHeight="1">
      <c r="C454" s="148"/>
      <c r="D454" s="148"/>
      <c r="E454" s="207"/>
      <c r="F454" s="195"/>
      <c r="G454" s="195"/>
      <c r="H454" s="195"/>
      <c r="J454" s="99"/>
    </row>
    <row r="455" ht="15.75" customHeight="1">
      <c r="C455" s="148"/>
      <c r="D455" s="148"/>
      <c r="E455" s="207"/>
      <c r="F455" s="195"/>
      <c r="G455" s="195"/>
      <c r="H455" s="195"/>
      <c r="J455" s="99"/>
    </row>
    <row r="456" ht="15.75" customHeight="1">
      <c r="C456" s="148"/>
      <c r="D456" s="148"/>
      <c r="E456" s="207"/>
      <c r="F456" s="195"/>
      <c r="G456" s="195"/>
      <c r="H456" s="195"/>
      <c r="J456" s="99"/>
    </row>
    <row r="457" ht="15.75" customHeight="1">
      <c r="C457" s="148"/>
      <c r="D457" s="148"/>
      <c r="E457" s="207"/>
      <c r="F457" s="195"/>
      <c r="G457" s="195"/>
      <c r="H457" s="195"/>
      <c r="J457" s="99"/>
    </row>
    <row r="458" ht="15.75" customHeight="1">
      <c r="C458" s="148"/>
      <c r="D458" s="148"/>
      <c r="E458" s="207"/>
      <c r="F458" s="195"/>
      <c r="G458" s="195"/>
      <c r="H458" s="195"/>
      <c r="J458" s="99"/>
    </row>
    <row r="459" ht="15.75" customHeight="1">
      <c r="C459" s="148"/>
      <c r="D459" s="148"/>
      <c r="E459" s="207"/>
      <c r="F459" s="195"/>
      <c r="G459" s="195"/>
      <c r="H459" s="195"/>
      <c r="J459" s="99"/>
    </row>
    <row r="460" ht="15.75" customHeight="1">
      <c r="C460" s="148"/>
      <c r="D460" s="148"/>
      <c r="E460" s="207"/>
      <c r="F460" s="195"/>
      <c r="G460" s="195"/>
      <c r="H460" s="195"/>
      <c r="J460" s="99"/>
    </row>
    <row r="461" ht="15.75" customHeight="1">
      <c r="C461" s="148"/>
      <c r="D461" s="148"/>
      <c r="E461" s="207"/>
      <c r="F461" s="195"/>
      <c r="G461" s="195"/>
      <c r="H461" s="195"/>
      <c r="J461" s="99"/>
    </row>
    <row r="462" ht="15.75" customHeight="1">
      <c r="C462" s="148"/>
      <c r="D462" s="148"/>
      <c r="E462" s="207"/>
      <c r="F462" s="195"/>
      <c r="G462" s="195"/>
      <c r="H462" s="195"/>
      <c r="J462" s="99"/>
    </row>
    <row r="463" ht="15.75" customHeight="1">
      <c r="C463" s="148"/>
      <c r="D463" s="148"/>
      <c r="E463" s="207"/>
      <c r="F463" s="195"/>
      <c r="G463" s="195"/>
      <c r="H463" s="195"/>
      <c r="J463" s="99"/>
    </row>
    <row r="464" ht="15.75" customHeight="1">
      <c r="C464" s="148"/>
      <c r="D464" s="148"/>
      <c r="E464" s="207"/>
      <c r="F464" s="195"/>
      <c r="G464" s="195"/>
      <c r="H464" s="195"/>
      <c r="J464" s="99"/>
    </row>
    <row r="465" ht="15.75" customHeight="1">
      <c r="C465" s="148"/>
      <c r="D465" s="148"/>
      <c r="E465" s="207"/>
      <c r="F465" s="195"/>
      <c r="G465" s="195"/>
      <c r="H465" s="195"/>
      <c r="J465" s="99"/>
    </row>
    <row r="466" ht="15.75" customHeight="1">
      <c r="C466" s="148"/>
      <c r="D466" s="148"/>
      <c r="E466" s="207"/>
      <c r="F466" s="195"/>
      <c r="G466" s="195"/>
      <c r="H466" s="195"/>
      <c r="J466" s="99"/>
    </row>
    <row r="467" ht="15.75" customHeight="1">
      <c r="C467" s="148"/>
      <c r="D467" s="148"/>
      <c r="E467" s="207"/>
      <c r="F467" s="195"/>
      <c r="G467" s="195"/>
      <c r="H467" s="195"/>
      <c r="J467" s="99"/>
    </row>
    <row r="468" ht="15.75" customHeight="1">
      <c r="C468" s="148"/>
      <c r="D468" s="148"/>
      <c r="E468" s="207"/>
      <c r="F468" s="195"/>
      <c r="G468" s="195"/>
      <c r="H468" s="195"/>
      <c r="J468" s="99"/>
    </row>
    <row r="469" ht="15.75" customHeight="1">
      <c r="C469" s="148"/>
      <c r="D469" s="148"/>
      <c r="E469" s="207"/>
      <c r="F469" s="195"/>
      <c r="G469" s="195"/>
      <c r="H469" s="195"/>
      <c r="J469" s="99"/>
    </row>
    <row r="470" ht="15.75" customHeight="1">
      <c r="C470" s="148"/>
      <c r="D470" s="148"/>
      <c r="E470" s="207"/>
      <c r="F470" s="195"/>
      <c r="G470" s="195"/>
      <c r="H470" s="195"/>
      <c r="J470" s="99"/>
    </row>
    <row r="471" ht="15.75" customHeight="1">
      <c r="C471" s="148"/>
      <c r="D471" s="148"/>
      <c r="E471" s="207"/>
      <c r="F471" s="195"/>
      <c r="G471" s="195"/>
      <c r="H471" s="195"/>
      <c r="J471" s="99"/>
    </row>
    <row r="472" ht="15.75" customHeight="1">
      <c r="C472" s="148"/>
      <c r="D472" s="148"/>
      <c r="E472" s="207"/>
      <c r="F472" s="195"/>
      <c r="G472" s="195"/>
      <c r="H472" s="195"/>
      <c r="J472" s="99"/>
    </row>
    <row r="473" ht="15.75" customHeight="1">
      <c r="C473" s="148"/>
      <c r="D473" s="148"/>
      <c r="E473" s="207"/>
      <c r="F473" s="195"/>
      <c r="G473" s="195"/>
      <c r="H473" s="195"/>
      <c r="J473" s="99"/>
    </row>
    <row r="474" ht="15.75" customHeight="1">
      <c r="C474" s="148"/>
      <c r="D474" s="148"/>
      <c r="E474" s="207"/>
      <c r="F474" s="195"/>
      <c r="G474" s="195"/>
      <c r="H474" s="195"/>
      <c r="J474" s="99"/>
    </row>
    <row r="475" ht="15.75" customHeight="1">
      <c r="C475" s="148"/>
      <c r="D475" s="148"/>
      <c r="E475" s="207"/>
      <c r="F475" s="195"/>
      <c r="G475" s="195"/>
      <c r="H475" s="195"/>
      <c r="J475" s="99"/>
    </row>
    <row r="476" ht="15.75" customHeight="1">
      <c r="C476" s="148"/>
      <c r="D476" s="148"/>
      <c r="E476" s="207"/>
      <c r="F476" s="195"/>
      <c r="G476" s="195"/>
      <c r="H476" s="195"/>
      <c r="J476" s="99"/>
    </row>
    <row r="477" ht="15.75" customHeight="1">
      <c r="C477" s="148"/>
      <c r="D477" s="148"/>
      <c r="E477" s="207"/>
      <c r="F477" s="195"/>
      <c r="G477" s="195"/>
      <c r="H477" s="195"/>
      <c r="J477" s="99"/>
    </row>
    <row r="478" ht="15.75" customHeight="1">
      <c r="C478" s="148"/>
      <c r="D478" s="148"/>
      <c r="E478" s="207"/>
      <c r="F478" s="195"/>
      <c r="G478" s="195"/>
      <c r="H478" s="195"/>
      <c r="J478" s="99"/>
    </row>
    <row r="479" ht="15.75" customHeight="1">
      <c r="C479" s="148"/>
      <c r="D479" s="148"/>
      <c r="E479" s="207"/>
      <c r="F479" s="195"/>
      <c r="G479" s="195"/>
      <c r="H479" s="195"/>
      <c r="J479" s="99"/>
    </row>
    <row r="480" ht="15.75" customHeight="1">
      <c r="C480" s="148"/>
      <c r="D480" s="148"/>
      <c r="E480" s="207"/>
      <c r="F480" s="195"/>
      <c r="G480" s="195"/>
      <c r="H480" s="195"/>
      <c r="J480" s="99"/>
    </row>
    <row r="481" ht="15.75" customHeight="1">
      <c r="C481" s="148"/>
      <c r="D481" s="148"/>
      <c r="E481" s="207"/>
      <c r="F481" s="195"/>
      <c r="G481" s="195"/>
      <c r="H481" s="195"/>
      <c r="J481" s="99"/>
    </row>
    <row r="482" ht="15.75" customHeight="1">
      <c r="C482" s="148"/>
      <c r="D482" s="148"/>
      <c r="E482" s="207"/>
      <c r="F482" s="195"/>
      <c r="G482" s="195"/>
      <c r="H482" s="195"/>
      <c r="J482" s="99"/>
    </row>
    <row r="483" ht="15.75" customHeight="1">
      <c r="C483" s="148"/>
      <c r="D483" s="148"/>
      <c r="E483" s="207"/>
      <c r="F483" s="195"/>
      <c r="G483" s="195"/>
      <c r="H483" s="195"/>
      <c r="J483" s="99"/>
    </row>
    <row r="484" ht="15.75" customHeight="1">
      <c r="C484" s="148"/>
      <c r="D484" s="148"/>
      <c r="E484" s="207"/>
      <c r="F484" s="195"/>
      <c r="G484" s="195"/>
      <c r="H484" s="195"/>
      <c r="J484" s="99"/>
    </row>
    <row r="485" ht="15.75" customHeight="1">
      <c r="C485" s="148"/>
      <c r="D485" s="148"/>
      <c r="E485" s="207"/>
      <c r="F485" s="195"/>
      <c r="G485" s="195"/>
      <c r="H485" s="195"/>
      <c r="J485" s="99"/>
    </row>
    <row r="486" ht="15.75" customHeight="1">
      <c r="C486" s="148"/>
      <c r="D486" s="148"/>
      <c r="E486" s="207"/>
      <c r="F486" s="195"/>
      <c r="G486" s="195"/>
      <c r="H486" s="195"/>
      <c r="J486" s="99"/>
    </row>
    <row r="487" ht="15.75" customHeight="1">
      <c r="C487" s="148"/>
      <c r="D487" s="148"/>
      <c r="E487" s="207"/>
      <c r="F487" s="195"/>
      <c r="G487" s="195"/>
      <c r="H487" s="195"/>
      <c r="J487" s="99"/>
    </row>
    <row r="488" ht="15.75" customHeight="1">
      <c r="C488" s="148"/>
      <c r="D488" s="148"/>
      <c r="E488" s="207"/>
      <c r="F488" s="195"/>
      <c r="G488" s="195"/>
      <c r="H488" s="195"/>
      <c r="J488" s="99"/>
    </row>
    <row r="489" ht="15.75" customHeight="1">
      <c r="C489" s="148"/>
      <c r="D489" s="148"/>
      <c r="E489" s="207"/>
      <c r="F489" s="195"/>
      <c r="G489" s="195"/>
      <c r="H489" s="195"/>
      <c r="J489" s="99"/>
    </row>
    <row r="490" ht="15.75" customHeight="1">
      <c r="C490" s="148"/>
      <c r="D490" s="148"/>
      <c r="E490" s="207"/>
      <c r="F490" s="195"/>
      <c r="G490" s="195"/>
      <c r="H490" s="195"/>
      <c r="J490" s="99"/>
    </row>
    <row r="491" ht="15.75" customHeight="1">
      <c r="C491" s="148"/>
      <c r="D491" s="148"/>
      <c r="E491" s="207"/>
      <c r="F491" s="195"/>
      <c r="G491" s="195"/>
      <c r="H491" s="195"/>
      <c r="J491" s="99"/>
    </row>
    <row r="492" ht="15.75" customHeight="1">
      <c r="C492" s="148"/>
      <c r="D492" s="148"/>
      <c r="E492" s="207"/>
      <c r="F492" s="195"/>
      <c r="G492" s="195"/>
      <c r="H492" s="195"/>
      <c r="J492" s="99"/>
    </row>
    <row r="493" ht="15.75" customHeight="1">
      <c r="C493" s="148"/>
      <c r="D493" s="148"/>
      <c r="E493" s="207"/>
      <c r="F493" s="195"/>
      <c r="G493" s="195"/>
      <c r="H493" s="195"/>
      <c r="J493" s="99"/>
    </row>
    <row r="494" ht="15.75" customHeight="1">
      <c r="C494" s="148"/>
      <c r="D494" s="148"/>
      <c r="E494" s="207"/>
      <c r="F494" s="195"/>
      <c r="G494" s="195"/>
      <c r="H494" s="195"/>
      <c r="J494" s="99"/>
    </row>
    <row r="495" ht="15.75" customHeight="1">
      <c r="C495" s="148"/>
      <c r="D495" s="148"/>
      <c r="E495" s="207"/>
      <c r="F495" s="195"/>
      <c r="G495" s="195"/>
      <c r="H495" s="195"/>
      <c r="J495" s="99"/>
    </row>
    <row r="496" ht="15.75" customHeight="1">
      <c r="C496" s="148"/>
      <c r="D496" s="148"/>
      <c r="E496" s="207"/>
      <c r="F496" s="195"/>
      <c r="G496" s="195"/>
      <c r="H496" s="195"/>
      <c r="J496" s="99"/>
    </row>
    <row r="497" ht="15.75" customHeight="1">
      <c r="C497" s="148"/>
      <c r="D497" s="148"/>
      <c r="E497" s="207"/>
      <c r="F497" s="195"/>
      <c r="G497" s="195"/>
      <c r="H497" s="195"/>
      <c r="J497" s="99"/>
    </row>
    <row r="498" ht="15.75" customHeight="1">
      <c r="C498" s="148"/>
      <c r="D498" s="148"/>
      <c r="E498" s="207"/>
      <c r="F498" s="195"/>
      <c r="G498" s="195"/>
      <c r="H498" s="195"/>
      <c r="J498" s="99"/>
    </row>
    <row r="499" ht="15.75" customHeight="1">
      <c r="C499" s="148"/>
      <c r="D499" s="148"/>
      <c r="E499" s="207"/>
      <c r="F499" s="195"/>
      <c r="G499" s="195"/>
      <c r="H499" s="195"/>
      <c r="J499" s="99"/>
    </row>
    <row r="500" ht="15.75" customHeight="1">
      <c r="C500" s="148"/>
      <c r="D500" s="148"/>
      <c r="E500" s="207"/>
      <c r="F500" s="195"/>
      <c r="G500" s="195"/>
      <c r="H500" s="195"/>
      <c r="J500" s="99"/>
    </row>
    <row r="501" ht="15.75" customHeight="1">
      <c r="C501" s="148"/>
      <c r="D501" s="148"/>
      <c r="E501" s="207"/>
      <c r="F501" s="195"/>
      <c r="G501" s="195"/>
      <c r="H501" s="195"/>
      <c r="J501" s="99"/>
    </row>
    <row r="502" ht="15.75" customHeight="1">
      <c r="C502" s="148"/>
      <c r="D502" s="148"/>
      <c r="E502" s="207"/>
      <c r="F502" s="195"/>
      <c r="G502" s="195"/>
      <c r="H502" s="195"/>
      <c r="J502" s="99"/>
    </row>
    <row r="503" ht="15.75" customHeight="1">
      <c r="C503" s="148"/>
      <c r="D503" s="148"/>
      <c r="E503" s="207"/>
      <c r="F503" s="195"/>
      <c r="G503" s="195"/>
      <c r="H503" s="195"/>
      <c r="J503" s="99"/>
    </row>
    <row r="504" ht="15.75" customHeight="1">
      <c r="C504" s="148"/>
      <c r="D504" s="148"/>
      <c r="E504" s="207"/>
      <c r="F504" s="195"/>
      <c r="G504" s="195"/>
      <c r="H504" s="195"/>
      <c r="J504" s="99"/>
    </row>
    <row r="505" ht="15.75" customHeight="1">
      <c r="C505" s="148"/>
      <c r="D505" s="148"/>
      <c r="E505" s="207"/>
      <c r="F505" s="195"/>
      <c r="G505" s="195"/>
      <c r="H505" s="195"/>
      <c r="J505" s="99"/>
    </row>
    <row r="506" ht="15.75" customHeight="1">
      <c r="C506" s="148"/>
      <c r="D506" s="148"/>
      <c r="E506" s="207"/>
      <c r="F506" s="195"/>
      <c r="G506" s="195"/>
      <c r="H506" s="195"/>
      <c r="J506" s="99"/>
    </row>
    <row r="507" ht="15.75" customHeight="1">
      <c r="C507" s="148"/>
      <c r="D507" s="148"/>
      <c r="E507" s="207"/>
      <c r="F507" s="195"/>
      <c r="G507" s="195"/>
      <c r="H507" s="195"/>
      <c r="J507" s="99"/>
    </row>
    <row r="508" ht="15.75" customHeight="1">
      <c r="C508" s="148"/>
      <c r="D508" s="148"/>
      <c r="E508" s="207"/>
      <c r="F508" s="195"/>
      <c r="G508" s="195"/>
      <c r="H508" s="195"/>
      <c r="J508" s="99"/>
    </row>
    <row r="509" ht="15.75" customHeight="1">
      <c r="C509" s="148"/>
      <c r="D509" s="148"/>
      <c r="E509" s="207"/>
      <c r="F509" s="195"/>
      <c r="G509" s="195"/>
      <c r="H509" s="195"/>
      <c r="J509" s="99"/>
    </row>
    <row r="510" ht="15.75" customHeight="1">
      <c r="C510" s="148"/>
      <c r="D510" s="148"/>
      <c r="E510" s="207"/>
      <c r="F510" s="195"/>
      <c r="G510" s="195"/>
      <c r="H510" s="195"/>
      <c r="J510" s="99"/>
    </row>
    <row r="511" ht="15.75" customHeight="1">
      <c r="C511" s="148"/>
      <c r="D511" s="148"/>
      <c r="E511" s="207"/>
      <c r="F511" s="195"/>
      <c r="G511" s="195"/>
      <c r="H511" s="195"/>
      <c r="J511" s="99"/>
    </row>
    <row r="512" ht="15.75" customHeight="1">
      <c r="C512" s="148"/>
      <c r="D512" s="148"/>
      <c r="E512" s="207"/>
      <c r="F512" s="195"/>
      <c r="G512" s="195"/>
      <c r="H512" s="195"/>
      <c r="J512" s="99"/>
    </row>
    <row r="513" ht="15.75" customHeight="1">
      <c r="C513" s="148"/>
      <c r="D513" s="148"/>
      <c r="E513" s="207"/>
      <c r="F513" s="195"/>
      <c r="G513" s="195"/>
      <c r="H513" s="195"/>
      <c r="J513" s="99"/>
    </row>
    <row r="514" ht="15.75" customHeight="1">
      <c r="C514" s="148"/>
      <c r="D514" s="148"/>
      <c r="E514" s="207"/>
      <c r="F514" s="195"/>
      <c r="G514" s="195"/>
      <c r="H514" s="195"/>
      <c r="J514" s="99"/>
    </row>
    <row r="515" ht="15.75" customHeight="1">
      <c r="C515" s="148"/>
      <c r="D515" s="148"/>
      <c r="E515" s="207"/>
      <c r="F515" s="195"/>
      <c r="G515" s="195"/>
      <c r="H515" s="195"/>
      <c r="J515" s="99"/>
    </row>
    <row r="516" ht="15.75" customHeight="1">
      <c r="C516" s="148"/>
      <c r="D516" s="148"/>
      <c r="E516" s="207"/>
      <c r="F516" s="195"/>
      <c r="G516" s="195"/>
      <c r="H516" s="195"/>
      <c r="J516" s="99"/>
    </row>
    <row r="517" ht="15.75" customHeight="1">
      <c r="C517" s="148"/>
      <c r="D517" s="148"/>
      <c r="E517" s="207"/>
      <c r="F517" s="195"/>
      <c r="G517" s="195"/>
      <c r="H517" s="195"/>
      <c r="J517" s="99"/>
    </row>
    <row r="518" ht="15.75" customHeight="1">
      <c r="C518" s="148"/>
      <c r="D518" s="148"/>
      <c r="E518" s="207"/>
      <c r="F518" s="195"/>
      <c r="G518" s="195"/>
      <c r="H518" s="195"/>
      <c r="J518" s="99"/>
    </row>
    <row r="519" ht="15.75" customHeight="1">
      <c r="C519" s="148"/>
      <c r="D519" s="148"/>
      <c r="E519" s="207"/>
      <c r="F519" s="195"/>
      <c r="G519" s="195"/>
      <c r="H519" s="195"/>
      <c r="J519" s="99"/>
    </row>
    <row r="520" ht="15.75" customHeight="1">
      <c r="C520" s="148"/>
      <c r="D520" s="148"/>
      <c r="E520" s="207"/>
      <c r="F520" s="195"/>
      <c r="G520" s="195"/>
      <c r="H520" s="195"/>
      <c r="J520" s="99"/>
    </row>
    <row r="521" ht="15.75" customHeight="1">
      <c r="C521" s="148"/>
      <c r="D521" s="148"/>
      <c r="E521" s="207"/>
      <c r="F521" s="195"/>
      <c r="G521" s="195"/>
      <c r="H521" s="195"/>
      <c r="J521" s="99"/>
    </row>
    <row r="522" ht="15.75" customHeight="1">
      <c r="C522" s="148"/>
      <c r="D522" s="148"/>
      <c r="E522" s="207"/>
      <c r="F522" s="195"/>
      <c r="G522" s="195"/>
      <c r="H522" s="195"/>
      <c r="J522" s="99"/>
    </row>
    <row r="523" ht="15.75" customHeight="1">
      <c r="C523" s="148"/>
      <c r="D523" s="148"/>
      <c r="E523" s="207"/>
      <c r="F523" s="195"/>
      <c r="G523" s="195"/>
      <c r="H523" s="195"/>
      <c r="J523" s="99"/>
    </row>
    <row r="524" ht="15.75" customHeight="1">
      <c r="C524" s="148"/>
      <c r="D524" s="148"/>
      <c r="E524" s="207"/>
      <c r="F524" s="195"/>
      <c r="G524" s="195"/>
      <c r="H524" s="195"/>
      <c r="J524" s="99"/>
    </row>
    <row r="525" ht="15.75" customHeight="1">
      <c r="C525" s="148"/>
      <c r="D525" s="148"/>
      <c r="E525" s="207"/>
      <c r="F525" s="195"/>
      <c r="G525" s="195"/>
      <c r="H525" s="195"/>
      <c r="J525" s="99"/>
    </row>
    <row r="526" ht="15.75" customHeight="1">
      <c r="C526" s="148"/>
      <c r="D526" s="148"/>
      <c r="E526" s="207"/>
      <c r="F526" s="195"/>
      <c r="G526" s="195"/>
      <c r="H526" s="195"/>
      <c r="J526" s="99"/>
    </row>
    <row r="527" ht="15.75" customHeight="1">
      <c r="C527" s="148"/>
      <c r="D527" s="148"/>
      <c r="E527" s="207"/>
      <c r="F527" s="195"/>
      <c r="G527" s="195"/>
      <c r="H527" s="195"/>
      <c r="J527" s="99"/>
    </row>
    <row r="528" ht="15.75" customHeight="1">
      <c r="C528" s="148"/>
      <c r="D528" s="148"/>
      <c r="E528" s="207"/>
      <c r="F528" s="195"/>
      <c r="G528" s="195"/>
      <c r="H528" s="195"/>
      <c r="J528" s="99"/>
    </row>
    <row r="529" ht="15.75" customHeight="1">
      <c r="C529" s="148"/>
      <c r="D529" s="148"/>
      <c r="E529" s="207"/>
      <c r="F529" s="195"/>
      <c r="G529" s="195"/>
      <c r="H529" s="195"/>
      <c r="J529" s="99"/>
    </row>
    <row r="530" ht="15.75" customHeight="1">
      <c r="C530" s="148"/>
      <c r="D530" s="148"/>
      <c r="E530" s="207"/>
      <c r="F530" s="195"/>
      <c r="G530" s="195"/>
      <c r="H530" s="195"/>
      <c r="J530" s="99"/>
    </row>
    <row r="531" ht="15.75" customHeight="1">
      <c r="C531" s="148"/>
      <c r="D531" s="148"/>
      <c r="E531" s="207"/>
      <c r="F531" s="195"/>
      <c r="G531" s="195"/>
      <c r="H531" s="195"/>
      <c r="J531" s="99"/>
    </row>
    <row r="532" ht="15.75" customHeight="1">
      <c r="C532" s="148"/>
      <c r="D532" s="148"/>
      <c r="E532" s="207"/>
      <c r="F532" s="195"/>
      <c r="G532" s="195"/>
      <c r="H532" s="195"/>
      <c r="J532" s="99"/>
    </row>
    <row r="533" ht="15.75" customHeight="1">
      <c r="C533" s="148"/>
      <c r="D533" s="148"/>
      <c r="E533" s="207"/>
      <c r="F533" s="195"/>
      <c r="G533" s="195"/>
      <c r="H533" s="195"/>
      <c r="J533" s="99"/>
    </row>
    <row r="534" ht="15.75" customHeight="1">
      <c r="C534" s="148"/>
      <c r="D534" s="148"/>
      <c r="E534" s="207"/>
      <c r="F534" s="195"/>
      <c r="G534" s="195"/>
      <c r="H534" s="195"/>
      <c r="J534" s="99"/>
    </row>
    <row r="535" ht="15.75" customHeight="1">
      <c r="C535" s="148"/>
      <c r="D535" s="148"/>
      <c r="E535" s="207"/>
      <c r="F535" s="195"/>
      <c r="G535" s="195"/>
      <c r="H535" s="195"/>
      <c r="J535" s="99"/>
    </row>
    <row r="536" ht="15.75" customHeight="1">
      <c r="C536" s="148"/>
      <c r="D536" s="148"/>
      <c r="E536" s="207"/>
      <c r="F536" s="195"/>
      <c r="G536" s="195"/>
      <c r="H536" s="195"/>
      <c r="J536" s="99"/>
    </row>
    <row r="537" ht="15.75" customHeight="1">
      <c r="C537" s="148"/>
      <c r="D537" s="148"/>
      <c r="E537" s="207"/>
      <c r="F537" s="195"/>
      <c r="G537" s="195"/>
      <c r="H537" s="195"/>
      <c r="J537" s="99"/>
    </row>
    <row r="538" ht="15.75" customHeight="1">
      <c r="C538" s="148"/>
      <c r="D538" s="148"/>
      <c r="E538" s="207"/>
      <c r="F538" s="195"/>
      <c r="G538" s="195"/>
      <c r="H538" s="195"/>
      <c r="J538" s="99"/>
    </row>
    <row r="539" ht="15.75" customHeight="1">
      <c r="C539" s="148"/>
      <c r="D539" s="148"/>
      <c r="E539" s="207"/>
      <c r="F539" s="195"/>
      <c r="G539" s="195"/>
      <c r="H539" s="195"/>
      <c r="J539" s="99"/>
    </row>
    <row r="540" ht="15.75" customHeight="1">
      <c r="C540" s="148"/>
      <c r="D540" s="148"/>
      <c r="E540" s="207"/>
      <c r="F540" s="195"/>
      <c r="G540" s="195"/>
      <c r="H540" s="195"/>
      <c r="J540" s="99"/>
    </row>
    <row r="541" ht="15.75" customHeight="1">
      <c r="C541" s="148"/>
      <c r="D541" s="148"/>
      <c r="E541" s="207"/>
      <c r="F541" s="195"/>
      <c r="G541" s="195"/>
      <c r="H541" s="195"/>
      <c r="J541" s="99"/>
    </row>
    <row r="542" ht="15.75" customHeight="1">
      <c r="C542" s="148"/>
      <c r="D542" s="148"/>
      <c r="E542" s="207"/>
      <c r="F542" s="195"/>
      <c r="G542" s="195"/>
      <c r="H542" s="195"/>
      <c r="J542" s="99"/>
    </row>
    <row r="543" ht="15.75" customHeight="1">
      <c r="C543" s="148"/>
      <c r="D543" s="148"/>
      <c r="E543" s="207"/>
      <c r="F543" s="195"/>
      <c r="G543" s="195"/>
      <c r="H543" s="195"/>
      <c r="J543" s="99"/>
    </row>
    <row r="544" ht="15.75" customHeight="1">
      <c r="C544" s="148"/>
      <c r="D544" s="148"/>
      <c r="E544" s="207"/>
      <c r="F544" s="195"/>
      <c r="G544" s="195"/>
      <c r="H544" s="195"/>
      <c r="J544" s="99"/>
    </row>
    <row r="545" ht="15.75" customHeight="1">
      <c r="C545" s="148"/>
      <c r="D545" s="148"/>
      <c r="E545" s="207"/>
      <c r="F545" s="195"/>
      <c r="G545" s="195"/>
      <c r="H545" s="195"/>
      <c r="J545" s="99"/>
    </row>
    <row r="546" ht="15.75" customHeight="1">
      <c r="C546" s="148"/>
      <c r="D546" s="148"/>
      <c r="E546" s="207"/>
      <c r="F546" s="195"/>
      <c r="G546" s="195"/>
      <c r="H546" s="195"/>
      <c r="J546" s="99"/>
    </row>
    <row r="547" ht="15.75" customHeight="1">
      <c r="C547" s="148"/>
      <c r="D547" s="148"/>
      <c r="E547" s="207"/>
      <c r="F547" s="195"/>
      <c r="G547" s="195"/>
      <c r="H547" s="195"/>
      <c r="J547" s="99"/>
    </row>
    <row r="548" ht="15.75" customHeight="1">
      <c r="C548" s="148"/>
      <c r="D548" s="148"/>
      <c r="E548" s="207"/>
      <c r="F548" s="195"/>
      <c r="G548" s="195"/>
      <c r="H548" s="195"/>
      <c r="J548" s="99"/>
    </row>
    <row r="549" ht="15.75" customHeight="1">
      <c r="C549" s="148"/>
      <c r="D549" s="148"/>
      <c r="E549" s="207"/>
      <c r="F549" s="195"/>
      <c r="G549" s="195"/>
      <c r="H549" s="195"/>
      <c r="J549" s="99"/>
    </row>
    <row r="550" ht="15.75" customHeight="1">
      <c r="C550" s="148"/>
      <c r="D550" s="148"/>
      <c r="E550" s="207"/>
      <c r="F550" s="195"/>
      <c r="G550" s="195"/>
      <c r="H550" s="195"/>
      <c r="J550" s="99"/>
    </row>
    <row r="551" ht="15.75" customHeight="1">
      <c r="C551" s="148"/>
      <c r="D551" s="148"/>
      <c r="E551" s="207"/>
      <c r="F551" s="195"/>
      <c r="G551" s="195"/>
      <c r="H551" s="195"/>
      <c r="J551" s="99"/>
    </row>
    <row r="552" ht="15.75" customHeight="1">
      <c r="C552" s="148"/>
      <c r="D552" s="148"/>
      <c r="E552" s="207"/>
      <c r="F552" s="195"/>
      <c r="G552" s="195"/>
      <c r="H552" s="195"/>
      <c r="J552" s="99"/>
    </row>
    <row r="553" ht="15.75" customHeight="1">
      <c r="C553" s="148"/>
      <c r="D553" s="148"/>
      <c r="E553" s="207"/>
      <c r="F553" s="195"/>
      <c r="G553" s="195"/>
      <c r="H553" s="195"/>
      <c r="J553" s="99"/>
    </row>
    <row r="554" ht="15.75" customHeight="1">
      <c r="C554" s="148"/>
      <c r="D554" s="148"/>
      <c r="E554" s="207"/>
      <c r="F554" s="195"/>
      <c r="G554" s="195"/>
      <c r="H554" s="195"/>
      <c r="J554" s="99"/>
    </row>
    <row r="555" ht="15.75" customHeight="1">
      <c r="C555" s="148"/>
      <c r="D555" s="148"/>
      <c r="E555" s="207"/>
      <c r="F555" s="195"/>
      <c r="G555" s="195"/>
      <c r="H555" s="195"/>
      <c r="J555" s="99"/>
    </row>
    <row r="556" ht="15.75" customHeight="1">
      <c r="C556" s="148"/>
      <c r="D556" s="148"/>
      <c r="E556" s="207"/>
      <c r="F556" s="195"/>
      <c r="G556" s="195"/>
      <c r="H556" s="195"/>
      <c r="J556" s="99"/>
    </row>
    <row r="557" ht="15.75" customHeight="1">
      <c r="C557" s="148"/>
      <c r="D557" s="148"/>
      <c r="E557" s="207"/>
      <c r="F557" s="195"/>
      <c r="G557" s="195"/>
      <c r="H557" s="195"/>
      <c r="J557" s="99"/>
    </row>
    <row r="558" ht="15.75" customHeight="1">
      <c r="C558" s="148"/>
      <c r="D558" s="148"/>
      <c r="E558" s="207"/>
      <c r="F558" s="195"/>
      <c r="G558" s="195"/>
      <c r="H558" s="195"/>
      <c r="J558" s="99"/>
    </row>
    <row r="559" ht="15.75" customHeight="1">
      <c r="C559" s="148"/>
      <c r="D559" s="148"/>
      <c r="E559" s="207"/>
      <c r="F559" s="195"/>
      <c r="G559" s="195"/>
      <c r="H559" s="195"/>
      <c r="J559" s="99"/>
    </row>
    <row r="560" ht="15.75" customHeight="1">
      <c r="C560" s="148"/>
      <c r="D560" s="148"/>
      <c r="E560" s="207"/>
      <c r="F560" s="195"/>
      <c r="G560" s="195"/>
      <c r="H560" s="195"/>
      <c r="J560" s="99"/>
    </row>
    <row r="561" ht="15.75" customHeight="1">
      <c r="C561" s="148"/>
      <c r="D561" s="148"/>
      <c r="E561" s="207"/>
      <c r="F561" s="195"/>
      <c r="G561" s="195"/>
      <c r="H561" s="195"/>
      <c r="J561" s="99"/>
    </row>
    <row r="562" ht="15.75" customHeight="1">
      <c r="C562" s="148"/>
      <c r="D562" s="148"/>
      <c r="E562" s="207"/>
      <c r="F562" s="195"/>
      <c r="G562" s="195"/>
      <c r="H562" s="195"/>
      <c r="J562" s="99"/>
    </row>
    <row r="563" ht="15.75" customHeight="1">
      <c r="C563" s="148"/>
      <c r="D563" s="148"/>
      <c r="E563" s="207"/>
      <c r="F563" s="195"/>
      <c r="G563" s="195"/>
      <c r="H563" s="195"/>
      <c r="J563" s="99"/>
    </row>
    <row r="564" ht="15.75" customHeight="1">
      <c r="C564" s="148"/>
      <c r="D564" s="148"/>
      <c r="E564" s="207"/>
      <c r="F564" s="195"/>
      <c r="G564" s="195"/>
      <c r="H564" s="195"/>
      <c r="J564" s="99"/>
    </row>
    <row r="565" ht="15.75" customHeight="1">
      <c r="C565" s="148"/>
      <c r="D565" s="148"/>
      <c r="E565" s="207"/>
      <c r="F565" s="195"/>
      <c r="G565" s="195"/>
      <c r="H565" s="195"/>
      <c r="J565" s="99"/>
    </row>
    <row r="566" ht="15.75" customHeight="1">
      <c r="C566" s="148"/>
      <c r="D566" s="148"/>
      <c r="E566" s="207"/>
      <c r="F566" s="195"/>
      <c r="G566" s="195"/>
      <c r="H566" s="195"/>
      <c r="J566" s="99"/>
    </row>
    <row r="567" ht="15.75" customHeight="1">
      <c r="C567" s="148"/>
      <c r="D567" s="148"/>
      <c r="E567" s="207"/>
      <c r="F567" s="195"/>
      <c r="G567" s="195"/>
      <c r="H567" s="195"/>
      <c r="J567" s="99"/>
    </row>
    <row r="568" ht="15.75" customHeight="1">
      <c r="C568" s="148"/>
      <c r="D568" s="148"/>
      <c r="E568" s="207"/>
      <c r="F568" s="195"/>
      <c r="G568" s="195"/>
      <c r="H568" s="195"/>
      <c r="J568" s="99"/>
    </row>
    <row r="569" ht="15.75" customHeight="1">
      <c r="C569" s="148"/>
      <c r="D569" s="148"/>
      <c r="E569" s="207"/>
      <c r="F569" s="195"/>
      <c r="G569" s="195"/>
      <c r="H569" s="195"/>
      <c r="J569" s="99"/>
    </row>
    <row r="570" ht="15.75" customHeight="1">
      <c r="C570" s="148"/>
      <c r="D570" s="148"/>
      <c r="E570" s="207"/>
      <c r="F570" s="195"/>
      <c r="G570" s="195"/>
      <c r="H570" s="195"/>
      <c r="J570" s="99"/>
    </row>
    <row r="571" ht="15.75" customHeight="1">
      <c r="C571" s="148"/>
      <c r="D571" s="148"/>
      <c r="E571" s="207"/>
      <c r="F571" s="195"/>
      <c r="G571" s="195"/>
      <c r="H571" s="195"/>
      <c r="J571" s="99"/>
    </row>
    <row r="572" ht="15.75" customHeight="1">
      <c r="C572" s="148"/>
      <c r="D572" s="148"/>
      <c r="E572" s="207"/>
      <c r="F572" s="195"/>
      <c r="G572" s="195"/>
      <c r="H572" s="195"/>
      <c r="J572" s="99"/>
    </row>
    <row r="573" ht="15.75" customHeight="1">
      <c r="C573" s="148"/>
      <c r="D573" s="148"/>
      <c r="E573" s="207"/>
      <c r="F573" s="195"/>
      <c r="G573" s="195"/>
      <c r="H573" s="195"/>
      <c r="J573" s="99"/>
    </row>
    <row r="574" ht="15.75" customHeight="1">
      <c r="C574" s="148"/>
      <c r="D574" s="148"/>
      <c r="E574" s="207"/>
      <c r="F574" s="195"/>
      <c r="G574" s="195"/>
      <c r="H574" s="195"/>
      <c r="J574" s="99"/>
    </row>
    <row r="575" ht="15.75" customHeight="1">
      <c r="C575" s="148"/>
      <c r="D575" s="148"/>
      <c r="E575" s="207"/>
      <c r="F575" s="195"/>
      <c r="G575" s="195"/>
      <c r="H575" s="195"/>
      <c r="J575" s="99"/>
    </row>
    <row r="576" ht="15.75" customHeight="1">
      <c r="C576" s="148"/>
      <c r="D576" s="148"/>
      <c r="E576" s="207"/>
      <c r="F576" s="195"/>
      <c r="G576" s="195"/>
      <c r="H576" s="195"/>
      <c r="J576" s="99"/>
    </row>
    <row r="577" ht="15.75" customHeight="1">
      <c r="C577" s="148"/>
      <c r="D577" s="148"/>
      <c r="E577" s="207"/>
      <c r="F577" s="195"/>
      <c r="G577" s="195"/>
      <c r="H577" s="195"/>
      <c r="J577" s="99"/>
    </row>
    <row r="578" ht="15.75" customHeight="1">
      <c r="C578" s="148"/>
      <c r="D578" s="148"/>
      <c r="E578" s="207"/>
      <c r="F578" s="195"/>
      <c r="G578" s="195"/>
      <c r="H578" s="195"/>
      <c r="J578" s="99"/>
    </row>
    <row r="579" ht="15.75" customHeight="1">
      <c r="C579" s="148"/>
      <c r="D579" s="148"/>
      <c r="E579" s="207"/>
      <c r="F579" s="195"/>
      <c r="G579" s="195"/>
      <c r="H579" s="195"/>
      <c r="J579" s="99"/>
    </row>
    <row r="580" ht="15.75" customHeight="1">
      <c r="C580" s="148"/>
      <c r="D580" s="148"/>
      <c r="E580" s="207"/>
      <c r="F580" s="195"/>
      <c r="G580" s="195"/>
      <c r="H580" s="195"/>
      <c r="J580" s="99"/>
    </row>
    <row r="581" ht="15.75" customHeight="1">
      <c r="C581" s="148"/>
      <c r="D581" s="148"/>
      <c r="E581" s="207"/>
      <c r="F581" s="195"/>
      <c r="G581" s="195"/>
      <c r="H581" s="195"/>
      <c r="J581" s="99"/>
    </row>
    <row r="582" ht="15.75" customHeight="1">
      <c r="C582" s="148"/>
      <c r="D582" s="148"/>
      <c r="E582" s="207"/>
      <c r="F582" s="195"/>
      <c r="G582" s="195"/>
      <c r="H582" s="195"/>
      <c r="J582" s="99"/>
    </row>
    <row r="583" ht="15.75" customHeight="1">
      <c r="C583" s="148"/>
      <c r="D583" s="148"/>
      <c r="E583" s="207"/>
      <c r="F583" s="195"/>
      <c r="G583" s="195"/>
      <c r="H583" s="195"/>
      <c r="J583" s="99"/>
    </row>
    <row r="584" ht="15.75" customHeight="1">
      <c r="C584" s="148"/>
      <c r="D584" s="148"/>
      <c r="E584" s="207"/>
      <c r="F584" s="195"/>
      <c r="G584" s="195"/>
      <c r="H584" s="195"/>
      <c r="J584" s="99"/>
    </row>
    <row r="585" ht="15.75" customHeight="1">
      <c r="C585" s="148"/>
      <c r="D585" s="148"/>
      <c r="E585" s="207"/>
      <c r="F585" s="195"/>
      <c r="G585" s="195"/>
      <c r="H585" s="195"/>
      <c r="J585" s="99"/>
    </row>
    <row r="586" ht="15.75" customHeight="1">
      <c r="C586" s="148"/>
      <c r="D586" s="148"/>
      <c r="E586" s="207"/>
      <c r="F586" s="195"/>
      <c r="G586" s="195"/>
      <c r="H586" s="195"/>
      <c r="J586" s="99"/>
    </row>
    <row r="587" ht="15.75" customHeight="1">
      <c r="C587" s="148"/>
      <c r="D587" s="148"/>
      <c r="E587" s="207"/>
      <c r="F587" s="195"/>
      <c r="G587" s="195"/>
      <c r="H587" s="195"/>
      <c r="J587" s="99"/>
    </row>
    <row r="588" ht="15.75" customHeight="1">
      <c r="C588" s="148"/>
      <c r="D588" s="148"/>
      <c r="E588" s="207"/>
      <c r="F588" s="195"/>
      <c r="G588" s="195"/>
      <c r="H588" s="195"/>
      <c r="J588" s="99"/>
    </row>
    <row r="589" ht="15.75" customHeight="1">
      <c r="C589" s="148"/>
      <c r="D589" s="148"/>
      <c r="E589" s="207"/>
      <c r="F589" s="195"/>
      <c r="G589" s="195"/>
      <c r="H589" s="195"/>
      <c r="J589" s="99"/>
    </row>
    <row r="590" ht="15.75" customHeight="1">
      <c r="C590" s="148"/>
      <c r="D590" s="148"/>
      <c r="E590" s="207"/>
      <c r="F590" s="195"/>
      <c r="G590" s="195"/>
      <c r="H590" s="195"/>
      <c r="J590" s="99"/>
    </row>
    <row r="591" ht="15.75" customHeight="1">
      <c r="C591" s="148"/>
      <c r="D591" s="148"/>
      <c r="E591" s="207"/>
      <c r="F591" s="195"/>
      <c r="G591" s="195"/>
      <c r="H591" s="195"/>
      <c r="J591" s="99"/>
    </row>
    <row r="592" ht="15.75" customHeight="1">
      <c r="C592" s="148"/>
      <c r="D592" s="148"/>
      <c r="E592" s="207"/>
      <c r="F592" s="195"/>
      <c r="G592" s="195"/>
      <c r="H592" s="195"/>
      <c r="J592" s="99"/>
    </row>
    <row r="593" ht="15.75" customHeight="1">
      <c r="C593" s="148"/>
      <c r="D593" s="148"/>
      <c r="E593" s="207"/>
      <c r="F593" s="195"/>
      <c r="G593" s="195"/>
      <c r="H593" s="195"/>
      <c r="J593" s="99"/>
    </row>
    <row r="594" ht="15.75" customHeight="1">
      <c r="C594" s="148"/>
      <c r="D594" s="148"/>
      <c r="E594" s="207"/>
      <c r="F594" s="195"/>
      <c r="G594" s="195"/>
      <c r="H594" s="195"/>
      <c r="J594" s="99"/>
    </row>
    <row r="595" ht="15.75" customHeight="1">
      <c r="C595" s="148"/>
      <c r="D595" s="148"/>
      <c r="E595" s="207"/>
      <c r="F595" s="195"/>
      <c r="G595" s="195"/>
      <c r="H595" s="195"/>
      <c r="J595" s="99"/>
    </row>
    <row r="596" ht="15.75" customHeight="1">
      <c r="C596" s="148"/>
      <c r="D596" s="148"/>
      <c r="E596" s="207"/>
      <c r="F596" s="195"/>
      <c r="G596" s="195"/>
      <c r="H596" s="195"/>
      <c r="J596" s="99"/>
    </row>
    <row r="597" ht="15.75" customHeight="1">
      <c r="C597" s="148"/>
      <c r="D597" s="148"/>
      <c r="E597" s="207"/>
      <c r="F597" s="195"/>
      <c r="G597" s="195"/>
      <c r="H597" s="195"/>
      <c r="J597" s="99"/>
    </row>
    <row r="598" ht="15.75" customHeight="1">
      <c r="C598" s="148"/>
      <c r="D598" s="148"/>
      <c r="E598" s="207"/>
      <c r="F598" s="195"/>
      <c r="G598" s="195"/>
      <c r="H598" s="195"/>
      <c r="J598" s="99"/>
    </row>
    <row r="599" ht="15.75" customHeight="1">
      <c r="C599" s="148"/>
      <c r="D599" s="148"/>
      <c r="E599" s="207"/>
      <c r="F599" s="195"/>
      <c r="G599" s="195"/>
      <c r="H599" s="195"/>
      <c r="J599" s="99"/>
    </row>
    <row r="600" ht="15.75" customHeight="1">
      <c r="C600" s="148"/>
      <c r="D600" s="148"/>
      <c r="E600" s="207"/>
      <c r="F600" s="195"/>
      <c r="G600" s="195"/>
      <c r="H600" s="195"/>
      <c r="J600" s="99"/>
    </row>
    <row r="601" ht="15.75" customHeight="1">
      <c r="C601" s="148"/>
      <c r="D601" s="148"/>
      <c r="E601" s="207"/>
      <c r="F601" s="195"/>
      <c r="G601" s="195"/>
      <c r="H601" s="195"/>
      <c r="J601" s="99"/>
    </row>
    <row r="602" ht="15.75" customHeight="1">
      <c r="C602" s="148"/>
      <c r="D602" s="148"/>
      <c r="E602" s="207"/>
      <c r="F602" s="195"/>
      <c r="G602" s="195"/>
      <c r="H602" s="195"/>
      <c r="J602" s="99"/>
    </row>
    <row r="603" ht="15.75" customHeight="1">
      <c r="C603" s="148"/>
      <c r="D603" s="148"/>
      <c r="E603" s="207"/>
      <c r="F603" s="195"/>
      <c r="G603" s="195"/>
      <c r="H603" s="195"/>
      <c r="J603" s="99"/>
    </row>
    <row r="604" ht="15.75" customHeight="1">
      <c r="C604" s="148"/>
      <c r="D604" s="148"/>
      <c r="E604" s="207"/>
      <c r="F604" s="195"/>
      <c r="G604" s="195"/>
      <c r="H604" s="195"/>
      <c r="J604" s="99"/>
    </row>
    <row r="605" ht="15.75" customHeight="1">
      <c r="C605" s="148"/>
      <c r="D605" s="148"/>
      <c r="E605" s="207"/>
      <c r="F605" s="195"/>
      <c r="G605" s="195"/>
      <c r="H605" s="195"/>
      <c r="J605" s="99"/>
    </row>
    <row r="606" ht="15.75" customHeight="1">
      <c r="C606" s="148"/>
      <c r="D606" s="148"/>
      <c r="E606" s="207"/>
      <c r="F606" s="195"/>
      <c r="G606" s="195"/>
      <c r="H606" s="195"/>
      <c r="J606" s="99"/>
    </row>
    <row r="607" ht="15.75" customHeight="1">
      <c r="C607" s="148"/>
      <c r="D607" s="148"/>
      <c r="E607" s="207"/>
      <c r="F607" s="195"/>
      <c r="G607" s="195"/>
      <c r="H607" s="195"/>
      <c r="J607" s="99"/>
    </row>
    <row r="608" ht="15.75" customHeight="1">
      <c r="C608" s="148"/>
      <c r="D608" s="148"/>
      <c r="E608" s="207"/>
      <c r="F608" s="195"/>
      <c r="G608" s="195"/>
      <c r="H608" s="195"/>
      <c r="J608" s="99"/>
    </row>
    <row r="609" ht="15.75" customHeight="1">
      <c r="C609" s="148"/>
      <c r="D609" s="148"/>
      <c r="E609" s="207"/>
      <c r="F609" s="195"/>
      <c r="G609" s="195"/>
      <c r="H609" s="195"/>
      <c r="J609" s="99"/>
    </row>
    <row r="610" ht="15.75" customHeight="1">
      <c r="C610" s="148"/>
      <c r="D610" s="148"/>
      <c r="E610" s="207"/>
      <c r="F610" s="195"/>
      <c r="G610" s="195"/>
      <c r="H610" s="195"/>
      <c r="J610" s="99"/>
    </row>
    <row r="611" ht="15.75" customHeight="1">
      <c r="C611" s="148"/>
      <c r="D611" s="148"/>
      <c r="E611" s="207"/>
      <c r="F611" s="195"/>
      <c r="G611" s="195"/>
      <c r="H611" s="195"/>
      <c r="J611" s="99"/>
    </row>
    <row r="612" ht="15.75" customHeight="1">
      <c r="C612" s="148"/>
      <c r="D612" s="148"/>
      <c r="E612" s="207"/>
      <c r="F612" s="195"/>
      <c r="G612" s="195"/>
      <c r="H612" s="195"/>
      <c r="J612" s="99"/>
    </row>
    <row r="613" ht="15.75" customHeight="1">
      <c r="C613" s="148"/>
      <c r="D613" s="148"/>
      <c r="E613" s="207"/>
      <c r="F613" s="195"/>
      <c r="G613" s="195"/>
      <c r="H613" s="195"/>
      <c r="J613" s="99"/>
    </row>
    <row r="614" ht="15.75" customHeight="1">
      <c r="C614" s="148"/>
      <c r="D614" s="148"/>
      <c r="E614" s="207"/>
      <c r="F614" s="195"/>
      <c r="G614" s="195"/>
      <c r="H614" s="195"/>
      <c r="J614" s="99"/>
    </row>
    <row r="615" ht="15.75" customHeight="1">
      <c r="C615" s="148"/>
      <c r="D615" s="148"/>
      <c r="E615" s="207"/>
      <c r="F615" s="195"/>
      <c r="G615" s="195"/>
      <c r="H615" s="195"/>
      <c r="J615" s="99"/>
    </row>
    <row r="616" ht="15.75" customHeight="1">
      <c r="C616" s="148"/>
      <c r="D616" s="148"/>
      <c r="E616" s="207"/>
      <c r="F616" s="195"/>
      <c r="G616" s="195"/>
      <c r="H616" s="195"/>
      <c r="J616" s="99"/>
    </row>
    <row r="617" ht="15.75" customHeight="1">
      <c r="C617" s="148"/>
      <c r="D617" s="148"/>
      <c r="E617" s="207"/>
      <c r="F617" s="195"/>
      <c r="G617" s="195"/>
      <c r="H617" s="195"/>
      <c r="J617" s="99"/>
    </row>
    <row r="618" ht="15.75" customHeight="1">
      <c r="C618" s="148"/>
      <c r="D618" s="148"/>
      <c r="E618" s="207"/>
      <c r="F618" s="195"/>
      <c r="G618" s="195"/>
      <c r="H618" s="195"/>
      <c r="J618" s="99"/>
    </row>
    <row r="619" ht="15.75" customHeight="1">
      <c r="C619" s="148"/>
      <c r="D619" s="148"/>
      <c r="E619" s="207"/>
      <c r="F619" s="195"/>
      <c r="G619" s="195"/>
      <c r="H619" s="195"/>
      <c r="J619" s="99"/>
    </row>
    <row r="620" ht="15.75" customHeight="1">
      <c r="C620" s="148"/>
      <c r="D620" s="148"/>
      <c r="E620" s="207"/>
      <c r="F620" s="195"/>
      <c r="G620" s="195"/>
      <c r="H620" s="195"/>
      <c r="J620" s="99"/>
    </row>
    <row r="621" ht="15.75" customHeight="1">
      <c r="C621" s="148"/>
      <c r="D621" s="148"/>
      <c r="E621" s="207"/>
      <c r="F621" s="195"/>
      <c r="G621" s="195"/>
      <c r="H621" s="195"/>
      <c r="J621" s="99"/>
    </row>
    <row r="622" ht="15.75" customHeight="1">
      <c r="C622" s="148"/>
      <c r="D622" s="148"/>
      <c r="E622" s="207"/>
      <c r="F622" s="195"/>
      <c r="G622" s="195"/>
      <c r="H622" s="195"/>
      <c r="J622" s="99"/>
    </row>
    <row r="623" ht="15.75" customHeight="1">
      <c r="C623" s="148"/>
      <c r="D623" s="148"/>
      <c r="E623" s="207"/>
      <c r="F623" s="195"/>
      <c r="G623" s="195"/>
      <c r="H623" s="195"/>
      <c r="J623" s="99"/>
    </row>
    <row r="624" ht="15.75" customHeight="1">
      <c r="C624" s="148"/>
      <c r="D624" s="148"/>
      <c r="E624" s="207"/>
      <c r="F624" s="195"/>
      <c r="G624" s="195"/>
      <c r="H624" s="195"/>
      <c r="J624" s="99"/>
    </row>
    <row r="625" ht="15.75" customHeight="1">
      <c r="C625" s="148"/>
      <c r="D625" s="148"/>
      <c r="E625" s="207"/>
      <c r="F625" s="195"/>
      <c r="G625" s="195"/>
      <c r="H625" s="195"/>
      <c r="J625" s="99"/>
    </row>
    <row r="626" ht="15.75" customHeight="1">
      <c r="C626" s="148"/>
      <c r="D626" s="148"/>
      <c r="E626" s="207"/>
      <c r="F626" s="195"/>
      <c r="G626" s="195"/>
      <c r="H626" s="195"/>
      <c r="J626" s="99"/>
    </row>
    <row r="627" ht="15.75" customHeight="1">
      <c r="C627" s="148"/>
      <c r="D627" s="148"/>
      <c r="E627" s="207"/>
      <c r="F627" s="195"/>
      <c r="G627" s="195"/>
      <c r="H627" s="195"/>
      <c r="J627" s="99"/>
    </row>
    <row r="628" ht="15.75" customHeight="1">
      <c r="C628" s="148"/>
      <c r="D628" s="148"/>
      <c r="E628" s="207"/>
      <c r="F628" s="195"/>
      <c r="G628" s="195"/>
      <c r="H628" s="195"/>
      <c r="J628" s="99"/>
    </row>
    <row r="629" ht="15.75" customHeight="1">
      <c r="C629" s="148"/>
      <c r="D629" s="148"/>
      <c r="E629" s="207"/>
      <c r="F629" s="195"/>
      <c r="G629" s="195"/>
      <c r="H629" s="195"/>
      <c r="J629" s="99"/>
    </row>
    <row r="630" ht="15.75" customHeight="1">
      <c r="C630" s="148"/>
      <c r="D630" s="148"/>
      <c r="E630" s="207"/>
      <c r="F630" s="195"/>
      <c r="G630" s="195"/>
      <c r="H630" s="195"/>
      <c r="J630" s="99"/>
    </row>
    <row r="631" ht="15.75" customHeight="1">
      <c r="C631" s="148"/>
      <c r="D631" s="148"/>
      <c r="E631" s="207"/>
      <c r="F631" s="195"/>
      <c r="G631" s="195"/>
      <c r="H631" s="195"/>
      <c r="J631" s="99"/>
    </row>
    <row r="632" ht="15.75" customHeight="1">
      <c r="C632" s="148"/>
      <c r="D632" s="148"/>
      <c r="E632" s="207"/>
      <c r="F632" s="195"/>
      <c r="G632" s="195"/>
      <c r="H632" s="195"/>
      <c r="J632" s="99"/>
    </row>
    <row r="633" ht="15.75" customHeight="1">
      <c r="C633" s="148"/>
      <c r="D633" s="148"/>
      <c r="E633" s="207"/>
      <c r="F633" s="195"/>
      <c r="G633" s="195"/>
      <c r="H633" s="195"/>
      <c r="J633" s="99"/>
    </row>
    <row r="634" ht="15.75" customHeight="1">
      <c r="C634" s="148"/>
      <c r="D634" s="148"/>
      <c r="E634" s="207"/>
      <c r="F634" s="195"/>
      <c r="G634" s="195"/>
      <c r="H634" s="195"/>
      <c r="J634" s="99"/>
    </row>
    <row r="635" ht="15.75" customHeight="1">
      <c r="C635" s="148"/>
      <c r="D635" s="148"/>
      <c r="E635" s="207"/>
      <c r="F635" s="195"/>
      <c r="G635" s="195"/>
      <c r="H635" s="195"/>
      <c r="J635" s="99"/>
    </row>
    <row r="636" ht="15.75" customHeight="1">
      <c r="C636" s="148"/>
      <c r="D636" s="148"/>
      <c r="E636" s="207"/>
      <c r="F636" s="195"/>
      <c r="G636" s="195"/>
      <c r="H636" s="195"/>
      <c r="J636" s="99"/>
    </row>
    <row r="637" ht="15.75" customHeight="1">
      <c r="C637" s="148"/>
      <c r="D637" s="148"/>
      <c r="E637" s="207"/>
      <c r="F637" s="195"/>
      <c r="G637" s="195"/>
      <c r="H637" s="195"/>
      <c r="J637" s="99"/>
    </row>
    <row r="638" ht="15.75" customHeight="1">
      <c r="C638" s="148"/>
      <c r="D638" s="148"/>
      <c r="E638" s="207"/>
      <c r="F638" s="195"/>
      <c r="G638" s="195"/>
      <c r="H638" s="195"/>
      <c r="J638" s="99"/>
    </row>
    <row r="639" ht="15.75" customHeight="1">
      <c r="C639" s="148"/>
      <c r="D639" s="148"/>
      <c r="E639" s="207"/>
      <c r="F639" s="195"/>
      <c r="G639" s="195"/>
      <c r="H639" s="195"/>
      <c r="J639" s="99"/>
    </row>
    <row r="640" ht="15.75" customHeight="1">
      <c r="C640" s="148"/>
      <c r="D640" s="148"/>
      <c r="E640" s="207"/>
      <c r="F640" s="195"/>
      <c r="G640" s="195"/>
      <c r="H640" s="195"/>
      <c r="J640" s="99"/>
    </row>
    <row r="641" ht="15.75" customHeight="1">
      <c r="C641" s="148"/>
      <c r="D641" s="148"/>
      <c r="E641" s="207"/>
      <c r="F641" s="195"/>
      <c r="G641" s="195"/>
      <c r="H641" s="195"/>
      <c r="J641" s="99"/>
    </row>
    <row r="642" ht="15.75" customHeight="1">
      <c r="C642" s="148"/>
      <c r="D642" s="148"/>
      <c r="E642" s="207"/>
      <c r="F642" s="195"/>
      <c r="G642" s="195"/>
      <c r="H642" s="195"/>
      <c r="J642" s="99"/>
    </row>
    <row r="643" ht="15.75" customHeight="1">
      <c r="C643" s="148"/>
      <c r="D643" s="148"/>
      <c r="E643" s="207"/>
      <c r="F643" s="195"/>
      <c r="G643" s="195"/>
      <c r="H643" s="195"/>
      <c r="J643" s="99"/>
    </row>
    <row r="644" ht="15.75" customHeight="1">
      <c r="C644" s="148"/>
      <c r="D644" s="148"/>
      <c r="E644" s="207"/>
      <c r="F644" s="195"/>
      <c r="G644" s="195"/>
      <c r="H644" s="195"/>
      <c r="J644" s="99"/>
    </row>
    <row r="645" ht="15.75" customHeight="1">
      <c r="C645" s="148"/>
      <c r="D645" s="148"/>
      <c r="E645" s="207"/>
      <c r="F645" s="195"/>
      <c r="G645" s="195"/>
      <c r="H645" s="195"/>
      <c r="J645" s="99"/>
    </row>
    <row r="646" ht="15.75" customHeight="1">
      <c r="C646" s="148"/>
      <c r="D646" s="148"/>
      <c r="E646" s="207"/>
      <c r="F646" s="195"/>
      <c r="G646" s="195"/>
      <c r="H646" s="195"/>
      <c r="J646" s="99"/>
    </row>
    <row r="647" ht="15.75" customHeight="1">
      <c r="C647" s="148"/>
      <c r="D647" s="148"/>
      <c r="E647" s="207"/>
      <c r="F647" s="195"/>
      <c r="G647" s="195"/>
      <c r="H647" s="195"/>
      <c r="J647" s="99"/>
    </row>
    <row r="648" ht="15.75" customHeight="1">
      <c r="C648" s="148"/>
      <c r="D648" s="148"/>
      <c r="E648" s="207"/>
      <c r="F648" s="195"/>
      <c r="G648" s="195"/>
      <c r="H648" s="195"/>
      <c r="J648" s="99"/>
    </row>
    <row r="649" ht="15.75" customHeight="1">
      <c r="C649" s="148"/>
      <c r="D649" s="148"/>
      <c r="E649" s="207"/>
      <c r="F649" s="195"/>
      <c r="G649" s="195"/>
      <c r="H649" s="195"/>
      <c r="J649" s="99"/>
    </row>
    <row r="650" ht="15.75" customHeight="1">
      <c r="C650" s="148"/>
      <c r="D650" s="148"/>
      <c r="E650" s="207"/>
      <c r="F650" s="195"/>
      <c r="G650" s="195"/>
      <c r="H650" s="195"/>
      <c r="J650" s="99"/>
    </row>
    <row r="651" ht="15.75" customHeight="1">
      <c r="C651" s="148"/>
      <c r="D651" s="148"/>
      <c r="E651" s="207"/>
      <c r="F651" s="195"/>
      <c r="G651" s="195"/>
      <c r="H651" s="195"/>
      <c r="J651" s="99"/>
    </row>
    <row r="652" ht="15.75" customHeight="1">
      <c r="C652" s="148"/>
      <c r="D652" s="148"/>
      <c r="E652" s="207"/>
      <c r="F652" s="195"/>
      <c r="G652" s="195"/>
      <c r="H652" s="195"/>
      <c r="J652" s="99"/>
    </row>
    <row r="653" ht="15.75" customHeight="1">
      <c r="C653" s="148"/>
      <c r="D653" s="148"/>
      <c r="E653" s="207"/>
      <c r="F653" s="195"/>
      <c r="G653" s="195"/>
      <c r="H653" s="195"/>
      <c r="J653" s="99"/>
    </row>
    <row r="654" ht="15.75" customHeight="1">
      <c r="C654" s="148"/>
      <c r="D654" s="148"/>
      <c r="E654" s="207"/>
      <c r="F654" s="195"/>
      <c r="G654" s="195"/>
      <c r="H654" s="195"/>
      <c r="J654" s="99"/>
    </row>
    <row r="655" ht="15.75" customHeight="1">
      <c r="C655" s="148"/>
      <c r="D655" s="148"/>
      <c r="E655" s="207"/>
      <c r="F655" s="195"/>
      <c r="G655" s="195"/>
      <c r="H655" s="195"/>
      <c r="J655" s="99"/>
    </row>
    <row r="656" ht="15.75" customHeight="1">
      <c r="C656" s="148"/>
      <c r="D656" s="148"/>
      <c r="E656" s="207"/>
      <c r="F656" s="195"/>
      <c r="G656" s="195"/>
      <c r="H656" s="195"/>
      <c r="J656" s="99"/>
    </row>
    <row r="657" ht="15.75" customHeight="1">
      <c r="C657" s="148"/>
      <c r="D657" s="148"/>
      <c r="E657" s="207"/>
      <c r="F657" s="195"/>
      <c r="G657" s="195"/>
      <c r="H657" s="195"/>
      <c r="J657" s="99"/>
    </row>
    <row r="658" ht="15.75" customHeight="1">
      <c r="C658" s="148"/>
      <c r="D658" s="148"/>
      <c r="E658" s="207"/>
      <c r="F658" s="195"/>
      <c r="G658" s="195"/>
      <c r="H658" s="195"/>
      <c r="J658" s="99"/>
    </row>
    <row r="659" ht="15.75" customHeight="1">
      <c r="C659" s="148"/>
      <c r="D659" s="148"/>
      <c r="E659" s="207"/>
      <c r="F659" s="195"/>
      <c r="G659" s="195"/>
      <c r="H659" s="195"/>
      <c r="J659" s="99"/>
    </row>
    <row r="660" ht="15.75" customHeight="1">
      <c r="C660" s="148"/>
      <c r="D660" s="148"/>
      <c r="E660" s="207"/>
      <c r="F660" s="195"/>
      <c r="G660" s="195"/>
      <c r="H660" s="195"/>
      <c r="J660" s="99"/>
    </row>
    <row r="661" ht="15.75" customHeight="1">
      <c r="C661" s="148"/>
      <c r="D661" s="148"/>
      <c r="E661" s="207"/>
      <c r="F661" s="195"/>
      <c r="G661" s="195"/>
      <c r="H661" s="195"/>
      <c r="J661" s="99"/>
    </row>
    <row r="662" ht="15.75" customHeight="1">
      <c r="C662" s="148"/>
      <c r="D662" s="148"/>
      <c r="E662" s="207"/>
      <c r="F662" s="195"/>
      <c r="G662" s="195"/>
      <c r="H662" s="195"/>
      <c r="J662" s="99"/>
    </row>
    <row r="663" ht="15.75" customHeight="1">
      <c r="C663" s="148"/>
      <c r="D663" s="148"/>
      <c r="E663" s="207"/>
      <c r="F663" s="195"/>
      <c r="G663" s="195"/>
      <c r="H663" s="195"/>
      <c r="J663" s="99"/>
    </row>
    <row r="664" ht="15.75" customHeight="1">
      <c r="C664" s="148"/>
      <c r="D664" s="148"/>
      <c r="E664" s="207"/>
      <c r="F664" s="195"/>
      <c r="G664" s="195"/>
      <c r="H664" s="195"/>
      <c r="J664" s="99"/>
    </row>
    <row r="665" ht="15.75" customHeight="1">
      <c r="C665" s="148"/>
      <c r="D665" s="148"/>
      <c r="E665" s="207"/>
      <c r="F665" s="195"/>
      <c r="G665" s="195"/>
      <c r="H665" s="195"/>
      <c r="J665" s="99"/>
    </row>
    <row r="666" ht="15.75" customHeight="1">
      <c r="C666" s="148"/>
      <c r="D666" s="148"/>
      <c r="E666" s="207"/>
      <c r="F666" s="195"/>
      <c r="G666" s="195"/>
      <c r="H666" s="195"/>
      <c r="J666" s="99"/>
    </row>
    <row r="667" ht="15.75" customHeight="1">
      <c r="C667" s="148"/>
      <c r="D667" s="148"/>
      <c r="E667" s="207"/>
      <c r="F667" s="195"/>
      <c r="G667" s="195"/>
      <c r="H667" s="195"/>
      <c r="J667" s="99"/>
    </row>
    <row r="668" ht="15.75" customHeight="1">
      <c r="C668" s="148"/>
      <c r="D668" s="148"/>
      <c r="E668" s="207"/>
      <c r="F668" s="195"/>
      <c r="G668" s="195"/>
      <c r="H668" s="195"/>
      <c r="J668" s="99"/>
    </row>
    <row r="669" ht="15.75" customHeight="1">
      <c r="C669" s="148"/>
      <c r="D669" s="148"/>
      <c r="E669" s="207"/>
      <c r="F669" s="195"/>
      <c r="G669" s="195"/>
      <c r="H669" s="195"/>
      <c r="J669" s="99"/>
    </row>
    <row r="670" ht="15.75" customHeight="1">
      <c r="C670" s="148"/>
      <c r="D670" s="148"/>
      <c r="E670" s="207"/>
      <c r="F670" s="195"/>
      <c r="G670" s="195"/>
      <c r="H670" s="195"/>
      <c r="J670" s="99"/>
    </row>
    <row r="671" ht="15.75" customHeight="1">
      <c r="C671" s="148"/>
      <c r="D671" s="148"/>
      <c r="E671" s="207"/>
      <c r="F671" s="195"/>
      <c r="G671" s="195"/>
      <c r="H671" s="195"/>
      <c r="J671" s="99"/>
    </row>
    <row r="672" ht="15.75" customHeight="1">
      <c r="C672" s="148"/>
      <c r="D672" s="148"/>
      <c r="E672" s="207"/>
      <c r="F672" s="195"/>
      <c r="G672" s="195"/>
      <c r="H672" s="195"/>
      <c r="J672" s="99"/>
    </row>
    <row r="673" ht="15.75" customHeight="1">
      <c r="C673" s="148"/>
      <c r="D673" s="148"/>
      <c r="E673" s="207"/>
      <c r="F673" s="195"/>
      <c r="G673" s="195"/>
      <c r="H673" s="195"/>
      <c r="J673" s="99"/>
    </row>
    <row r="674" ht="15.75" customHeight="1">
      <c r="C674" s="148"/>
      <c r="D674" s="148"/>
      <c r="E674" s="207"/>
      <c r="F674" s="195"/>
      <c r="G674" s="195"/>
      <c r="H674" s="195"/>
      <c r="J674" s="99"/>
    </row>
    <row r="675" ht="15.75" customHeight="1">
      <c r="C675" s="148"/>
      <c r="D675" s="148"/>
      <c r="E675" s="207"/>
      <c r="F675" s="195"/>
      <c r="G675" s="195"/>
      <c r="H675" s="195"/>
      <c r="J675" s="99"/>
    </row>
    <row r="676" ht="15.75" customHeight="1">
      <c r="C676" s="148"/>
      <c r="D676" s="148"/>
      <c r="E676" s="207"/>
      <c r="F676" s="195"/>
      <c r="G676" s="195"/>
      <c r="H676" s="195"/>
      <c r="J676" s="99"/>
    </row>
    <row r="677" ht="15.75" customHeight="1">
      <c r="C677" s="148"/>
      <c r="D677" s="148"/>
      <c r="E677" s="207"/>
      <c r="F677" s="195"/>
      <c r="G677" s="195"/>
      <c r="H677" s="195"/>
      <c r="J677" s="99"/>
    </row>
    <row r="678" ht="15.75" customHeight="1">
      <c r="C678" s="148"/>
      <c r="D678" s="148"/>
      <c r="E678" s="207"/>
      <c r="F678" s="195"/>
      <c r="G678" s="195"/>
      <c r="H678" s="195"/>
      <c r="J678" s="99"/>
    </row>
    <row r="679" ht="15.75" customHeight="1">
      <c r="C679" s="148"/>
      <c r="D679" s="148"/>
      <c r="E679" s="207"/>
      <c r="F679" s="195"/>
      <c r="G679" s="195"/>
      <c r="H679" s="195"/>
      <c r="J679" s="99"/>
    </row>
    <row r="680" ht="15.75" customHeight="1">
      <c r="C680" s="148"/>
      <c r="D680" s="148"/>
      <c r="E680" s="207"/>
      <c r="F680" s="195"/>
      <c r="G680" s="195"/>
      <c r="H680" s="195"/>
      <c r="J680" s="99"/>
    </row>
    <row r="681" ht="15.75" customHeight="1">
      <c r="C681" s="148"/>
      <c r="D681" s="148"/>
      <c r="E681" s="207"/>
      <c r="F681" s="195"/>
      <c r="G681" s="195"/>
      <c r="H681" s="195"/>
      <c r="J681" s="99"/>
    </row>
    <row r="682" ht="15.75" customHeight="1">
      <c r="C682" s="148"/>
      <c r="D682" s="148"/>
      <c r="E682" s="207"/>
      <c r="F682" s="195"/>
      <c r="G682" s="195"/>
      <c r="H682" s="195"/>
      <c r="J682" s="99"/>
    </row>
    <row r="683" ht="15.75" customHeight="1">
      <c r="C683" s="148"/>
      <c r="D683" s="148"/>
      <c r="E683" s="207"/>
      <c r="F683" s="195"/>
      <c r="G683" s="195"/>
      <c r="H683" s="195"/>
      <c r="J683" s="99"/>
    </row>
    <row r="684" ht="15.75" customHeight="1">
      <c r="C684" s="148"/>
      <c r="D684" s="148"/>
      <c r="E684" s="207"/>
      <c r="F684" s="195"/>
      <c r="G684" s="195"/>
      <c r="H684" s="195"/>
      <c r="J684" s="99"/>
    </row>
    <row r="685" ht="15.75" customHeight="1">
      <c r="C685" s="148"/>
      <c r="D685" s="148"/>
      <c r="E685" s="207"/>
      <c r="F685" s="195"/>
      <c r="G685" s="195"/>
      <c r="H685" s="195"/>
      <c r="J685" s="99"/>
    </row>
    <row r="686" ht="15.75" customHeight="1">
      <c r="C686" s="148"/>
      <c r="D686" s="148"/>
      <c r="E686" s="207"/>
      <c r="F686" s="195"/>
      <c r="G686" s="195"/>
      <c r="H686" s="195"/>
      <c r="J686" s="99"/>
    </row>
    <row r="687" ht="15.75" customHeight="1">
      <c r="C687" s="148"/>
      <c r="D687" s="148"/>
      <c r="E687" s="207"/>
      <c r="F687" s="195"/>
      <c r="G687" s="195"/>
      <c r="H687" s="195"/>
      <c r="J687" s="99"/>
    </row>
    <row r="688" ht="15.75" customHeight="1">
      <c r="C688" s="148"/>
      <c r="D688" s="148"/>
      <c r="E688" s="207"/>
      <c r="F688" s="195"/>
      <c r="G688" s="195"/>
      <c r="H688" s="195"/>
      <c r="J688" s="99"/>
    </row>
    <row r="689" ht="15.75" customHeight="1">
      <c r="C689" s="148"/>
      <c r="D689" s="148"/>
      <c r="E689" s="207"/>
      <c r="F689" s="195"/>
      <c r="G689" s="195"/>
      <c r="H689" s="195"/>
      <c r="J689" s="99"/>
    </row>
    <row r="690" ht="15.75" customHeight="1">
      <c r="C690" s="148"/>
      <c r="D690" s="148"/>
      <c r="E690" s="207"/>
      <c r="F690" s="195"/>
      <c r="G690" s="195"/>
      <c r="H690" s="195"/>
      <c r="J690" s="99"/>
    </row>
    <row r="691" ht="15.75" customHeight="1">
      <c r="C691" s="148"/>
      <c r="D691" s="148"/>
      <c r="E691" s="207"/>
      <c r="F691" s="195"/>
      <c r="G691" s="195"/>
      <c r="H691" s="195"/>
      <c r="J691" s="99"/>
    </row>
    <row r="692" ht="15.75" customHeight="1">
      <c r="C692" s="148"/>
      <c r="D692" s="148"/>
      <c r="E692" s="207"/>
      <c r="F692" s="195"/>
      <c r="G692" s="195"/>
      <c r="H692" s="195"/>
      <c r="J692" s="99"/>
    </row>
    <row r="693" ht="15.75" customHeight="1">
      <c r="C693" s="148"/>
      <c r="D693" s="148"/>
      <c r="E693" s="207"/>
      <c r="F693" s="195"/>
      <c r="G693" s="195"/>
      <c r="H693" s="195"/>
      <c r="J693" s="99"/>
    </row>
    <row r="694" ht="15.75" customHeight="1">
      <c r="C694" s="148"/>
      <c r="D694" s="148"/>
      <c r="E694" s="207"/>
      <c r="F694" s="195"/>
      <c r="G694" s="195"/>
      <c r="H694" s="195"/>
      <c r="J694" s="99"/>
    </row>
    <row r="695" ht="15.75" customHeight="1">
      <c r="C695" s="148"/>
      <c r="D695" s="148"/>
      <c r="E695" s="207"/>
      <c r="F695" s="195"/>
      <c r="G695" s="195"/>
      <c r="H695" s="195"/>
      <c r="J695" s="99"/>
    </row>
    <row r="696" ht="15.75" customHeight="1">
      <c r="C696" s="148"/>
      <c r="D696" s="148"/>
      <c r="E696" s="207"/>
      <c r="F696" s="195"/>
      <c r="G696" s="195"/>
      <c r="H696" s="195"/>
      <c r="J696" s="99"/>
    </row>
    <row r="697" ht="15.75" customHeight="1">
      <c r="C697" s="148"/>
      <c r="D697" s="148"/>
      <c r="E697" s="207"/>
      <c r="F697" s="195"/>
      <c r="G697" s="195"/>
      <c r="H697" s="195"/>
      <c r="J697" s="99"/>
    </row>
    <row r="698" ht="15.75" customHeight="1">
      <c r="C698" s="148"/>
      <c r="D698" s="148"/>
      <c r="E698" s="207"/>
      <c r="F698" s="195"/>
      <c r="G698" s="195"/>
      <c r="H698" s="195"/>
      <c r="J698" s="99"/>
    </row>
    <row r="699" ht="15.75" customHeight="1">
      <c r="C699" s="148"/>
      <c r="D699" s="148"/>
      <c r="E699" s="207"/>
      <c r="F699" s="195"/>
      <c r="G699" s="195"/>
      <c r="H699" s="195"/>
      <c r="J699" s="99"/>
    </row>
    <row r="700" ht="15.75" customHeight="1">
      <c r="C700" s="148"/>
      <c r="D700" s="148"/>
      <c r="E700" s="207"/>
      <c r="F700" s="195"/>
      <c r="G700" s="195"/>
      <c r="H700" s="195"/>
      <c r="J700" s="99"/>
    </row>
    <row r="701" ht="15.75" customHeight="1">
      <c r="C701" s="148"/>
      <c r="D701" s="148"/>
      <c r="E701" s="207"/>
      <c r="F701" s="195"/>
      <c r="G701" s="195"/>
      <c r="H701" s="195"/>
      <c r="J701" s="99"/>
    </row>
    <row r="702" ht="15.75" customHeight="1">
      <c r="C702" s="148"/>
      <c r="D702" s="148"/>
      <c r="E702" s="207"/>
      <c r="F702" s="195"/>
      <c r="G702" s="195"/>
      <c r="H702" s="195"/>
      <c r="J702" s="99"/>
    </row>
    <row r="703" ht="15.75" customHeight="1">
      <c r="C703" s="148"/>
      <c r="D703" s="148"/>
      <c r="E703" s="207"/>
      <c r="F703" s="195"/>
      <c r="G703" s="195"/>
      <c r="H703" s="195"/>
      <c r="J703" s="99"/>
    </row>
    <row r="704" ht="15.75" customHeight="1">
      <c r="C704" s="148"/>
      <c r="D704" s="148"/>
      <c r="E704" s="207"/>
      <c r="F704" s="195"/>
      <c r="G704" s="195"/>
      <c r="H704" s="195"/>
      <c r="J704" s="99"/>
    </row>
    <row r="705" ht="15.75" customHeight="1">
      <c r="C705" s="148"/>
      <c r="D705" s="148"/>
      <c r="E705" s="207"/>
      <c r="F705" s="195"/>
      <c r="G705" s="195"/>
      <c r="H705" s="195"/>
      <c r="J705" s="99"/>
    </row>
    <row r="706" ht="15.75" customHeight="1">
      <c r="C706" s="148"/>
      <c r="D706" s="148"/>
      <c r="E706" s="207"/>
      <c r="F706" s="195"/>
      <c r="G706" s="195"/>
      <c r="H706" s="195"/>
      <c r="J706" s="99"/>
    </row>
    <row r="707" ht="15.75" customHeight="1">
      <c r="C707" s="148"/>
      <c r="D707" s="148"/>
      <c r="E707" s="207"/>
      <c r="F707" s="195"/>
      <c r="G707" s="195"/>
      <c r="H707" s="195"/>
      <c r="J707" s="99"/>
    </row>
    <row r="708" ht="15.75" customHeight="1">
      <c r="C708" s="148"/>
      <c r="D708" s="148"/>
      <c r="E708" s="207"/>
      <c r="F708" s="195"/>
      <c r="G708" s="195"/>
      <c r="H708" s="195"/>
      <c r="J708" s="99"/>
    </row>
    <row r="709" ht="15.75" customHeight="1">
      <c r="C709" s="148"/>
      <c r="D709" s="148"/>
      <c r="E709" s="207"/>
      <c r="F709" s="195"/>
      <c r="G709" s="195"/>
      <c r="H709" s="195"/>
      <c r="J709" s="99"/>
    </row>
    <row r="710" ht="15.75" customHeight="1">
      <c r="C710" s="148"/>
      <c r="D710" s="148"/>
      <c r="E710" s="207"/>
      <c r="F710" s="195"/>
      <c r="G710" s="195"/>
      <c r="H710" s="195"/>
      <c r="J710" s="99"/>
    </row>
    <row r="711" ht="15.75" customHeight="1">
      <c r="C711" s="148"/>
      <c r="D711" s="148"/>
      <c r="E711" s="207"/>
      <c r="F711" s="195"/>
      <c r="G711" s="195"/>
      <c r="H711" s="195"/>
      <c r="J711" s="99"/>
    </row>
    <row r="712" ht="15.75" customHeight="1">
      <c r="C712" s="148"/>
      <c r="D712" s="148"/>
      <c r="E712" s="207"/>
      <c r="F712" s="195"/>
      <c r="G712" s="195"/>
      <c r="H712" s="195"/>
      <c r="J712" s="99"/>
    </row>
    <row r="713" ht="15.75" customHeight="1">
      <c r="C713" s="148"/>
      <c r="D713" s="148"/>
      <c r="E713" s="207"/>
      <c r="F713" s="195"/>
      <c r="G713" s="195"/>
      <c r="H713" s="195"/>
      <c r="J713" s="99"/>
    </row>
    <row r="714" ht="15.75" customHeight="1">
      <c r="C714" s="148"/>
      <c r="D714" s="148"/>
      <c r="E714" s="207"/>
      <c r="F714" s="195"/>
      <c r="G714" s="195"/>
      <c r="H714" s="195"/>
      <c r="J714" s="99"/>
    </row>
    <row r="715" ht="15.75" customHeight="1">
      <c r="C715" s="148"/>
      <c r="D715" s="148"/>
      <c r="E715" s="207"/>
      <c r="F715" s="195"/>
      <c r="G715" s="195"/>
      <c r="H715" s="195"/>
      <c r="J715" s="99"/>
    </row>
    <row r="716" ht="15.75" customHeight="1">
      <c r="C716" s="148"/>
      <c r="D716" s="148"/>
      <c r="E716" s="207"/>
      <c r="F716" s="195"/>
      <c r="G716" s="195"/>
      <c r="H716" s="195"/>
      <c r="J716" s="99"/>
    </row>
    <row r="717" ht="15.75" customHeight="1">
      <c r="C717" s="148"/>
      <c r="D717" s="148"/>
      <c r="E717" s="207"/>
      <c r="F717" s="195"/>
      <c r="G717" s="195"/>
      <c r="H717" s="195"/>
      <c r="J717" s="99"/>
    </row>
    <row r="718" ht="15.75" customHeight="1">
      <c r="C718" s="148"/>
      <c r="D718" s="148"/>
      <c r="E718" s="207"/>
      <c r="F718" s="195"/>
      <c r="G718" s="195"/>
      <c r="H718" s="195"/>
      <c r="J718" s="99"/>
    </row>
    <row r="719" ht="15.75" customHeight="1">
      <c r="C719" s="148"/>
      <c r="D719" s="148"/>
      <c r="E719" s="207"/>
      <c r="F719" s="195"/>
      <c r="G719" s="195"/>
      <c r="H719" s="195"/>
      <c r="J719" s="99"/>
    </row>
    <row r="720" ht="15.75" customHeight="1">
      <c r="C720" s="148"/>
      <c r="D720" s="148"/>
      <c r="E720" s="207"/>
      <c r="F720" s="195"/>
      <c r="G720" s="195"/>
      <c r="H720" s="195"/>
      <c r="J720" s="99"/>
    </row>
    <row r="721" ht="15.75" customHeight="1">
      <c r="C721" s="148"/>
      <c r="D721" s="148"/>
      <c r="E721" s="207"/>
      <c r="F721" s="195"/>
      <c r="G721" s="195"/>
      <c r="H721" s="195"/>
      <c r="J721" s="99"/>
    </row>
    <row r="722" ht="15.75" customHeight="1">
      <c r="C722" s="148"/>
      <c r="D722" s="148"/>
      <c r="E722" s="207"/>
      <c r="F722" s="195"/>
      <c r="G722" s="195"/>
      <c r="H722" s="195"/>
      <c r="J722" s="99"/>
    </row>
    <row r="723" ht="15.75" customHeight="1">
      <c r="C723" s="148"/>
      <c r="D723" s="148"/>
      <c r="E723" s="207"/>
      <c r="F723" s="195"/>
      <c r="G723" s="195"/>
      <c r="H723" s="195"/>
      <c r="J723" s="99"/>
    </row>
    <row r="724" ht="15.75" customHeight="1">
      <c r="C724" s="148"/>
      <c r="D724" s="148"/>
      <c r="E724" s="207"/>
      <c r="F724" s="195"/>
      <c r="G724" s="195"/>
      <c r="H724" s="195"/>
      <c r="J724" s="99"/>
    </row>
    <row r="725" ht="15.75" customHeight="1">
      <c r="C725" s="148"/>
      <c r="D725" s="148"/>
      <c r="E725" s="207"/>
      <c r="F725" s="195"/>
      <c r="G725" s="195"/>
      <c r="H725" s="195"/>
      <c r="J725" s="99"/>
    </row>
    <row r="726" ht="15.75" customHeight="1">
      <c r="C726" s="148"/>
      <c r="D726" s="148"/>
      <c r="E726" s="207"/>
      <c r="F726" s="195"/>
      <c r="G726" s="195"/>
      <c r="H726" s="195"/>
      <c r="J726" s="99"/>
    </row>
    <row r="727" ht="15.75" customHeight="1">
      <c r="C727" s="148"/>
      <c r="D727" s="148"/>
      <c r="E727" s="207"/>
      <c r="F727" s="195"/>
      <c r="G727" s="195"/>
      <c r="H727" s="195"/>
      <c r="J727" s="99"/>
    </row>
    <row r="728" ht="15.75" customHeight="1">
      <c r="C728" s="148"/>
      <c r="D728" s="148"/>
      <c r="E728" s="207"/>
      <c r="F728" s="195"/>
      <c r="G728" s="195"/>
      <c r="H728" s="195"/>
      <c r="J728" s="99"/>
    </row>
    <row r="729" ht="15.75" customHeight="1">
      <c r="C729" s="148"/>
      <c r="D729" s="148"/>
      <c r="E729" s="207"/>
      <c r="F729" s="195"/>
      <c r="G729" s="195"/>
      <c r="H729" s="195"/>
      <c r="J729" s="99"/>
    </row>
    <row r="730" ht="15.75" customHeight="1">
      <c r="C730" s="148"/>
      <c r="D730" s="148"/>
      <c r="E730" s="207"/>
      <c r="F730" s="195"/>
      <c r="G730" s="195"/>
      <c r="H730" s="195"/>
      <c r="J730" s="99"/>
    </row>
    <row r="731" ht="15.75" customHeight="1">
      <c r="C731" s="148"/>
      <c r="D731" s="148"/>
      <c r="E731" s="207"/>
      <c r="F731" s="195"/>
      <c r="G731" s="195"/>
      <c r="H731" s="195"/>
      <c r="J731" s="99"/>
    </row>
    <row r="732" ht="15.75" customHeight="1">
      <c r="C732" s="148"/>
      <c r="D732" s="148"/>
      <c r="E732" s="207"/>
      <c r="F732" s="195"/>
      <c r="G732" s="195"/>
      <c r="H732" s="195"/>
      <c r="J732" s="99"/>
    </row>
    <row r="733" ht="15.75" customHeight="1">
      <c r="C733" s="148"/>
      <c r="D733" s="148"/>
      <c r="E733" s="207"/>
      <c r="F733" s="195"/>
      <c r="G733" s="195"/>
      <c r="H733" s="195"/>
      <c r="J733" s="99"/>
    </row>
    <row r="734" ht="15.75" customHeight="1">
      <c r="C734" s="148"/>
      <c r="D734" s="148"/>
      <c r="E734" s="207"/>
      <c r="F734" s="195"/>
      <c r="G734" s="195"/>
      <c r="H734" s="195"/>
      <c r="J734" s="99"/>
    </row>
    <row r="735" ht="15.75" customHeight="1">
      <c r="C735" s="148"/>
      <c r="D735" s="148"/>
      <c r="E735" s="207"/>
      <c r="F735" s="195"/>
      <c r="G735" s="195"/>
      <c r="H735" s="195"/>
      <c r="J735" s="99"/>
    </row>
    <row r="736" ht="15.75" customHeight="1">
      <c r="C736" s="148"/>
      <c r="D736" s="148"/>
      <c r="E736" s="207"/>
      <c r="F736" s="195"/>
      <c r="G736" s="195"/>
      <c r="H736" s="195"/>
      <c r="J736" s="99"/>
    </row>
    <row r="737" ht="15.75" customHeight="1">
      <c r="C737" s="148"/>
      <c r="D737" s="148"/>
      <c r="E737" s="207"/>
      <c r="F737" s="195"/>
      <c r="G737" s="195"/>
      <c r="H737" s="195"/>
      <c r="J737" s="99"/>
    </row>
    <row r="738" ht="15.75" customHeight="1">
      <c r="C738" s="148"/>
      <c r="D738" s="148"/>
      <c r="E738" s="207"/>
      <c r="F738" s="195"/>
      <c r="G738" s="195"/>
      <c r="H738" s="195"/>
      <c r="J738" s="99"/>
    </row>
    <row r="739" ht="15.75" customHeight="1">
      <c r="C739" s="148"/>
      <c r="D739" s="148"/>
      <c r="E739" s="207"/>
      <c r="F739" s="195"/>
      <c r="G739" s="195"/>
      <c r="H739" s="195"/>
      <c r="J739" s="99"/>
    </row>
    <row r="740" ht="15.75" customHeight="1">
      <c r="C740" s="148"/>
      <c r="D740" s="148"/>
      <c r="E740" s="207"/>
      <c r="F740" s="195"/>
      <c r="G740" s="195"/>
      <c r="H740" s="195"/>
      <c r="J740" s="99"/>
    </row>
    <row r="741" ht="15.75" customHeight="1">
      <c r="C741" s="148"/>
      <c r="D741" s="148"/>
      <c r="E741" s="207"/>
      <c r="F741" s="195"/>
      <c r="G741" s="195"/>
      <c r="H741" s="195"/>
      <c r="J741" s="99"/>
    </row>
    <row r="742" ht="15.75" customHeight="1">
      <c r="C742" s="148"/>
      <c r="D742" s="148"/>
      <c r="E742" s="207"/>
      <c r="F742" s="195"/>
      <c r="G742" s="195"/>
      <c r="H742" s="195"/>
      <c r="J742" s="99"/>
    </row>
    <row r="743" ht="15.75" customHeight="1">
      <c r="C743" s="148"/>
      <c r="D743" s="148"/>
      <c r="E743" s="207"/>
      <c r="F743" s="195"/>
      <c r="G743" s="195"/>
      <c r="H743" s="195"/>
      <c r="J743" s="99"/>
    </row>
    <row r="744" ht="15.75" customHeight="1">
      <c r="C744" s="148"/>
      <c r="D744" s="148"/>
      <c r="E744" s="207"/>
      <c r="F744" s="195"/>
      <c r="G744" s="195"/>
      <c r="H744" s="195"/>
      <c r="J744" s="99"/>
    </row>
    <row r="745" ht="15.75" customHeight="1">
      <c r="C745" s="148"/>
      <c r="D745" s="148"/>
      <c r="E745" s="207"/>
      <c r="F745" s="195"/>
      <c r="G745" s="195"/>
      <c r="H745" s="195"/>
      <c r="J745" s="99"/>
    </row>
    <row r="746" ht="15.75" customHeight="1">
      <c r="C746" s="148"/>
      <c r="D746" s="148"/>
      <c r="E746" s="207"/>
      <c r="F746" s="195"/>
      <c r="G746" s="195"/>
      <c r="H746" s="195"/>
      <c r="J746" s="99"/>
    </row>
    <row r="747" ht="15.75" customHeight="1">
      <c r="C747" s="148"/>
      <c r="D747" s="148"/>
      <c r="E747" s="207"/>
      <c r="F747" s="195"/>
      <c r="G747" s="195"/>
      <c r="H747" s="195"/>
      <c r="J747" s="99"/>
    </row>
    <row r="748" ht="15.75" customHeight="1">
      <c r="C748" s="148"/>
      <c r="D748" s="148"/>
      <c r="E748" s="207"/>
      <c r="F748" s="195"/>
      <c r="G748" s="195"/>
      <c r="H748" s="195"/>
      <c r="J748" s="99"/>
    </row>
    <row r="749" ht="15.75" customHeight="1">
      <c r="C749" s="148"/>
      <c r="D749" s="148"/>
      <c r="E749" s="207"/>
      <c r="F749" s="195"/>
      <c r="G749" s="195"/>
      <c r="H749" s="195"/>
      <c r="J749" s="99"/>
    </row>
    <row r="750" ht="15.75" customHeight="1">
      <c r="C750" s="148"/>
      <c r="D750" s="148"/>
      <c r="E750" s="207"/>
      <c r="F750" s="195"/>
      <c r="G750" s="195"/>
      <c r="H750" s="195"/>
      <c r="J750" s="99"/>
    </row>
    <row r="751" ht="15.75" customHeight="1">
      <c r="C751" s="148"/>
      <c r="D751" s="148"/>
      <c r="E751" s="207"/>
      <c r="F751" s="195"/>
      <c r="G751" s="195"/>
      <c r="H751" s="195"/>
      <c r="J751" s="99"/>
    </row>
    <row r="752" ht="15.75" customHeight="1">
      <c r="C752" s="148"/>
      <c r="D752" s="148"/>
      <c r="E752" s="207"/>
      <c r="F752" s="195"/>
      <c r="G752" s="195"/>
      <c r="H752" s="195"/>
      <c r="J752" s="99"/>
    </row>
    <row r="753" ht="15.75" customHeight="1">
      <c r="C753" s="148"/>
      <c r="D753" s="148"/>
      <c r="E753" s="207"/>
      <c r="F753" s="195"/>
      <c r="G753" s="195"/>
      <c r="H753" s="195"/>
      <c r="J753" s="99"/>
    </row>
    <row r="754" ht="15.75" customHeight="1">
      <c r="C754" s="148"/>
      <c r="D754" s="148"/>
      <c r="E754" s="207"/>
      <c r="F754" s="195"/>
      <c r="G754" s="195"/>
      <c r="H754" s="195"/>
      <c r="J754" s="99"/>
    </row>
    <row r="755" ht="15.75" customHeight="1">
      <c r="C755" s="148"/>
      <c r="D755" s="148"/>
      <c r="E755" s="207"/>
      <c r="F755" s="195"/>
      <c r="G755" s="195"/>
      <c r="H755" s="195"/>
      <c r="J755" s="99"/>
    </row>
    <row r="756" ht="15.75" customHeight="1">
      <c r="C756" s="148"/>
      <c r="D756" s="148"/>
      <c r="E756" s="207"/>
      <c r="F756" s="195"/>
      <c r="G756" s="195"/>
      <c r="H756" s="195"/>
      <c r="J756" s="99"/>
    </row>
    <row r="757" ht="15.75" customHeight="1">
      <c r="C757" s="148"/>
      <c r="D757" s="148"/>
      <c r="E757" s="207"/>
      <c r="F757" s="195"/>
      <c r="G757" s="195"/>
      <c r="H757" s="195"/>
      <c r="J757" s="99"/>
    </row>
    <row r="758" ht="15.75" customHeight="1">
      <c r="C758" s="148"/>
      <c r="D758" s="148"/>
      <c r="E758" s="207"/>
      <c r="F758" s="195"/>
      <c r="G758" s="195"/>
      <c r="H758" s="195"/>
      <c r="J758" s="99"/>
    </row>
    <row r="759" ht="15.75" customHeight="1">
      <c r="C759" s="148"/>
      <c r="D759" s="148"/>
      <c r="E759" s="207"/>
      <c r="F759" s="195"/>
      <c r="G759" s="195"/>
      <c r="H759" s="195"/>
      <c r="J759" s="99"/>
    </row>
    <row r="760" ht="15.75" customHeight="1">
      <c r="C760" s="148"/>
      <c r="D760" s="148"/>
      <c r="E760" s="207"/>
      <c r="F760" s="195"/>
      <c r="G760" s="195"/>
      <c r="H760" s="195"/>
      <c r="J760" s="99"/>
    </row>
    <row r="761" ht="15.75" customHeight="1">
      <c r="C761" s="148"/>
      <c r="D761" s="148"/>
      <c r="E761" s="207"/>
      <c r="F761" s="195"/>
      <c r="G761" s="195"/>
      <c r="H761" s="195"/>
      <c r="J761" s="99"/>
    </row>
    <row r="762" ht="15.75" customHeight="1">
      <c r="C762" s="148"/>
      <c r="D762" s="148"/>
      <c r="E762" s="207"/>
      <c r="F762" s="195"/>
      <c r="G762" s="195"/>
      <c r="H762" s="195"/>
      <c r="J762" s="99"/>
    </row>
    <row r="763" ht="15.75" customHeight="1">
      <c r="C763" s="148"/>
      <c r="D763" s="148"/>
      <c r="E763" s="207"/>
      <c r="F763" s="195"/>
      <c r="G763" s="195"/>
      <c r="H763" s="195"/>
      <c r="J763" s="99"/>
    </row>
    <row r="764" ht="15.75" customHeight="1">
      <c r="C764" s="148"/>
      <c r="D764" s="148"/>
      <c r="E764" s="207"/>
      <c r="F764" s="195"/>
      <c r="G764" s="195"/>
      <c r="H764" s="195"/>
      <c r="J764" s="99"/>
    </row>
    <row r="765" ht="15.75" customHeight="1">
      <c r="C765" s="148"/>
      <c r="D765" s="148"/>
      <c r="E765" s="207"/>
      <c r="F765" s="195"/>
      <c r="G765" s="195"/>
      <c r="H765" s="195"/>
      <c r="J765" s="99"/>
    </row>
    <row r="766" ht="15.75" customHeight="1">
      <c r="C766" s="148"/>
      <c r="D766" s="148"/>
      <c r="E766" s="207"/>
      <c r="F766" s="195"/>
      <c r="G766" s="195"/>
      <c r="H766" s="195"/>
      <c r="J766" s="99"/>
    </row>
    <row r="767" ht="15.75" customHeight="1">
      <c r="C767" s="148"/>
      <c r="D767" s="148"/>
      <c r="E767" s="207"/>
      <c r="F767" s="195"/>
      <c r="G767" s="195"/>
      <c r="H767" s="195"/>
      <c r="J767" s="99"/>
    </row>
    <row r="768" ht="15.75" customHeight="1">
      <c r="C768" s="148"/>
      <c r="D768" s="148"/>
      <c r="E768" s="207"/>
      <c r="F768" s="195"/>
      <c r="G768" s="195"/>
      <c r="H768" s="195"/>
      <c r="J768" s="99"/>
    </row>
    <row r="769" ht="15.75" customHeight="1">
      <c r="C769" s="148"/>
      <c r="D769" s="148"/>
      <c r="E769" s="207"/>
      <c r="F769" s="195"/>
      <c r="G769" s="195"/>
      <c r="H769" s="195"/>
      <c r="J769" s="99"/>
    </row>
    <row r="770" ht="15.75" customHeight="1">
      <c r="C770" s="148"/>
      <c r="D770" s="148"/>
      <c r="E770" s="207"/>
      <c r="F770" s="195"/>
      <c r="G770" s="195"/>
      <c r="H770" s="195"/>
      <c r="J770" s="99"/>
    </row>
    <row r="771" ht="15.75" customHeight="1">
      <c r="C771" s="148"/>
      <c r="D771" s="148"/>
      <c r="E771" s="207"/>
      <c r="F771" s="195"/>
      <c r="G771" s="195"/>
      <c r="H771" s="195"/>
      <c r="J771" s="99"/>
    </row>
    <row r="772" ht="15.75" customHeight="1">
      <c r="C772" s="148"/>
      <c r="D772" s="148"/>
      <c r="E772" s="207"/>
      <c r="F772" s="195"/>
      <c r="G772" s="195"/>
      <c r="H772" s="195"/>
      <c r="J772" s="99"/>
    </row>
    <row r="773" ht="15.75" customHeight="1">
      <c r="C773" s="148"/>
      <c r="D773" s="148"/>
      <c r="E773" s="207"/>
      <c r="F773" s="195"/>
      <c r="G773" s="195"/>
      <c r="H773" s="195"/>
      <c r="J773" s="99"/>
    </row>
    <row r="774" ht="15.75" customHeight="1">
      <c r="C774" s="148"/>
      <c r="D774" s="148"/>
      <c r="E774" s="207"/>
      <c r="F774" s="195"/>
      <c r="G774" s="195"/>
      <c r="H774" s="195"/>
      <c r="J774" s="99"/>
    </row>
    <row r="775" ht="15.75" customHeight="1">
      <c r="C775" s="148"/>
      <c r="D775" s="148"/>
      <c r="E775" s="207"/>
      <c r="F775" s="195"/>
      <c r="G775" s="195"/>
      <c r="H775" s="195"/>
      <c r="J775" s="99"/>
    </row>
    <row r="776" ht="15.75" customHeight="1">
      <c r="C776" s="148"/>
      <c r="D776" s="148"/>
      <c r="E776" s="207"/>
      <c r="F776" s="195"/>
      <c r="G776" s="195"/>
      <c r="H776" s="195"/>
      <c r="J776" s="99"/>
    </row>
    <row r="777" ht="15.75" customHeight="1">
      <c r="C777" s="148"/>
      <c r="D777" s="148"/>
      <c r="E777" s="207"/>
      <c r="F777" s="195"/>
      <c r="G777" s="195"/>
      <c r="H777" s="195"/>
      <c r="J777" s="99"/>
    </row>
    <row r="778" ht="15.75" customHeight="1">
      <c r="C778" s="148"/>
      <c r="D778" s="148"/>
      <c r="E778" s="207"/>
      <c r="F778" s="195"/>
      <c r="G778" s="195"/>
      <c r="H778" s="195"/>
      <c r="J778" s="99"/>
    </row>
    <row r="779" ht="15.75" customHeight="1">
      <c r="C779" s="148"/>
      <c r="D779" s="148"/>
      <c r="E779" s="207"/>
      <c r="F779" s="195"/>
      <c r="G779" s="195"/>
      <c r="H779" s="195"/>
      <c r="J779" s="99"/>
    </row>
    <row r="780" ht="15.75" customHeight="1">
      <c r="C780" s="148"/>
      <c r="D780" s="148"/>
      <c r="E780" s="207"/>
      <c r="F780" s="195"/>
      <c r="G780" s="195"/>
      <c r="H780" s="195"/>
      <c r="J780" s="99"/>
    </row>
    <row r="781" ht="15.75" customHeight="1">
      <c r="C781" s="148"/>
      <c r="D781" s="148"/>
      <c r="E781" s="207"/>
      <c r="F781" s="195"/>
      <c r="G781" s="195"/>
      <c r="H781" s="195"/>
      <c r="J781" s="99"/>
    </row>
    <row r="782" ht="15.75" customHeight="1">
      <c r="C782" s="148"/>
      <c r="D782" s="148"/>
      <c r="E782" s="207"/>
      <c r="F782" s="195"/>
      <c r="G782" s="195"/>
      <c r="H782" s="195"/>
      <c r="J782" s="99"/>
    </row>
    <row r="783" ht="15.75" customHeight="1">
      <c r="C783" s="148"/>
      <c r="D783" s="148"/>
      <c r="E783" s="207"/>
      <c r="F783" s="195"/>
      <c r="G783" s="195"/>
      <c r="H783" s="195"/>
      <c r="J783" s="99"/>
    </row>
    <row r="784" ht="15.75" customHeight="1">
      <c r="C784" s="148"/>
      <c r="D784" s="148"/>
      <c r="E784" s="207"/>
      <c r="F784" s="195"/>
      <c r="G784" s="195"/>
      <c r="H784" s="195"/>
      <c r="J784" s="99"/>
    </row>
    <row r="785" ht="15.75" customHeight="1">
      <c r="C785" s="148"/>
      <c r="D785" s="148"/>
      <c r="E785" s="207"/>
      <c r="F785" s="195"/>
      <c r="G785" s="195"/>
      <c r="H785" s="195"/>
      <c r="J785" s="99"/>
    </row>
    <row r="786" ht="15.75" customHeight="1">
      <c r="C786" s="148"/>
      <c r="D786" s="148"/>
      <c r="E786" s="207"/>
      <c r="F786" s="195"/>
      <c r="G786" s="195"/>
      <c r="H786" s="195"/>
      <c r="J786" s="99"/>
    </row>
    <row r="787" ht="15.75" customHeight="1">
      <c r="C787" s="148"/>
      <c r="D787" s="148"/>
      <c r="E787" s="207"/>
      <c r="F787" s="195"/>
      <c r="G787" s="195"/>
      <c r="H787" s="195"/>
      <c r="J787" s="99"/>
    </row>
    <row r="788" ht="15.75" customHeight="1">
      <c r="C788" s="148"/>
      <c r="D788" s="148"/>
      <c r="E788" s="207"/>
      <c r="F788" s="195"/>
      <c r="G788" s="195"/>
      <c r="H788" s="195"/>
      <c r="J788" s="99"/>
    </row>
    <row r="789" ht="15.75" customHeight="1">
      <c r="C789" s="148"/>
      <c r="D789" s="148"/>
      <c r="E789" s="207"/>
      <c r="F789" s="195"/>
      <c r="G789" s="195"/>
      <c r="H789" s="195"/>
      <c r="J789" s="99"/>
    </row>
    <row r="790" ht="15.75" customHeight="1">
      <c r="C790" s="148"/>
      <c r="D790" s="148"/>
      <c r="E790" s="207"/>
      <c r="F790" s="195"/>
      <c r="G790" s="195"/>
      <c r="H790" s="195"/>
      <c r="J790" s="99"/>
    </row>
    <row r="791" ht="15.75" customHeight="1">
      <c r="C791" s="148"/>
      <c r="D791" s="148"/>
      <c r="E791" s="207"/>
      <c r="F791" s="195"/>
      <c r="G791" s="195"/>
      <c r="H791" s="195"/>
      <c r="J791" s="99"/>
    </row>
    <row r="792" ht="15.75" customHeight="1">
      <c r="C792" s="148"/>
      <c r="D792" s="148"/>
      <c r="E792" s="207"/>
      <c r="F792" s="195"/>
      <c r="G792" s="195"/>
      <c r="H792" s="195"/>
      <c r="J792" s="99"/>
    </row>
    <row r="793" ht="15.75" customHeight="1">
      <c r="C793" s="148"/>
      <c r="D793" s="148"/>
      <c r="E793" s="207"/>
      <c r="F793" s="195"/>
      <c r="G793" s="195"/>
      <c r="H793" s="195"/>
      <c r="J793" s="99"/>
    </row>
    <row r="794" ht="15.75" customHeight="1">
      <c r="C794" s="148"/>
      <c r="D794" s="148"/>
      <c r="E794" s="207"/>
      <c r="F794" s="195"/>
      <c r="G794" s="195"/>
      <c r="H794" s="195"/>
      <c r="J794" s="99"/>
    </row>
    <row r="795" ht="15.75" customHeight="1">
      <c r="C795" s="148"/>
      <c r="D795" s="148"/>
      <c r="E795" s="207"/>
      <c r="F795" s="195"/>
      <c r="G795" s="195"/>
      <c r="H795" s="195"/>
      <c r="J795" s="99"/>
    </row>
    <row r="796" ht="15.75" customHeight="1">
      <c r="C796" s="148"/>
      <c r="D796" s="148"/>
      <c r="E796" s="207"/>
      <c r="F796" s="195"/>
      <c r="G796" s="195"/>
      <c r="H796" s="195"/>
      <c r="J796" s="99"/>
    </row>
    <row r="797" ht="15.75" customHeight="1">
      <c r="C797" s="148"/>
      <c r="D797" s="148"/>
      <c r="E797" s="207"/>
      <c r="F797" s="195"/>
      <c r="G797" s="195"/>
      <c r="H797" s="195"/>
      <c r="J797" s="99"/>
    </row>
    <row r="798" ht="15.75" customHeight="1">
      <c r="C798" s="148"/>
      <c r="D798" s="148"/>
      <c r="E798" s="207"/>
      <c r="F798" s="195"/>
      <c r="G798" s="195"/>
      <c r="H798" s="195"/>
      <c r="J798" s="99"/>
    </row>
    <row r="799" ht="15.75" customHeight="1">
      <c r="C799" s="148"/>
      <c r="D799" s="148"/>
      <c r="E799" s="207"/>
      <c r="F799" s="195"/>
      <c r="G799" s="195"/>
      <c r="H799" s="195"/>
      <c r="J799" s="99"/>
    </row>
    <row r="800" ht="15.75" customHeight="1">
      <c r="C800" s="148"/>
      <c r="D800" s="148"/>
      <c r="E800" s="207"/>
      <c r="F800" s="195"/>
      <c r="G800" s="195"/>
      <c r="H800" s="195"/>
      <c r="J800" s="99"/>
    </row>
    <row r="801" ht="15.75" customHeight="1">
      <c r="C801" s="148"/>
      <c r="D801" s="148"/>
      <c r="E801" s="207"/>
      <c r="F801" s="195"/>
      <c r="G801" s="195"/>
      <c r="H801" s="195"/>
      <c r="J801" s="99"/>
    </row>
    <row r="802" ht="15.75" customHeight="1">
      <c r="C802" s="148"/>
      <c r="D802" s="148"/>
      <c r="E802" s="207"/>
      <c r="F802" s="195"/>
      <c r="G802" s="195"/>
      <c r="H802" s="195"/>
      <c r="J802" s="99"/>
    </row>
    <row r="803" ht="15.75" customHeight="1">
      <c r="C803" s="148"/>
      <c r="D803" s="148"/>
      <c r="E803" s="207"/>
      <c r="F803" s="195"/>
      <c r="G803" s="195"/>
      <c r="H803" s="195"/>
      <c r="J803" s="99"/>
    </row>
    <row r="804" ht="15.75" customHeight="1">
      <c r="C804" s="148"/>
      <c r="D804" s="148"/>
      <c r="E804" s="207"/>
      <c r="F804" s="195"/>
      <c r="G804" s="195"/>
      <c r="H804" s="195"/>
      <c r="J804" s="99"/>
    </row>
    <row r="805" ht="15.75" customHeight="1">
      <c r="C805" s="148"/>
      <c r="D805" s="148"/>
      <c r="E805" s="207"/>
      <c r="F805" s="195"/>
      <c r="G805" s="195"/>
      <c r="H805" s="195"/>
      <c r="J805" s="99"/>
    </row>
    <row r="806" ht="15.75" customHeight="1">
      <c r="C806" s="148"/>
      <c r="D806" s="148"/>
      <c r="E806" s="207"/>
      <c r="F806" s="195"/>
      <c r="G806" s="195"/>
      <c r="H806" s="195"/>
      <c r="J806" s="99"/>
    </row>
    <row r="807" ht="15.75" customHeight="1">
      <c r="C807" s="148"/>
      <c r="D807" s="148"/>
      <c r="E807" s="207"/>
      <c r="F807" s="195"/>
      <c r="G807" s="195"/>
      <c r="H807" s="195"/>
      <c r="J807" s="99"/>
    </row>
    <row r="808" ht="15.75" customHeight="1">
      <c r="C808" s="148"/>
      <c r="D808" s="148"/>
      <c r="E808" s="207"/>
      <c r="F808" s="195"/>
      <c r="G808" s="195"/>
      <c r="H808" s="195"/>
      <c r="J808" s="99"/>
    </row>
    <row r="809" ht="15.75" customHeight="1">
      <c r="C809" s="148"/>
      <c r="D809" s="148"/>
      <c r="E809" s="207"/>
      <c r="F809" s="195"/>
      <c r="G809" s="195"/>
      <c r="H809" s="195"/>
      <c r="J809" s="99"/>
    </row>
    <row r="810" ht="15.75" customHeight="1">
      <c r="C810" s="148"/>
      <c r="D810" s="148"/>
      <c r="E810" s="207"/>
      <c r="F810" s="195"/>
      <c r="G810" s="195"/>
      <c r="H810" s="195"/>
      <c r="J810" s="99"/>
    </row>
    <row r="811" ht="15.75" customHeight="1">
      <c r="C811" s="148"/>
      <c r="D811" s="148"/>
      <c r="E811" s="207"/>
      <c r="F811" s="195"/>
      <c r="G811" s="195"/>
      <c r="H811" s="195"/>
      <c r="J811" s="99"/>
    </row>
    <row r="812" ht="15.75" customHeight="1">
      <c r="C812" s="148"/>
      <c r="D812" s="148"/>
      <c r="E812" s="207"/>
      <c r="F812" s="195"/>
      <c r="G812" s="195"/>
      <c r="H812" s="195"/>
      <c r="J812" s="99"/>
    </row>
    <row r="813" ht="15.75" customHeight="1">
      <c r="C813" s="148"/>
      <c r="D813" s="148"/>
      <c r="E813" s="207"/>
      <c r="F813" s="195"/>
      <c r="G813" s="195"/>
      <c r="H813" s="195"/>
      <c r="J813" s="99"/>
    </row>
    <row r="814" ht="15.75" customHeight="1">
      <c r="C814" s="148"/>
      <c r="D814" s="148"/>
      <c r="E814" s="207"/>
      <c r="F814" s="195"/>
      <c r="G814" s="195"/>
      <c r="H814" s="195"/>
      <c r="J814" s="99"/>
    </row>
    <row r="815" ht="15.75" customHeight="1">
      <c r="C815" s="148"/>
      <c r="D815" s="148"/>
      <c r="E815" s="207"/>
      <c r="F815" s="195"/>
      <c r="G815" s="195"/>
      <c r="H815" s="195"/>
      <c r="J815" s="99"/>
    </row>
    <row r="816" ht="15.75" customHeight="1">
      <c r="C816" s="148"/>
      <c r="D816" s="148"/>
      <c r="E816" s="207"/>
      <c r="F816" s="195"/>
      <c r="G816" s="195"/>
      <c r="H816" s="195"/>
      <c r="J816" s="99"/>
    </row>
    <row r="817" ht="15.75" customHeight="1">
      <c r="C817" s="148"/>
      <c r="D817" s="148"/>
      <c r="E817" s="207"/>
      <c r="F817" s="195"/>
      <c r="G817" s="195"/>
      <c r="H817" s="195"/>
      <c r="J817" s="99"/>
    </row>
    <row r="818" ht="15.75" customHeight="1">
      <c r="C818" s="148"/>
      <c r="D818" s="148"/>
      <c r="E818" s="207"/>
      <c r="F818" s="195"/>
      <c r="G818" s="195"/>
      <c r="H818" s="195"/>
      <c r="J818" s="99"/>
    </row>
    <row r="819" ht="15.75" customHeight="1">
      <c r="C819" s="148"/>
      <c r="D819" s="148"/>
      <c r="E819" s="207"/>
      <c r="F819" s="195"/>
      <c r="G819" s="195"/>
      <c r="H819" s="195"/>
      <c r="J819" s="99"/>
    </row>
    <row r="820" ht="15.75" customHeight="1">
      <c r="C820" s="148"/>
      <c r="D820" s="148"/>
      <c r="E820" s="207"/>
      <c r="F820" s="195"/>
      <c r="G820" s="195"/>
      <c r="H820" s="195"/>
      <c r="J820" s="99"/>
    </row>
    <row r="821" ht="15.75" customHeight="1">
      <c r="C821" s="148"/>
      <c r="D821" s="148"/>
      <c r="E821" s="207"/>
      <c r="F821" s="195"/>
      <c r="G821" s="195"/>
      <c r="H821" s="195"/>
      <c r="J821" s="99"/>
    </row>
    <row r="822" ht="15.75" customHeight="1">
      <c r="C822" s="148"/>
      <c r="D822" s="148"/>
      <c r="E822" s="207"/>
      <c r="F822" s="195"/>
      <c r="G822" s="195"/>
      <c r="H822" s="195"/>
      <c r="J822" s="99"/>
    </row>
    <row r="823" ht="15.75" customHeight="1">
      <c r="C823" s="148"/>
      <c r="D823" s="148"/>
      <c r="E823" s="207"/>
      <c r="F823" s="195"/>
      <c r="G823" s="195"/>
      <c r="H823" s="195"/>
      <c r="J823" s="99"/>
    </row>
    <row r="824" ht="15.75" customHeight="1">
      <c r="C824" s="148"/>
      <c r="D824" s="148"/>
      <c r="E824" s="207"/>
      <c r="F824" s="195"/>
      <c r="G824" s="195"/>
      <c r="H824" s="195"/>
      <c r="J824" s="99"/>
    </row>
    <row r="825" ht="15.75" customHeight="1">
      <c r="C825" s="148"/>
      <c r="D825" s="148"/>
      <c r="E825" s="207"/>
      <c r="F825" s="195"/>
      <c r="G825" s="195"/>
      <c r="H825" s="195"/>
      <c r="J825" s="99"/>
    </row>
    <row r="826" ht="15.75" customHeight="1">
      <c r="C826" s="148"/>
      <c r="D826" s="148"/>
      <c r="E826" s="207"/>
      <c r="F826" s="195"/>
      <c r="G826" s="195"/>
      <c r="H826" s="195"/>
      <c r="J826" s="99"/>
    </row>
    <row r="827" ht="15.75" customHeight="1">
      <c r="C827" s="148"/>
      <c r="D827" s="148"/>
      <c r="E827" s="207"/>
      <c r="F827" s="195"/>
      <c r="G827" s="195"/>
      <c r="H827" s="195"/>
      <c r="J827" s="99"/>
    </row>
    <row r="828" ht="15.75" customHeight="1">
      <c r="C828" s="148"/>
      <c r="D828" s="148"/>
      <c r="E828" s="207"/>
      <c r="F828" s="195"/>
      <c r="G828" s="195"/>
      <c r="H828" s="195"/>
      <c r="J828" s="99"/>
    </row>
    <row r="829" ht="15.75" customHeight="1">
      <c r="C829" s="148"/>
      <c r="D829" s="148"/>
      <c r="E829" s="207"/>
      <c r="F829" s="195"/>
      <c r="G829" s="195"/>
      <c r="H829" s="195"/>
      <c r="J829" s="99"/>
    </row>
    <row r="830" ht="15.75" customHeight="1">
      <c r="C830" s="148"/>
      <c r="D830" s="148"/>
      <c r="E830" s="207"/>
      <c r="F830" s="195"/>
      <c r="G830" s="195"/>
      <c r="H830" s="195"/>
      <c r="J830" s="99"/>
    </row>
    <row r="831" ht="15.75" customHeight="1">
      <c r="C831" s="148"/>
      <c r="D831" s="148"/>
      <c r="E831" s="207"/>
      <c r="F831" s="195"/>
      <c r="G831" s="195"/>
      <c r="H831" s="195"/>
      <c r="J831" s="99"/>
    </row>
    <row r="832" ht="15.75" customHeight="1">
      <c r="C832" s="148"/>
      <c r="D832" s="148"/>
      <c r="E832" s="207"/>
      <c r="F832" s="195"/>
      <c r="G832" s="195"/>
      <c r="H832" s="195"/>
      <c r="J832" s="99"/>
    </row>
    <row r="833" ht="15.75" customHeight="1">
      <c r="C833" s="148"/>
      <c r="D833" s="148"/>
      <c r="E833" s="207"/>
      <c r="F833" s="195"/>
      <c r="G833" s="195"/>
      <c r="H833" s="195"/>
      <c r="J833" s="99"/>
    </row>
    <row r="834" ht="15.75" customHeight="1">
      <c r="C834" s="148"/>
      <c r="D834" s="148"/>
      <c r="E834" s="207"/>
      <c r="F834" s="195"/>
      <c r="G834" s="195"/>
      <c r="H834" s="195"/>
      <c r="J834" s="99"/>
    </row>
    <row r="835" ht="15.75" customHeight="1">
      <c r="C835" s="148"/>
      <c r="D835" s="148"/>
      <c r="E835" s="207"/>
      <c r="F835" s="195"/>
      <c r="G835" s="195"/>
      <c r="H835" s="195"/>
      <c r="J835" s="99"/>
    </row>
    <row r="836" ht="15.75" customHeight="1">
      <c r="C836" s="148"/>
      <c r="D836" s="148"/>
      <c r="E836" s="207"/>
      <c r="F836" s="195"/>
      <c r="G836" s="195"/>
      <c r="H836" s="195"/>
      <c r="J836" s="99"/>
    </row>
    <row r="837" ht="15.75" customHeight="1">
      <c r="C837" s="148"/>
      <c r="D837" s="148"/>
      <c r="E837" s="207"/>
      <c r="F837" s="195"/>
      <c r="G837" s="195"/>
      <c r="H837" s="195"/>
      <c r="J837" s="99"/>
    </row>
    <row r="838" ht="15.75" customHeight="1">
      <c r="C838" s="148"/>
      <c r="D838" s="148"/>
      <c r="E838" s="207"/>
      <c r="F838" s="195"/>
      <c r="G838" s="195"/>
      <c r="H838" s="195"/>
      <c r="J838" s="99"/>
    </row>
    <row r="839" ht="15.75" customHeight="1">
      <c r="C839" s="148"/>
      <c r="D839" s="148"/>
      <c r="E839" s="207"/>
      <c r="F839" s="195"/>
      <c r="G839" s="195"/>
      <c r="H839" s="195"/>
      <c r="J839" s="99"/>
    </row>
    <row r="840" ht="15.75" customHeight="1">
      <c r="C840" s="148"/>
      <c r="D840" s="148"/>
      <c r="E840" s="207"/>
      <c r="F840" s="195"/>
      <c r="G840" s="195"/>
      <c r="H840" s="195"/>
      <c r="J840" s="99"/>
    </row>
    <row r="841" ht="15.75" customHeight="1">
      <c r="C841" s="148"/>
      <c r="D841" s="148"/>
      <c r="E841" s="207"/>
      <c r="F841" s="195"/>
      <c r="G841" s="195"/>
      <c r="H841" s="195"/>
      <c r="J841" s="99"/>
    </row>
    <row r="842" ht="15.75" customHeight="1">
      <c r="C842" s="148"/>
      <c r="D842" s="148"/>
      <c r="E842" s="207"/>
      <c r="F842" s="195"/>
      <c r="G842" s="195"/>
      <c r="H842" s="195"/>
      <c r="J842" s="99"/>
    </row>
    <row r="843" ht="15.75" customHeight="1">
      <c r="C843" s="148"/>
      <c r="D843" s="148"/>
      <c r="E843" s="207"/>
      <c r="F843" s="195"/>
      <c r="G843" s="195"/>
      <c r="H843" s="195"/>
      <c r="J843" s="99"/>
    </row>
    <row r="844" ht="15.75" customHeight="1">
      <c r="C844" s="148"/>
      <c r="D844" s="148"/>
      <c r="E844" s="207"/>
      <c r="F844" s="195"/>
      <c r="G844" s="195"/>
      <c r="H844" s="195"/>
      <c r="J844" s="99"/>
    </row>
    <row r="845" ht="15.75" customHeight="1">
      <c r="C845" s="148"/>
      <c r="D845" s="148"/>
      <c r="E845" s="207"/>
      <c r="F845" s="195"/>
      <c r="G845" s="195"/>
      <c r="H845" s="195"/>
      <c r="J845" s="99"/>
    </row>
    <row r="846" ht="15.75" customHeight="1">
      <c r="C846" s="148"/>
      <c r="D846" s="148"/>
      <c r="E846" s="207"/>
      <c r="F846" s="195"/>
      <c r="G846" s="195"/>
      <c r="H846" s="195"/>
      <c r="J846" s="99"/>
    </row>
    <row r="847" ht="15.75" customHeight="1">
      <c r="C847" s="148"/>
      <c r="D847" s="148"/>
      <c r="E847" s="207"/>
      <c r="F847" s="195"/>
      <c r="G847" s="195"/>
      <c r="H847" s="195"/>
      <c r="J847" s="99"/>
    </row>
    <row r="848" ht="15.75" customHeight="1">
      <c r="C848" s="148"/>
      <c r="D848" s="148"/>
      <c r="E848" s="207"/>
      <c r="F848" s="195"/>
      <c r="G848" s="195"/>
      <c r="H848" s="195"/>
      <c r="J848" s="99"/>
    </row>
    <row r="849" ht="15.75" customHeight="1">
      <c r="C849" s="148"/>
      <c r="D849" s="148"/>
      <c r="E849" s="207"/>
      <c r="F849" s="195"/>
      <c r="G849" s="195"/>
      <c r="H849" s="195"/>
      <c r="J849" s="99"/>
    </row>
    <row r="850" ht="15.75" customHeight="1">
      <c r="C850" s="148"/>
      <c r="D850" s="148"/>
      <c r="E850" s="207"/>
      <c r="F850" s="195"/>
      <c r="G850" s="195"/>
      <c r="H850" s="195"/>
      <c r="J850" s="99"/>
    </row>
    <row r="851" ht="15.75" customHeight="1">
      <c r="C851" s="148"/>
      <c r="D851" s="148"/>
      <c r="E851" s="207"/>
      <c r="F851" s="195"/>
      <c r="G851" s="195"/>
      <c r="H851" s="195"/>
      <c r="J851" s="99"/>
    </row>
    <row r="852" ht="15.75" customHeight="1">
      <c r="C852" s="148"/>
      <c r="D852" s="148"/>
      <c r="E852" s="207"/>
      <c r="F852" s="195"/>
      <c r="G852" s="195"/>
      <c r="H852" s="195"/>
      <c r="J852" s="99"/>
    </row>
    <row r="853" ht="15.75" customHeight="1">
      <c r="C853" s="148"/>
      <c r="D853" s="148"/>
      <c r="E853" s="207"/>
      <c r="F853" s="195"/>
      <c r="G853" s="195"/>
      <c r="H853" s="195"/>
      <c r="J853" s="99"/>
    </row>
    <row r="854" ht="15.75" customHeight="1">
      <c r="C854" s="148"/>
      <c r="D854" s="148"/>
      <c r="E854" s="207"/>
      <c r="F854" s="195"/>
      <c r="G854" s="195"/>
      <c r="H854" s="195"/>
      <c r="J854" s="99"/>
    </row>
    <row r="855" ht="15.75" customHeight="1">
      <c r="C855" s="148"/>
      <c r="D855" s="148"/>
      <c r="E855" s="207"/>
      <c r="F855" s="195"/>
      <c r="G855" s="195"/>
      <c r="H855" s="195"/>
      <c r="J855" s="99"/>
    </row>
    <row r="856" ht="15.75" customHeight="1">
      <c r="C856" s="148"/>
      <c r="D856" s="148"/>
      <c r="E856" s="207"/>
      <c r="F856" s="195"/>
      <c r="G856" s="195"/>
      <c r="H856" s="195"/>
      <c r="J856" s="99"/>
    </row>
    <row r="857" ht="15.75" customHeight="1">
      <c r="C857" s="148"/>
      <c r="D857" s="148"/>
      <c r="E857" s="207"/>
      <c r="F857" s="195"/>
      <c r="G857" s="195"/>
      <c r="H857" s="195"/>
      <c r="J857" s="99"/>
    </row>
    <row r="858" ht="15.75" customHeight="1">
      <c r="C858" s="148"/>
      <c r="D858" s="148"/>
      <c r="E858" s="207"/>
      <c r="F858" s="195"/>
      <c r="G858" s="195"/>
      <c r="H858" s="195"/>
      <c r="J858" s="99"/>
    </row>
    <row r="859" ht="15.75" customHeight="1">
      <c r="C859" s="148"/>
      <c r="D859" s="148"/>
      <c r="E859" s="207"/>
      <c r="F859" s="195"/>
      <c r="G859" s="195"/>
      <c r="H859" s="195"/>
      <c r="J859" s="99"/>
    </row>
    <row r="860" ht="15.75" customHeight="1">
      <c r="C860" s="148"/>
      <c r="D860" s="148"/>
      <c r="E860" s="207"/>
      <c r="F860" s="195"/>
      <c r="G860" s="195"/>
      <c r="H860" s="195"/>
      <c r="J860" s="99"/>
    </row>
    <row r="861" ht="15.75" customHeight="1">
      <c r="C861" s="148"/>
      <c r="D861" s="148"/>
      <c r="E861" s="207"/>
      <c r="F861" s="195"/>
      <c r="G861" s="195"/>
      <c r="H861" s="195"/>
      <c r="J861" s="99"/>
    </row>
    <row r="862" ht="15.75" customHeight="1">
      <c r="C862" s="148"/>
      <c r="D862" s="148"/>
      <c r="E862" s="207"/>
      <c r="F862" s="195"/>
      <c r="G862" s="195"/>
      <c r="H862" s="195"/>
      <c r="J862" s="99"/>
    </row>
    <row r="863" ht="15.75" customHeight="1">
      <c r="C863" s="148"/>
      <c r="D863" s="148"/>
      <c r="E863" s="207"/>
      <c r="F863" s="195"/>
      <c r="G863" s="195"/>
      <c r="H863" s="195"/>
      <c r="J863" s="99"/>
    </row>
    <row r="864" ht="15.75" customHeight="1">
      <c r="C864" s="148"/>
      <c r="D864" s="148"/>
      <c r="E864" s="207"/>
      <c r="F864" s="195"/>
      <c r="G864" s="195"/>
      <c r="H864" s="195"/>
      <c r="J864" s="99"/>
    </row>
    <row r="865" ht="15.75" customHeight="1">
      <c r="C865" s="148"/>
      <c r="D865" s="148"/>
      <c r="E865" s="207"/>
      <c r="F865" s="195"/>
      <c r="G865" s="195"/>
      <c r="H865" s="195"/>
      <c r="J865" s="99"/>
    </row>
    <row r="866" ht="15.75" customHeight="1">
      <c r="C866" s="148"/>
      <c r="D866" s="148"/>
      <c r="E866" s="207"/>
      <c r="F866" s="195"/>
      <c r="G866" s="195"/>
      <c r="H866" s="195"/>
      <c r="J866" s="99"/>
    </row>
    <row r="867" ht="15.75" customHeight="1">
      <c r="C867" s="148"/>
      <c r="D867" s="148"/>
      <c r="E867" s="207"/>
      <c r="F867" s="195"/>
      <c r="G867" s="195"/>
      <c r="H867" s="195"/>
      <c r="J867" s="99"/>
    </row>
    <row r="868" ht="15.75" customHeight="1">
      <c r="C868" s="148"/>
      <c r="D868" s="148"/>
      <c r="E868" s="207"/>
      <c r="F868" s="195"/>
      <c r="G868" s="195"/>
      <c r="H868" s="195"/>
      <c r="J868" s="99"/>
    </row>
    <row r="869" ht="15.75" customHeight="1">
      <c r="C869" s="148"/>
      <c r="D869" s="148"/>
      <c r="E869" s="207"/>
      <c r="F869" s="195"/>
      <c r="G869" s="195"/>
      <c r="H869" s="195"/>
      <c r="J869" s="99"/>
    </row>
    <row r="870" ht="15.75" customHeight="1">
      <c r="C870" s="148"/>
      <c r="D870" s="148"/>
      <c r="E870" s="207"/>
      <c r="F870" s="195"/>
      <c r="G870" s="195"/>
      <c r="H870" s="195"/>
      <c r="J870" s="99"/>
    </row>
    <row r="871" ht="15.75" customHeight="1">
      <c r="C871" s="148"/>
      <c r="D871" s="148"/>
      <c r="E871" s="207"/>
      <c r="F871" s="195"/>
      <c r="G871" s="195"/>
      <c r="H871" s="195"/>
      <c r="J871" s="99"/>
    </row>
    <row r="872" ht="15.75" customHeight="1">
      <c r="C872" s="148"/>
      <c r="D872" s="148"/>
      <c r="E872" s="207"/>
      <c r="F872" s="195"/>
      <c r="G872" s="195"/>
      <c r="H872" s="195"/>
      <c r="J872" s="99"/>
    </row>
    <row r="873" ht="15.75" customHeight="1">
      <c r="C873" s="148"/>
      <c r="D873" s="148"/>
      <c r="E873" s="207"/>
      <c r="F873" s="195"/>
      <c r="G873" s="195"/>
      <c r="H873" s="195"/>
      <c r="J873" s="99"/>
    </row>
    <row r="874" ht="15.75" customHeight="1">
      <c r="C874" s="148"/>
      <c r="D874" s="148"/>
      <c r="E874" s="207"/>
      <c r="F874" s="195"/>
      <c r="G874" s="195"/>
      <c r="H874" s="195"/>
      <c r="J874" s="99"/>
    </row>
    <row r="875" ht="15.75" customHeight="1">
      <c r="C875" s="148"/>
      <c r="D875" s="148"/>
      <c r="E875" s="207"/>
      <c r="F875" s="195"/>
      <c r="G875" s="195"/>
      <c r="H875" s="195"/>
      <c r="J875" s="99"/>
    </row>
    <row r="876" ht="15.75" customHeight="1">
      <c r="C876" s="148"/>
      <c r="D876" s="148"/>
      <c r="E876" s="207"/>
      <c r="F876" s="195"/>
      <c r="G876" s="195"/>
      <c r="H876" s="195"/>
      <c r="J876" s="99"/>
    </row>
    <row r="877" ht="15.75" customHeight="1">
      <c r="C877" s="148"/>
      <c r="D877" s="148"/>
      <c r="E877" s="207"/>
      <c r="F877" s="195"/>
      <c r="G877" s="195"/>
      <c r="H877" s="195"/>
      <c r="J877" s="99"/>
    </row>
    <row r="878" ht="15.75" customHeight="1">
      <c r="C878" s="148"/>
      <c r="D878" s="148"/>
      <c r="E878" s="207"/>
      <c r="F878" s="195"/>
      <c r="G878" s="195"/>
      <c r="H878" s="195"/>
      <c r="J878" s="99"/>
    </row>
    <row r="879" ht="15.75" customHeight="1">
      <c r="C879" s="148"/>
      <c r="D879" s="148"/>
      <c r="E879" s="207"/>
      <c r="F879" s="195"/>
      <c r="G879" s="195"/>
      <c r="H879" s="195"/>
      <c r="J879" s="99"/>
    </row>
    <row r="880" ht="15.75" customHeight="1">
      <c r="C880" s="148"/>
      <c r="D880" s="148"/>
      <c r="E880" s="207"/>
      <c r="F880" s="195"/>
      <c r="G880" s="195"/>
      <c r="H880" s="195"/>
      <c r="J880" s="99"/>
    </row>
    <row r="881" ht="15.75" customHeight="1">
      <c r="C881" s="148"/>
      <c r="D881" s="148"/>
      <c r="E881" s="207"/>
      <c r="F881" s="195"/>
      <c r="G881" s="195"/>
      <c r="H881" s="195"/>
      <c r="J881" s="99"/>
    </row>
    <row r="882" ht="15.75" customHeight="1">
      <c r="C882" s="148"/>
      <c r="D882" s="148"/>
      <c r="E882" s="207"/>
      <c r="F882" s="195"/>
      <c r="G882" s="195"/>
      <c r="H882" s="195"/>
      <c r="J882" s="99"/>
    </row>
    <row r="883" ht="15.75" customHeight="1">
      <c r="C883" s="148"/>
      <c r="D883" s="148"/>
      <c r="E883" s="207"/>
      <c r="F883" s="195"/>
      <c r="G883" s="195"/>
      <c r="H883" s="195"/>
      <c r="J883" s="99"/>
    </row>
    <row r="884" ht="15.75" customHeight="1">
      <c r="C884" s="148"/>
      <c r="D884" s="148"/>
      <c r="E884" s="207"/>
      <c r="F884" s="195"/>
      <c r="G884" s="195"/>
      <c r="H884" s="195"/>
      <c r="J884" s="99"/>
    </row>
    <row r="885" ht="15.75" customHeight="1">
      <c r="C885" s="148"/>
      <c r="D885" s="148"/>
      <c r="E885" s="207"/>
      <c r="F885" s="195"/>
      <c r="G885" s="195"/>
      <c r="H885" s="195"/>
      <c r="J885" s="99"/>
    </row>
    <row r="886" ht="15.75" customHeight="1">
      <c r="C886" s="148"/>
      <c r="D886" s="148"/>
      <c r="E886" s="207"/>
      <c r="F886" s="195"/>
      <c r="G886" s="195"/>
      <c r="H886" s="195"/>
      <c r="J886" s="99"/>
    </row>
    <row r="887" ht="15.75" customHeight="1">
      <c r="C887" s="148"/>
      <c r="D887" s="148"/>
      <c r="E887" s="207"/>
      <c r="F887" s="195"/>
      <c r="G887" s="195"/>
      <c r="H887" s="195"/>
      <c r="J887" s="99"/>
    </row>
    <row r="888" ht="15.75" customHeight="1">
      <c r="C888" s="148"/>
      <c r="D888" s="148"/>
      <c r="E888" s="207"/>
      <c r="F888" s="195"/>
      <c r="G888" s="195"/>
      <c r="H888" s="195"/>
      <c r="J888" s="99"/>
    </row>
    <row r="889" ht="15.75" customHeight="1">
      <c r="C889" s="148"/>
      <c r="D889" s="148"/>
      <c r="E889" s="207"/>
      <c r="F889" s="195"/>
      <c r="G889" s="195"/>
      <c r="H889" s="195"/>
      <c r="J889" s="99"/>
    </row>
    <row r="890" ht="15.75" customHeight="1">
      <c r="C890" s="148"/>
      <c r="D890" s="148"/>
      <c r="E890" s="207"/>
      <c r="F890" s="195"/>
      <c r="G890" s="195"/>
      <c r="H890" s="195"/>
      <c r="J890" s="99"/>
    </row>
    <row r="891" ht="15.75" customHeight="1">
      <c r="C891" s="148"/>
      <c r="D891" s="148"/>
      <c r="E891" s="207"/>
      <c r="F891" s="195"/>
      <c r="G891" s="195"/>
      <c r="H891" s="195"/>
      <c r="J891" s="99"/>
    </row>
    <row r="892" ht="15.75" customHeight="1">
      <c r="C892" s="148"/>
      <c r="D892" s="148"/>
      <c r="E892" s="207"/>
      <c r="F892" s="195"/>
      <c r="G892" s="195"/>
      <c r="H892" s="195"/>
      <c r="J892" s="99"/>
    </row>
    <row r="893" ht="15.75" customHeight="1">
      <c r="C893" s="148"/>
      <c r="D893" s="148"/>
      <c r="E893" s="207"/>
      <c r="F893" s="195"/>
      <c r="G893" s="195"/>
      <c r="H893" s="195"/>
      <c r="J893" s="99"/>
    </row>
    <row r="894" ht="15.75" customHeight="1">
      <c r="C894" s="148"/>
      <c r="D894" s="148"/>
      <c r="E894" s="207"/>
      <c r="F894" s="195"/>
      <c r="G894" s="195"/>
      <c r="H894" s="195"/>
      <c r="J894" s="99"/>
    </row>
    <row r="895" ht="15.75" customHeight="1">
      <c r="C895" s="148"/>
      <c r="D895" s="148"/>
      <c r="E895" s="207"/>
      <c r="F895" s="195"/>
      <c r="G895" s="195"/>
      <c r="H895" s="195"/>
      <c r="J895" s="99"/>
    </row>
    <row r="896" ht="15.75" customHeight="1">
      <c r="C896" s="148"/>
      <c r="D896" s="148"/>
      <c r="E896" s="207"/>
      <c r="F896" s="195"/>
      <c r="G896" s="195"/>
      <c r="H896" s="195"/>
      <c r="J896" s="99"/>
    </row>
    <row r="897" ht="15.75" customHeight="1">
      <c r="C897" s="148"/>
      <c r="D897" s="148"/>
      <c r="E897" s="207"/>
      <c r="F897" s="195"/>
      <c r="G897" s="195"/>
      <c r="H897" s="195"/>
      <c r="J897" s="99"/>
    </row>
    <row r="898" ht="15.75" customHeight="1">
      <c r="C898" s="148"/>
      <c r="D898" s="148"/>
      <c r="E898" s="207"/>
      <c r="F898" s="195"/>
      <c r="G898" s="195"/>
      <c r="H898" s="195"/>
      <c r="J898" s="99"/>
    </row>
    <row r="899" ht="15.75" customHeight="1">
      <c r="C899" s="148"/>
      <c r="D899" s="148"/>
      <c r="E899" s="207"/>
      <c r="F899" s="195"/>
      <c r="G899" s="195"/>
      <c r="H899" s="195"/>
      <c r="J899" s="99"/>
    </row>
    <row r="900" ht="15.75" customHeight="1">
      <c r="C900" s="148"/>
      <c r="D900" s="148"/>
      <c r="E900" s="207"/>
      <c r="F900" s="195"/>
      <c r="G900" s="195"/>
      <c r="H900" s="195"/>
      <c r="J900" s="99"/>
    </row>
    <row r="901" ht="15.75" customHeight="1">
      <c r="C901" s="148"/>
      <c r="D901" s="148"/>
      <c r="E901" s="207"/>
      <c r="F901" s="195"/>
      <c r="G901" s="195"/>
      <c r="H901" s="195"/>
      <c r="J901" s="99"/>
    </row>
    <row r="902" ht="15.75" customHeight="1">
      <c r="C902" s="148"/>
      <c r="D902" s="148"/>
      <c r="E902" s="207"/>
      <c r="F902" s="195"/>
      <c r="G902" s="195"/>
      <c r="H902" s="195"/>
      <c r="J902" s="99"/>
    </row>
    <row r="903" ht="15.75" customHeight="1">
      <c r="C903" s="148"/>
      <c r="D903" s="148"/>
      <c r="E903" s="207"/>
      <c r="F903" s="195"/>
      <c r="G903" s="195"/>
      <c r="H903" s="195"/>
      <c r="J903" s="99"/>
    </row>
    <row r="904" ht="15.75" customHeight="1">
      <c r="C904" s="148"/>
      <c r="D904" s="148"/>
      <c r="E904" s="207"/>
      <c r="F904" s="195"/>
      <c r="G904" s="195"/>
      <c r="H904" s="195"/>
      <c r="J904" s="99"/>
    </row>
    <row r="905" ht="15.75" customHeight="1">
      <c r="C905" s="148"/>
      <c r="D905" s="148"/>
      <c r="E905" s="207"/>
      <c r="F905" s="195"/>
      <c r="G905" s="195"/>
      <c r="H905" s="195"/>
      <c r="J905" s="99"/>
    </row>
    <row r="906" ht="15.75" customHeight="1">
      <c r="C906" s="148"/>
      <c r="D906" s="148"/>
      <c r="E906" s="207"/>
      <c r="F906" s="195"/>
      <c r="G906" s="195"/>
      <c r="H906" s="195"/>
      <c r="J906" s="99"/>
    </row>
    <row r="907" ht="15.75" customHeight="1">
      <c r="C907" s="148"/>
      <c r="D907" s="148"/>
      <c r="E907" s="207"/>
      <c r="F907" s="195"/>
      <c r="G907" s="195"/>
      <c r="H907" s="195"/>
      <c r="J907" s="99"/>
    </row>
    <row r="908" ht="15.75" customHeight="1">
      <c r="C908" s="148"/>
      <c r="D908" s="148"/>
      <c r="E908" s="207"/>
      <c r="F908" s="195"/>
      <c r="G908" s="195"/>
      <c r="H908" s="195"/>
      <c r="J908" s="99"/>
    </row>
    <row r="909" ht="15.75" customHeight="1">
      <c r="C909" s="148"/>
      <c r="D909" s="148"/>
      <c r="E909" s="207"/>
      <c r="F909" s="195"/>
      <c r="G909" s="195"/>
      <c r="H909" s="195"/>
      <c r="J909" s="99"/>
    </row>
    <row r="910" ht="15.75" customHeight="1">
      <c r="C910" s="148"/>
      <c r="D910" s="148"/>
      <c r="E910" s="207"/>
      <c r="F910" s="195"/>
      <c r="G910" s="195"/>
      <c r="H910" s="195"/>
      <c r="J910" s="99"/>
    </row>
    <row r="911" ht="15.75" customHeight="1">
      <c r="C911" s="148"/>
      <c r="D911" s="148"/>
      <c r="E911" s="207"/>
      <c r="F911" s="195"/>
      <c r="G911" s="195"/>
      <c r="H911" s="195"/>
      <c r="J911" s="99"/>
    </row>
    <row r="912" ht="15.75" customHeight="1">
      <c r="C912" s="148"/>
      <c r="D912" s="148"/>
      <c r="E912" s="207"/>
      <c r="F912" s="195"/>
      <c r="G912" s="195"/>
      <c r="H912" s="195"/>
      <c r="J912" s="99"/>
    </row>
    <row r="913" ht="15.75" customHeight="1">
      <c r="C913" s="148"/>
      <c r="D913" s="148"/>
      <c r="E913" s="207"/>
      <c r="F913" s="195"/>
      <c r="G913" s="195"/>
      <c r="H913" s="195"/>
      <c r="J913" s="99"/>
    </row>
    <row r="914" ht="15.75" customHeight="1">
      <c r="C914" s="148"/>
      <c r="D914" s="148"/>
      <c r="E914" s="207"/>
      <c r="F914" s="195"/>
      <c r="G914" s="195"/>
      <c r="H914" s="195"/>
      <c r="J914" s="99"/>
    </row>
    <row r="915" ht="15.75" customHeight="1">
      <c r="C915" s="148"/>
      <c r="D915" s="148"/>
      <c r="E915" s="207"/>
      <c r="F915" s="195"/>
      <c r="G915" s="195"/>
      <c r="H915" s="195"/>
      <c r="J915" s="99"/>
    </row>
    <row r="916" ht="15.75" customHeight="1">
      <c r="C916" s="148"/>
      <c r="D916" s="148"/>
      <c r="E916" s="207"/>
      <c r="F916" s="195"/>
      <c r="G916" s="195"/>
      <c r="H916" s="195"/>
      <c r="J916" s="99"/>
    </row>
    <row r="917" ht="15.75" customHeight="1">
      <c r="C917" s="148"/>
      <c r="D917" s="148"/>
      <c r="E917" s="207"/>
      <c r="F917" s="195"/>
      <c r="G917" s="195"/>
      <c r="H917" s="195"/>
      <c r="J917" s="99"/>
    </row>
    <row r="918" ht="15.75" customHeight="1">
      <c r="C918" s="148"/>
      <c r="D918" s="148"/>
      <c r="E918" s="207"/>
      <c r="F918" s="195"/>
      <c r="G918" s="195"/>
      <c r="H918" s="195"/>
      <c r="J918" s="99"/>
    </row>
    <row r="919" ht="15.75" customHeight="1">
      <c r="C919" s="148"/>
      <c r="D919" s="148"/>
      <c r="E919" s="207"/>
      <c r="F919" s="195"/>
      <c r="G919" s="195"/>
      <c r="H919" s="195"/>
      <c r="J919" s="99"/>
    </row>
    <row r="920" ht="15.75" customHeight="1">
      <c r="C920" s="148"/>
      <c r="D920" s="148"/>
      <c r="E920" s="207"/>
      <c r="F920" s="195"/>
      <c r="G920" s="195"/>
      <c r="H920" s="195"/>
      <c r="J920" s="99"/>
    </row>
    <row r="921" ht="15.75" customHeight="1">
      <c r="C921" s="148"/>
      <c r="D921" s="148"/>
      <c r="E921" s="207"/>
      <c r="F921" s="195"/>
      <c r="G921" s="195"/>
      <c r="H921" s="195"/>
      <c r="J921" s="99"/>
    </row>
    <row r="922" ht="15.75" customHeight="1">
      <c r="C922" s="148"/>
      <c r="D922" s="148"/>
      <c r="E922" s="207"/>
      <c r="F922" s="195"/>
      <c r="G922" s="195"/>
      <c r="H922" s="195"/>
      <c r="J922" s="99"/>
    </row>
    <row r="923" ht="15.75" customHeight="1">
      <c r="C923" s="148"/>
      <c r="D923" s="148"/>
      <c r="E923" s="207"/>
      <c r="F923" s="195"/>
      <c r="G923" s="195"/>
      <c r="H923" s="195"/>
      <c r="J923" s="99"/>
    </row>
    <row r="924" ht="15.75" customHeight="1">
      <c r="C924" s="148"/>
      <c r="D924" s="148"/>
      <c r="E924" s="207"/>
      <c r="F924" s="195"/>
      <c r="G924" s="195"/>
      <c r="H924" s="195"/>
      <c r="J924" s="99"/>
    </row>
    <row r="925" ht="15.75" customHeight="1">
      <c r="C925" s="148"/>
      <c r="D925" s="148"/>
      <c r="E925" s="207"/>
      <c r="F925" s="195"/>
      <c r="G925" s="195"/>
      <c r="H925" s="195"/>
      <c r="J925" s="99"/>
    </row>
    <row r="926" ht="15.75" customHeight="1">
      <c r="C926" s="148"/>
      <c r="D926" s="148"/>
      <c r="E926" s="207"/>
      <c r="F926" s="195"/>
      <c r="G926" s="195"/>
      <c r="H926" s="195"/>
      <c r="J926" s="99"/>
    </row>
    <row r="927" ht="15.75" customHeight="1">
      <c r="C927" s="148"/>
      <c r="D927" s="148"/>
      <c r="E927" s="207"/>
      <c r="F927" s="195"/>
      <c r="G927" s="195"/>
      <c r="H927" s="195"/>
      <c r="J927" s="99"/>
    </row>
    <row r="928" ht="15.75" customHeight="1">
      <c r="C928" s="148"/>
      <c r="D928" s="148"/>
      <c r="E928" s="207"/>
      <c r="F928" s="195"/>
      <c r="G928" s="195"/>
      <c r="H928" s="195"/>
      <c r="J928" s="99"/>
    </row>
    <row r="929" ht="15.75" customHeight="1">
      <c r="C929" s="148"/>
      <c r="D929" s="148"/>
      <c r="E929" s="207"/>
      <c r="F929" s="195"/>
      <c r="G929" s="195"/>
      <c r="H929" s="195"/>
      <c r="J929" s="99"/>
    </row>
    <row r="930" ht="15.75" customHeight="1">
      <c r="C930" s="148"/>
      <c r="D930" s="148"/>
      <c r="E930" s="207"/>
      <c r="F930" s="195"/>
      <c r="G930" s="195"/>
      <c r="H930" s="195"/>
      <c r="J930" s="99"/>
    </row>
    <row r="931" ht="15.75" customHeight="1">
      <c r="C931" s="148"/>
      <c r="D931" s="148"/>
      <c r="E931" s="207"/>
      <c r="F931" s="195"/>
      <c r="G931" s="195"/>
      <c r="H931" s="195"/>
      <c r="J931" s="99"/>
    </row>
    <row r="932" ht="15.75" customHeight="1">
      <c r="C932" s="148"/>
      <c r="D932" s="148"/>
      <c r="E932" s="207"/>
      <c r="F932" s="195"/>
      <c r="G932" s="195"/>
      <c r="H932" s="195"/>
      <c r="J932" s="99"/>
    </row>
    <row r="933" ht="15.75" customHeight="1">
      <c r="C933" s="148"/>
      <c r="D933" s="148"/>
      <c r="E933" s="207"/>
      <c r="F933" s="195"/>
      <c r="G933" s="195"/>
      <c r="H933" s="195"/>
      <c r="J933" s="99"/>
    </row>
    <row r="934" ht="15.75" customHeight="1">
      <c r="C934" s="148"/>
      <c r="D934" s="148"/>
      <c r="E934" s="207"/>
      <c r="F934" s="195"/>
      <c r="G934" s="195"/>
      <c r="H934" s="195"/>
      <c r="J934" s="99"/>
    </row>
    <row r="935" ht="15.75" customHeight="1">
      <c r="C935" s="148"/>
      <c r="D935" s="148"/>
      <c r="E935" s="207"/>
      <c r="F935" s="195"/>
      <c r="G935" s="195"/>
      <c r="H935" s="195"/>
      <c r="J935" s="99"/>
    </row>
    <row r="936" ht="15.75" customHeight="1">
      <c r="C936" s="148"/>
      <c r="D936" s="148"/>
      <c r="E936" s="207"/>
      <c r="F936" s="195"/>
      <c r="G936" s="195"/>
      <c r="H936" s="195"/>
      <c r="J936" s="99"/>
    </row>
    <row r="937" ht="15.75" customHeight="1">
      <c r="C937" s="148"/>
      <c r="D937" s="148"/>
      <c r="E937" s="207"/>
      <c r="F937" s="195"/>
      <c r="G937" s="195"/>
      <c r="H937" s="195"/>
      <c r="J937" s="99"/>
    </row>
    <row r="938" ht="15.75" customHeight="1">
      <c r="C938" s="148"/>
      <c r="D938" s="148"/>
      <c r="E938" s="207"/>
      <c r="F938" s="195"/>
      <c r="G938" s="195"/>
      <c r="H938" s="195"/>
      <c r="J938" s="99"/>
    </row>
    <row r="939" ht="15.75" customHeight="1">
      <c r="C939" s="148"/>
      <c r="D939" s="148"/>
      <c r="E939" s="207"/>
      <c r="F939" s="195"/>
      <c r="G939" s="195"/>
      <c r="H939" s="195"/>
      <c r="J939" s="99"/>
    </row>
    <row r="940" ht="15.75" customHeight="1">
      <c r="C940" s="148"/>
      <c r="D940" s="148"/>
      <c r="E940" s="207"/>
      <c r="F940" s="195"/>
      <c r="G940" s="195"/>
      <c r="H940" s="195"/>
      <c r="J940" s="99"/>
    </row>
    <row r="941" ht="15.75" customHeight="1">
      <c r="C941" s="148"/>
      <c r="D941" s="148"/>
      <c r="E941" s="207"/>
      <c r="F941" s="195"/>
      <c r="G941" s="195"/>
      <c r="H941" s="195"/>
      <c r="J941" s="99"/>
    </row>
    <row r="942" ht="15.75" customHeight="1">
      <c r="C942" s="148"/>
      <c r="D942" s="148"/>
      <c r="E942" s="207"/>
      <c r="F942" s="195"/>
      <c r="G942" s="195"/>
      <c r="H942" s="195"/>
      <c r="J942" s="99"/>
    </row>
    <row r="943" ht="15.75" customHeight="1">
      <c r="C943" s="148"/>
      <c r="D943" s="148"/>
      <c r="E943" s="207"/>
      <c r="F943" s="195"/>
      <c r="G943" s="195"/>
      <c r="H943" s="195"/>
      <c r="J943" s="99"/>
    </row>
    <row r="944" ht="15.75" customHeight="1">
      <c r="C944" s="148"/>
      <c r="D944" s="148"/>
      <c r="E944" s="207"/>
      <c r="F944" s="195"/>
      <c r="G944" s="195"/>
      <c r="H944" s="195"/>
      <c r="J944" s="99"/>
    </row>
    <row r="945" ht="15.75" customHeight="1">
      <c r="C945" s="148"/>
      <c r="D945" s="148"/>
      <c r="E945" s="207"/>
      <c r="F945" s="195"/>
      <c r="G945" s="195"/>
      <c r="H945" s="195"/>
      <c r="J945" s="99"/>
    </row>
    <row r="946" ht="15.75" customHeight="1">
      <c r="C946" s="148"/>
      <c r="D946" s="148"/>
      <c r="E946" s="207"/>
      <c r="F946" s="195"/>
      <c r="G946" s="195"/>
      <c r="H946" s="195"/>
      <c r="J946" s="99"/>
    </row>
    <row r="947" ht="15.75" customHeight="1">
      <c r="C947" s="148"/>
      <c r="D947" s="148"/>
      <c r="E947" s="207"/>
      <c r="F947" s="195"/>
      <c r="G947" s="195"/>
      <c r="H947" s="195"/>
      <c r="J947" s="99"/>
    </row>
    <row r="948" ht="15.75" customHeight="1">
      <c r="C948" s="148"/>
      <c r="D948" s="148"/>
      <c r="E948" s="207"/>
      <c r="F948" s="195"/>
      <c r="G948" s="195"/>
      <c r="H948" s="195"/>
      <c r="J948" s="99"/>
    </row>
    <row r="949" ht="15.75" customHeight="1">
      <c r="C949" s="148"/>
      <c r="D949" s="148"/>
      <c r="E949" s="207"/>
      <c r="F949" s="195"/>
      <c r="G949" s="195"/>
      <c r="H949" s="195"/>
      <c r="J949" s="99"/>
    </row>
    <row r="950" ht="15.75" customHeight="1">
      <c r="C950" s="148"/>
      <c r="D950" s="148"/>
      <c r="E950" s="207"/>
      <c r="F950" s="195"/>
      <c r="G950" s="195"/>
      <c r="H950" s="195"/>
      <c r="J950" s="99"/>
    </row>
    <row r="951" ht="15.75" customHeight="1">
      <c r="C951" s="148"/>
      <c r="D951" s="148"/>
      <c r="E951" s="207"/>
      <c r="F951" s="195"/>
      <c r="G951" s="195"/>
      <c r="H951" s="195"/>
      <c r="J951" s="99"/>
    </row>
    <row r="952" ht="15.75" customHeight="1">
      <c r="C952" s="148"/>
      <c r="D952" s="148"/>
      <c r="E952" s="207"/>
      <c r="F952" s="195"/>
      <c r="G952" s="195"/>
      <c r="H952" s="195"/>
      <c r="J952" s="99"/>
    </row>
    <row r="953" ht="15.75" customHeight="1">
      <c r="C953" s="148"/>
      <c r="D953" s="148"/>
      <c r="E953" s="207"/>
      <c r="F953" s="195"/>
      <c r="G953" s="195"/>
      <c r="H953" s="195"/>
      <c r="J953" s="99"/>
    </row>
    <row r="954" ht="15.75" customHeight="1">
      <c r="C954" s="148"/>
      <c r="D954" s="148"/>
      <c r="E954" s="207"/>
      <c r="F954" s="195"/>
      <c r="G954" s="195"/>
      <c r="H954" s="195"/>
      <c r="J954" s="99"/>
    </row>
    <row r="955" ht="15.75" customHeight="1">
      <c r="C955" s="148"/>
      <c r="D955" s="148"/>
      <c r="E955" s="207"/>
      <c r="F955" s="195"/>
      <c r="G955" s="195"/>
      <c r="H955" s="195"/>
      <c r="J955" s="99"/>
    </row>
    <row r="956" ht="15.75" customHeight="1">
      <c r="C956" s="148"/>
      <c r="D956" s="148"/>
      <c r="E956" s="207"/>
      <c r="F956" s="195"/>
      <c r="G956" s="195"/>
      <c r="H956" s="195"/>
      <c r="J956" s="99"/>
    </row>
    <row r="957" ht="15.75" customHeight="1">
      <c r="C957" s="148"/>
      <c r="D957" s="148"/>
      <c r="E957" s="207"/>
      <c r="F957" s="195"/>
      <c r="G957" s="195"/>
      <c r="H957" s="195"/>
      <c r="J957" s="99"/>
    </row>
    <row r="958" ht="15.75" customHeight="1">
      <c r="C958" s="148"/>
      <c r="D958" s="148"/>
      <c r="E958" s="207"/>
      <c r="F958" s="195"/>
      <c r="G958" s="195"/>
      <c r="H958" s="195"/>
      <c r="J958" s="99"/>
    </row>
    <row r="959" ht="15.75" customHeight="1">
      <c r="C959" s="148"/>
      <c r="D959" s="148"/>
      <c r="E959" s="207"/>
      <c r="F959" s="195"/>
      <c r="G959" s="195"/>
      <c r="H959" s="195"/>
      <c r="J959" s="99"/>
    </row>
    <row r="960" ht="15.75" customHeight="1">
      <c r="C960" s="148"/>
      <c r="D960" s="148"/>
      <c r="E960" s="207"/>
      <c r="F960" s="195"/>
      <c r="G960" s="195"/>
      <c r="H960" s="195"/>
      <c r="J960" s="99"/>
    </row>
    <row r="961" ht="15.75" customHeight="1">
      <c r="C961" s="148"/>
      <c r="D961" s="148"/>
      <c r="E961" s="207"/>
      <c r="F961" s="195"/>
      <c r="G961" s="195"/>
      <c r="H961" s="195"/>
      <c r="J961" s="99"/>
    </row>
    <row r="962" ht="15.75" customHeight="1">
      <c r="C962" s="148"/>
      <c r="D962" s="148"/>
      <c r="E962" s="207"/>
      <c r="F962" s="195"/>
      <c r="G962" s="195"/>
      <c r="H962" s="195"/>
      <c r="J962" s="99"/>
    </row>
    <row r="963" ht="15.75" customHeight="1">
      <c r="C963" s="148"/>
      <c r="D963" s="148"/>
      <c r="E963" s="207"/>
      <c r="F963" s="195"/>
      <c r="G963" s="195"/>
      <c r="H963" s="195"/>
      <c r="J963" s="99"/>
    </row>
    <row r="964" ht="15.75" customHeight="1">
      <c r="C964" s="148"/>
      <c r="D964" s="148"/>
      <c r="E964" s="207"/>
      <c r="F964" s="195"/>
      <c r="G964" s="195"/>
      <c r="H964" s="195"/>
      <c r="J964" s="99"/>
    </row>
    <row r="965" ht="15.75" customHeight="1">
      <c r="C965" s="148"/>
      <c r="D965" s="148"/>
      <c r="E965" s="207"/>
      <c r="F965" s="195"/>
      <c r="G965" s="195"/>
      <c r="H965" s="195"/>
      <c r="J965" s="99"/>
    </row>
    <row r="966" ht="15.75" customHeight="1">
      <c r="C966" s="148"/>
      <c r="D966" s="148"/>
      <c r="E966" s="207"/>
      <c r="F966" s="195"/>
      <c r="G966" s="195"/>
      <c r="H966" s="195"/>
      <c r="J966" s="99"/>
    </row>
    <row r="967" ht="15.75" customHeight="1">
      <c r="C967" s="148"/>
      <c r="D967" s="148"/>
      <c r="E967" s="207"/>
      <c r="F967" s="195"/>
      <c r="G967" s="195"/>
      <c r="H967" s="195"/>
      <c r="J967" s="99"/>
    </row>
    <row r="968" ht="15.75" customHeight="1">
      <c r="C968" s="148"/>
      <c r="D968" s="148"/>
      <c r="E968" s="207"/>
      <c r="F968" s="195"/>
      <c r="G968" s="195"/>
      <c r="H968" s="195"/>
      <c r="J968" s="99"/>
    </row>
    <row r="969" ht="15.75" customHeight="1">
      <c r="C969" s="148"/>
      <c r="D969" s="148"/>
      <c r="E969" s="207"/>
      <c r="F969" s="195"/>
      <c r="G969" s="195"/>
      <c r="H969" s="195"/>
      <c r="J969" s="99"/>
    </row>
    <row r="970" ht="15.75" customHeight="1">
      <c r="C970" s="148"/>
      <c r="D970" s="148"/>
      <c r="E970" s="207"/>
      <c r="F970" s="195"/>
      <c r="G970" s="195"/>
      <c r="H970" s="195"/>
      <c r="J970" s="99"/>
    </row>
    <row r="971" ht="15.75" customHeight="1">
      <c r="C971" s="148"/>
      <c r="D971" s="148"/>
      <c r="E971" s="207"/>
      <c r="F971" s="195"/>
      <c r="G971" s="195"/>
      <c r="H971" s="195"/>
      <c r="J971" s="99"/>
    </row>
    <row r="972" ht="15.75" customHeight="1">
      <c r="C972" s="148"/>
      <c r="D972" s="148"/>
      <c r="E972" s="207"/>
      <c r="F972" s="195"/>
      <c r="G972" s="195"/>
      <c r="H972" s="195"/>
      <c r="J972" s="99"/>
    </row>
    <row r="973" ht="15.75" customHeight="1">
      <c r="C973" s="148"/>
      <c r="D973" s="148"/>
      <c r="E973" s="207"/>
      <c r="F973" s="195"/>
      <c r="G973" s="195"/>
      <c r="H973" s="195"/>
      <c r="J973" s="99"/>
    </row>
    <row r="974" ht="15.75" customHeight="1">
      <c r="C974" s="148"/>
      <c r="D974" s="148"/>
      <c r="E974" s="207"/>
      <c r="F974" s="195"/>
      <c r="G974" s="195"/>
      <c r="H974" s="195"/>
      <c r="J974" s="99"/>
    </row>
    <row r="975" ht="15.75" customHeight="1">
      <c r="C975" s="148"/>
      <c r="D975" s="148"/>
      <c r="E975" s="207"/>
      <c r="F975" s="195"/>
      <c r="G975" s="195"/>
      <c r="H975" s="195"/>
      <c r="J975" s="99"/>
    </row>
    <row r="976" ht="15.75" customHeight="1">
      <c r="C976" s="148"/>
      <c r="D976" s="148"/>
      <c r="E976" s="207"/>
      <c r="F976" s="195"/>
      <c r="G976" s="195"/>
      <c r="H976" s="195"/>
      <c r="J976" s="99"/>
    </row>
    <row r="977" ht="15.75" customHeight="1">
      <c r="C977" s="148"/>
      <c r="D977" s="148"/>
      <c r="E977" s="207"/>
      <c r="F977" s="195"/>
      <c r="G977" s="195"/>
      <c r="H977" s="195"/>
      <c r="J977" s="99"/>
    </row>
    <row r="978" ht="15.75" customHeight="1">
      <c r="C978" s="148"/>
      <c r="D978" s="148"/>
      <c r="E978" s="207"/>
      <c r="F978" s="195"/>
      <c r="G978" s="195"/>
      <c r="H978" s="195"/>
      <c r="J978" s="99"/>
    </row>
    <row r="979" ht="15.75" customHeight="1">
      <c r="C979" s="148"/>
      <c r="D979" s="148"/>
      <c r="E979" s="207"/>
      <c r="F979" s="195"/>
      <c r="G979" s="195"/>
      <c r="H979" s="195"/>
      <c r="J979" s="99"/>
    </row>
    <row r="980" ht="15.75" customHeight="1">
      <c r="C980" s="148"/>
      <c r="D980" s="148"/>
      <c r="E980" s="207"/>
      <c r="F980" s="195"/>
      <c r="G980" s="195"/>
      <c r="H980" s="195"/>
      <c r="J980" s="99"/>
    </row>
    <row r="981" ht="15.75" customHeight="1">
      <c r="C981" s="148"/>
      <c r="D981" s="148"/>
      <c r="E981" s="207"/>
      <c r="F981" s="195"/>
      <c r="G981" s="195"/>
      <c r="H981" s="195"/>
      <c r="J981" s="99"/>
    </row>
    <row r="982" ht="15.75" customHeight="1">
      <c r="C982" s="148"/>
      <c r="D982" s="148"/>
      <c r="E982" s="207"/>
      <c r="F982" s="195"/>
      <c r="G982" s="195"/>
      <c r="H982" s="195"/>
      <c r="J982" s="99"/>
    </row>
    <row r="983" ht="15.75" customHeight="1">
      <c r="C983" s="148"/>
      <c r="D983" s="148"/>
      <c r="E983" s="207"/>
      <c r="F983" s="195"/>
      <c r="G983" s="195"/>
      <c r="H983" s="195"/>
      <c r="J983" s="99"/>
    </row>
    <row r="984" ht="15.75" customHeight="1">
      <c r="C984" s="148"/>
      <c r="D984" s="148"/>
      <c r="E984" s="207"/>
      <c r="F984" s="195"/>
      <c r="G984" s="195"/>
      <c r="H984" s="195"/>
      <c r="J984" s="99"/>
    </row>
    <row r="985" ht="15.75" customHeight="1">
      <c r="C985" s="148"/>
      <c r="D985" s="148"/>
      <c r="E985" s="207"/>
      <c r="F985" s="195"/>
      <c r="G985" s="195"/>
      <c r="H985" s="195"/>
      <c r="J985" s="99"/>
    </row>
    <row r="986" ht="15.75" customHeight="1">
      <c r="C986" s="148"/>
      <c r="D986" s="148"/>
      <c r="E986" s="207"/>
      <c r="F986" s="195"/>
      <c r="G986" s="195"/>
      <c r="H986" s="195"/>
      <c r="J986" s="99"/>
    </row>
    <row r="987" ht="15.75" customHeight="1">
      <c r="C987" s="148"/>
      <c r="D987" s="148"/>
      <c r="E987" s="207"/>
      <c r="F987" s="195"/>
      <c r="G987" s="195"/>
      <c r="H987" s="195"/>
      <c r="J987" s="99"/>
    </row>
    <row r="988" ht="15.75" customHeight="1">
      <c r="C988" s="148"/>
      <c r="D988" s="148"/>
      <c r="E988" s="207"/>
      <c r="F988" s="195"/>
      <c r="G988" s="195"/>
      <c r="H988" s="195"/>
      <c r="J988" s="99"/>
    </row>
    <row r="989" ht="15.75" customHeight="1">
      <c r="C989" s="148"/>
      <c r="D989" s="148"/>
      <c r="E989" s="207"/>
      <c r="F989" s="195"/>
      <c r="G989" s="195"/>
      <c r="H989" s="195"/>
      <c r="J989" s="99"/>
    </row>
    <row r="990" ht="15.75" customHeight="1">
      <c r="C990" s="148"/>
      <c r="D990" s="148"/>
      <c r="E990" s="207"/>
      <c r="F990" s="195"/>
      <c r="G990" s="195"/>
      <c r="H990" s="195"/>
      <c r="J990" s="99"/>
    </row>
    <row r="991" ht="15.75" customHeight="1">
      <c r="C991" s="148"/>
      <c r="D991" s="148"/>
      <c r="E991" s="207"/>
      <c r="F991" s="195"/>
      <c r="G991" s="195"/>
      <c r="H991" s="195"/>
      <c r="J991" s="99"/>
    </row>
    <row r="992" ht="15.75" customHeight="1">
      <c r="C992" s="148"/>
      <c r="D992" s="148"/>
      <c r="E992" s="207"/>
      <c r="F992" s="195"/>
      <c r="G992" s="195"/>
      <c r="H992" s="195"/>
      <c r="J992" s="99"/>
    </row>
    <row r="993" ht="15.75" customHeight="1">
      <c r="C993" s="148"/>
      <c r="D993" s="148"/>
      <c r="E993" s="207"/>
      <c r="F993" s="195"/>
      <c r="G993" s="195"/>
      <c r="H993" s="195"/>
      <c r="J993" s="99"/>
    </row>
    <row r="994" ht="15.75" customHeight="1">
      <c r="C994" s="148"/>
      <c r="D994" s="148"/>
      <c r="E994" s="207"/>
      <c r="F994" s="195"/>
      <c r="G994" s="195"/>
      <c r="H994" s="195"/>
      <c r="J994" s="99"/>
    </row>
    <row r="995" ht="15.75" customHeight="1">
      <c r="C995" s="148"/>
      <c r="D995" s="148"/>
      <c r="E995" s="207"/>
      <c r="F995" s="195"/>
      <c r="G995" s="195"/>
      <c r="H995" s="195"/>
      <c r="J995" s="99"/>
    </row>
    <row r="996" ht="15.75" customHeight="1">
      <c r="C996" s="148"/>
      <c r="D996" s="148"/>
      <c r="E996" s="207"/>
      <c r="F996" s="195"/>
      <c r="G996" s="195"/>
      <c r="H996" s="195"/>
      <c r="J996" s="99"/>
    </row>
    <row r="997" ht="15.75" customHeight="1">
      <c r="C997" s="148"/>
      <c r="D997" s="148"/>
      <c r="E997" s="207"/>
      <c r="F997" s="195"/>
      <c r="G997" s="195"/>
      <c r="H997" s="195"/>
      <c r="J997" s="99"/>
    </row>
    <row r="998" ht="15.75" customHeight="1">
      <c r="C998" s="148"/>
      <c r="D998" s="148"/>
      <c r="E998" s="207"/>
      <c r="F998" s="195"/>
      <c r="G998" s="195"/>
      <c r="H998" s="195"/>
      <c r="J998" s="99"/>
    </row>
    <row r="999" ht="15.75" customHeight="1">
      <c r="C999" s="148"/>
      <c r="D999" s="148"/>
      <c r="E999" s="207"/>
      <c r="F999" s="195"/>
      <c r="G999" s="195"/>
      <c r="H999" s="195"/>
      <c r="J999" s="99"/>
    </row>
    <row r="1000" ht="15.75" customHeight="1">
      <c r="C1000" s="148"/>
      <c r="D1000" s="148"/>
      <c r="E1000" s="207"/>
      <c r="F1000" s="195"/>
      <c r="G1000" s="195"/>
      <c r="H1000" s="195"/>
      <c r="J1000" s="99"/>
    </row>
  </sheetData>
  <mergeCells count="4">
    <mergeCell ref="D2:H2"/>
    <mergeCell ref="A5:J5"/>
    <mergeCell ref="A13:J13"/>
    <mergeCell ref="A15:J15"/>
  </mergeCells>
  <hyperlinks>
    <hyperlink r:id="rId1" ref="D8"/>
    <hyperlink r:id="rId2" ref="D9"/>
    <hyperlink r:id="rId3" ref="D10"/>
  </hyperlinks>
  <printOptions/>
  <pageMargins bottom="0.75" footer="0.0" header="0.0" left="0.7" right="0.7" top="0.75"/>
  <pageSetup orientation="landscape"/>
  <drawing r:id="rId4"/>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t="s">
        <v>192</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413</v>
      </c>
      <c r="C7" s="21" t="s">
        <v>414</v>
      </c>
      <c r="D7" s="20" t="s">
        <v>415</v>
      </c>
      <c r="E7" s="49" t="s">
        <v>416</v>
      </c>
      <c r="F7" s="50" t="s">
        <v>417</v>
      </c>
      <c r="G7" s="51" t="s">
        <v>418</v>
      </c>
      <c r="H7" s="49" t="s">
        <v>19</v>
      </c>
      <c r="I7" s="49" t="s">
        <v>419</v>
      </c>
      <c r="J7" s="49" t="s">
        <v>420</v>
      </c>
      <c r="K7" s="24"/>
      <c r="L7" s="24"/>
      <c r="M7" s="24"/>
      <c r="N7" s="24"/>
      <c r="O7" s="24"/>
      <c r="P7" s="24"/>
      <c r="Q7" s="24"/>
      <c r="R7" s="24"/>
      <c r="S7" s="24"/>
      <c r="T7" s="24"/>
      <c r="U7" s="24"/>
      <c r="V7" s="24"/>
      <c r="W7" s="24"/>
      <c r="X7" s="24"/>
      <c r="Y7" s="24"/>
      <c r="Z7" s="24"/>
    </row>
    <row r="8" ht="123.0" customHeight="1">
      <c r="A8" s="67" t="s">
        <v>22</v>
      </c>
      <c r="B8" s="43" t="s">
        <v>231</v>
      </c>
      <c r="C8" s="27" t="s">
        <v>401</v>
      </c>
      <c r="D8" s="218" t="s">
        <v>421</v>
      </c>
      <c r="E8" s="123">
        <v>31900.0</v>
      </c>
      <c r="F8" s="123">
        <v>31900.0</v>
      </c>
      <c r="G8" s="45">
        <v>8.76</v>
      </c>
      <c r="H8" s="45" t="s">
        <v>204</v>
      </c>
      <c r="I8" s="219" t="s">
        <v>422</v>
      </c>
      <c r="J8" s="220" t="s">
        <v>423</v>
      </c>
    </row>
    <row r="9" ht="92.25" customHeight="1">
      <c r="A9" s="67" t="s">
        <v>31</v>
      </c>
      <c r="B9" s="56" t="s">
        <v>201</v>
      </c>
      <c r="C9" s="27" t="s">
        <v>202</v>
      </c>
      <c r="D9" s="139" t="s">
        <v>424</v>
      </c>
      <c r="E9" s="44">
        <v>28370.0</v>
      </c>
      <c r="F9" s="44">
        <v>28370.0</v>
      </c>
      <c r="G9" s="45">
        <v>7.79</v>
      </c>
      <c r="H9" s="45" t="s">
        <v>204</v>
      </c>
      <c r="I9" s="138" t="s">
        <v>205</v>
      </c>
      <c r="J9" s="221" t="s">
        <v>291</v>
      </c>
    </row>
    <row r="10" ht="123.0" customHeight="1">
      <c r="A10" s="67" t="s">
        <v>40</v>
      </c>
      <c r="B10" s="214" t="s">
        <v>201</v>
      </c>
      <c r="C10" s="52" t="s">
        <v>382</v>
      </c>
      <c r="D10" s="222" t="s">
        <v>425</v>
      </c>
      <c r="E10" s="123">
        <v>20999.0</v>
      </c>
      <c r="F10" s="123">
        <v>20999.0</v>
      </c>
      <c r="G10" s="45">
        <v>5.65</v>
      </c>
      <c r="H10" s="45" t="s">
        <v>204</v>
      </c>
      <c r="I10" s="145" t="s">
        <v>426</v>
      </c>
      <c r="J10" s="223" t="s">
        <v>427</v>
      </c>
    </row>
    <row r="11" ht="15.0" hidden="1" customHeight="1">
      <c r="A11" s="36"/>
      <c r="B11" s="78"/>
      <c r="C11" s="78"/>
      <c r="D11" s="78"/>
      <c r="E11" s="78"/>
      <c r="F11" s="78"/>
      <c r="G11" s="78"/>
      <c r="H11" s="78"/>
      <c r="I11" s="78"/>
      <c r="J11" s="78"/>
    </row>
    <row r="12" ht="12.75" customHeight="1"/>
    <row r="13" ht="138.75" customHeight="1">
      <c r="A13" s="39" t="s">
        <v>428</v>
      </c>
      <c r="B13" s="17"/>
      <c r="C13" s="17"/>
      <c r="D13" s="17"/>
      <c r="E13" s="17"/>
      <c r="F13" s="17"/>
      <c r="G13" s="17"/>
      <c r="H13" s="17"/>
      <c r="I13" s="17"/>
      <c r="J13" s="18"/>
    </row>
    <row r="14" ht="12.75" customHeight="1"/>
    <row r="15" ht="75.0" customHeight="1">
      <c r="A15" s="39" t="s">
        <v>429</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D2:H2"/>
    <mergeCell ref="A5:J5"/>
    <mergeCell ref="A13:J13"/>
    <mergeCell ref="A15:J15"/>
  </mergeCells>
  <hyperlinks>
    <hyperlink r:id="rId1" ref="D8"/>
    <hyperlink r:id="rId2" ref="D9"/>
    <hyperlink r:id="rId3" location="polycard_client=recommendations_vip-v2p&amp;reco_backend=ranker_retrieval_system_org&amp;reco_model=rk_ent_v3_retsys_org&amp;reco_client=vip-v2p&amp;reco_item_pos=1&amp;reco_backend_type=low_level&amp;reco_id=30c5e1a3-7b01-45ad-aa7f-6a4e19091b0b&amp;wid=MCO1854512255&amp;sid=recos" ref="D10"/>
  </hyperlinks>
  <printOptions/>
  <pageMargins bottom="0.75" footer="0.0" header="0.0" left="0.7" right="0.7" top="0.75"/>
  <pageSetup orientation="landscape"/>
  <drawing r:id="rId4"/>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c r="E1" s="195"/>
      <c r="F1" s="195"/>
      <c r="G1" s="195"/>
    </row>
    <row r="2" ht="27.75" customHeight="1">
      <c r="D2" s="15" t="s">
        <v>10</v>
      </c>
    </row>
    <row r="3" ht="12.75" customHeight="1">
      <c r="E3" s="195"/>
      <c r="F3" s="195"/>
      <c r="G3" s="195"/>
    </row>
    <row r="4" ht="12.75" customHeight="1">
      <c r="E4" s="195"/>
      <c r="F4" s="195"/>
      <c r="G4" s="195"/>
    </row>
    <row r="5" ht="43.5" customHeight="1">
      <c r="A5" s="16" t="s">
        <v>11</v>
      </c>
      <c r="B5" s="17"/>
      <c r="C5" s="17"/>
      <c r="D5" s="17"/>
      <c r="E5" s="17"/>
      <c r="F5" s="17"/>
      <c r="G5" s="17"/>
      <c r="H5" s="17"/>
      <c r="I5" s="17"/>
      <c r="J5" s="18"/>
    </row>
    <row r="6" ht="15.75" customHeight="1">
      <c r="E6" s="195"/>
      <c r="F6" s="195"/>
      <c r="G6" s="195"/>
    </row>
    <row r="7" ht="75.75" customHeight="1">
      <c r="A7" s="19" t="s">
        <v>12</v>
      </c>
      <c r="B7" s="49" t="s">
        <v>430</v>
      </c>
      <c r="C7" s="21" t="s">
        <v>431</v>
      </c>
      <c r="D7" s="49" t="s">
        <v>432</v>
      </c>
      <c r="E7" s="118" t="s">
        <v>433</v>
      </c>
      <c r="F7" s="224" t="s">
        <v>434</v>
      </c>
      <c r="G7" s="225" t="s">
        <v>435</v>
      </c>
      <c r="H7" s="49" t="s">
        <v>19</v>
      </c>
      <c r="I7" s="21" t="s">
        <v>436</v>
      </c>
      <c r="J7" s="137" t="s">
        <v>437</v>
      </c>
      <c r="K7" s="24"/>
      <c r="L7" s="24"/>
      <c r="M7" s="24"/>
      <c r="N7" s="24"/>
      <c r="O7" s="24"/>
      <c r="P7" s="24"/>
      <c r="Q7" s="24"/>
      <c r="R7" s="24"/>
      <c r="S7" s="24"/>
      <c r="T7" s="24"/>
      <c r="U7" s="24"/>
      <c r="V7" s="24"/>
      <c r="W7" s="24"/>
      <c r="X7" s="24"/>
      <c r="Y7" s="24"/>
      <c r="Z7" s="24"/>
    </row>
    <row r="8" ht="50.25" customHeight="1">
      <c r="A8" s="67" t="s">
        <v>22</v>
      </c>
      <c r="B8" s="138" t="s">
        <v>438</v>
      </c>
      <c r="C8" s="226" t="s">
        <v>439</v>
      </c>
      <c r="D8" s="227" t="s">
        <v>440</v>
      </c>
      <c r="E8" s="228" t="s">
        <v>441</v>
      </c>
      <c r="F8" s="229" t="s">
        <v>442</v>
      </c>
      <c r="G8" s="229" t="s">
        <v>443</v>
      </c>
      <c r="H8" s="230" t="s">
        <v>204</v>
      </c>
      <c r="I8" s="188" t="s">
        <v>444</v>
      </c>
      <c r="J8" s="142" t="s">
        <v>445</v>
      </c>
    </row>
    <row r="9" ht="50.25" customHeight="1">
      <c r="A9" s="67" t="s">
        <v>31</v>
      </c>
      <c r="B9" s="138" t="s">
        <v>446</v>
      </c>
      <c r="C9" s="227" t="s">
        <v>447</v>
      </c>
      <c r="D9" s="231" t="s">
        <v>448</v>
      </c>
      <c r="E9" s="232" t="s">
        <v>449</v>
      </c>
      <c r="F9" s="229" t="s">
        <v>450</v>
      </c>
      <c r="G9" s="229" t="s">
        <v>451</v>
      </c>
      <c r="H9" s="230" t="s">
        <v>204</v>
      </c>
      <c r="I9" s="188" t="s">
        <v>452</v>
      </c>
      <c r="J9" s="142" t="s">
        <v>453</v>
      </c>
    </row>
    <row r="10" ht="50.25" customHeight="1">
      <c r="A10" s="67" t="s">
        <v>40</v>
      </c>
      <c r="B10" s="138" t="s">
        <v>454</v>
      </c>
      <c r="C10" s="227" t="s">
        <v>455</v>
      </c>
      <c r="D10" s="231" t="s">
        <v>456</v>
      </c>
      <c r="E10" s="232" t="s">
        <v>457</v>
      </c>
      <c r="F10" s="233" t="s">
        <v>458</v>
      </c>
      <c r="G10" s="229" t="s">
        <v>459</v>
      </c>
      <c r="H10" s="230" t="s">
        <v>460</v>
      </c>
      <c r="I10" s="188" t="s">
        <v>461</v>
      </c>
      <c r="J10" s="234" t="s">
        <v>462</v>
      </c>
    </row>
    <row r="11" ht="15.0" hidden="1" customHeight="1">
      <c r="A11" s="36"/>
      <c r="B11" s="78"/>
      <c r="C11" s="78"/>
      <c r="D11" s="78"/>
      <c r="E11" s="133"/>
      <c r="F11" s="133"/>
      <c r="G11" s="132">
        <f>F11+E11</f>
        <v>0</v>
      </c>
      <c r="H11" s="78"/>
      <c r="I11" s="78"/>
      <c r="J11" s="235"/>
    </row>
    <row r="12" ht="12.75" customHeight="1">
      <c r="E12" s="195"/>
      <c r="F12" s="195"/>
      <c r="G12" s="236"/>
      <c r="J12" s="100"/>
    </row>
    <row r="13" ht="138.75" customHeight="1">
      <c r="A13" s="39" t="s">
        <v>463</v>
      </c>
      <c r="B13" s="17"/>
      <c r="C13" s="17"/>
      <c r="D13" s="17"/>
      <c r="E13" s="17"/>
      <c r="F13" s="17"/>
      <c r="G13" s="17"/>
      <c r="H13" s="17"/>
      <c r="I13" s="17"/>
      <c r="J13" s="18"/>
    </row>
    <row r="14" ht="12.75" customHeight="1">
      <c r="E14" s="195"/>
      <c r="F14" s="195"/>
      <c r="G14" s="195"/>
    </row>
    <row r="15" ht="75.0" customHeight="1">
      <c r="A15" s="39" t="s">
        <v>464</v>
      </c>
      <c r="B15" s="17"/>
      <c r="C15" s="17"/>
      <c r="D15" s="17"/>
      <c r="E15" s="17"/>
      <c r="F15" s="17"/>
      <c r="G15" s="17"/>
      <c r="H15" s="17"/>
      <c r="I15" s="17"/>
      <c r="J15" s="18"/>
    </row>
    <row r="16" ht="12.75" customHeight="1">
      <c r="E16" s="195"/>
      <c r="F16" s="195"/>
      <c r="G16" s="195"/>
    </row>
    <row r="17" ht="12.75" customHeight="1">
      <c r="E17" s="195"/>
      <c r="F17" s="195"/>
      <c r="G17" s="195"/>
    </row>
    <row r="18" ht="12.75" customHeight="1">
      <c r="E18" s="195"/>
      <c r="F18" s="195"/>
      <c r="G18" s="195"/>
    </row>
    <row r="19" ht="12.75" customHeight="1">
      <c r="E19" s="195"/>
      <c r="F19" s="195"/>
      <c r="G19" s="195"/>
    </row>
    <row r="20" ht="12.75" customHeight="1">
      <c r="E20" s="195"/>
      <c r="F20" s="195"/>
      <c r="G20" s="195"/>
    </row>
    <row r="21" ht="12.75" customHeight="1">
      <c r="E21" s="195"/>
      <c r="F21" s="195"/>
      <c r="G21" s="195"/>
    </row>
    <row r="22" ht="12.75" customHeight="1">
      <c r="E22" s="195"/>
      <c r="F22" s="195"/>
      <c r="G22" s="195"/>
    </row>
    <row r="23" ht="12.75" customHeight="1">
      <c r="E23" s="195"/>
      <c r="F23" s="195"/>
      <c r="G23" s="195"/>
    </row>
    <row r="24" ht="12.75" customHeight="1">
      <c r="E24" s="195"/>
      <c r="F24" s="195"/>
      <c r="G24" s="195"/>
    </row>
    <row r="25" ht="12.75" customHeight="1">
      <c r="E25" s="195"/>
      <c r="F25" s="195"/>
      <c r="G25" s="195"/>
    </row>
    <row r="26" ht="12.75" customHeight="1">
      <c r="D26" s="40"/>
      <c r="E26" s="134"/>
      <c r="F26" s="202"/>
      <c r="G26" s="202"/>
    </row>
    <row r="27" ht="12.75" customHeight="1">
      <c r="E27" s="195"/>
      <c r="F27" s="195"/>
      <c r="G27" s="195"/>
    </row>
    <row r="28" ht="12.75" customHeight="1">
      <c r="E28" s="195"/>
      <c r="F28" s="195"/>
      <c r="G28" s="195"/>
    </row>
    <row r="29" ht="12.75" customHeight="1">
      <c r="E29" s="195"/>
      <c r="F29" s="195"/>
      <c r="G29" s="195"/>
    </row>
    <row r="30" ht="12.75" customHeight="1">
      <c r="E30" s="195"/>
      <c r="F30" s="195"/>
      <c r="G30" s="195"/>
    </row>
    <row r="31" ht="12.75" customHeight="1">
      <c r="E31" s="195"/>
      <c r="F31" s="195"/>
      <c r="G31" s="195"/>
    </row>
    <row r="32" ht="12.75" customHeight="1">
      <c r="E32" s="195"/>
      <c r="F32" s="195"/>
      <c r="G32" s="195"/>
    </row>
    <row r="33" ht="12.75" customHeight="1">
      <c r="E33" s="195"/>
      <c r="F33" s="195"/>
      <c r="G33" s="195"/>
    </row>
    <row r="34" ht="12.75" customHeight="1">
      <c r="E34" s="195"/>
      <c r="F34" s="195"/>
      <c r="G34" s="195"/>
    </row>
    <row r="35" ht="12.75" customHeight="1">
      <c r="E35" s="195"/>
      <c r="F35" s="195"/>
      <c r="G35" s="195"/>
    </row>
    <row r="36" ht="12.75" customHeight="1">
      <c r="E36" s="195"/>
      <c r="F36" s="195"/>
      <c r="G36" s="195"/>
    </row>
    <row r="37" ht="12.75" customHeight="1">
      <c r="E37" s="195"/>
      <c r="F37" s="195"/>
      <c r="G37" s="195"/>
    </row>
    <row r="38" ht="12.75" customHeight="1">
      <c r="E38" s="195"/>
      <c r="F38" s="195"/>
      <c r="G38" s="195"/>
    </row>
    <row r="39" ht="12.75" customHeight="1">
      <c r="E39" s="195"/>
      <c r="F39" s="195"/>
      <c r="G39" s="195"/>
    </row>
    <row r="40" ht="12.75" customHeight="1">
      <c r="E40" s="195"/>
      <c r="F40" s="195"/>
      <c r="G40" s="195"/>
    </row>
    <row r="41" ht="12.75" customHeight="1">
      <c r="E41" s="195"/>
      <c r="F41" s="195"/>
      <c r="G41" s="195"/>
    </row>
    <row r="42" ht="12.75" customHeight="1">
      <c r="E42" s="195"/>
      <c r="F42" s="195"/>
      <c r="G42" s="195"/>
    </row>
    <row r="43" ht="12.75" customHeight="1">
      <c r="E43" s="195"/>
      <c r="F43" s="195"/>
      <c r="G43" s="195"/>
    </row>
    <row r="44" ht="12.75" customHeight="1">
      <c r="E44" s="195"/>
      <c r="F44" s="195"/>
      <c r="G44" s="195"/>
    </row>
    <row r="45" ht="12.75" customHeight="1">
      <c r="E45" s="195"/>
      <c r="F45" s="195"/>
      <c r="G45" s="195"/>
    </row>
    <row r="46" ht="12.75" customHeight="1">
      <c r="E46" s="195"/>
      <c r="F46" s="195"/>
      <c r="G46" s="195"/>
    </row>
    <row r="47" ht="12.75" customHeight="1">
      <c r="E47" s="195"/>
      <c r="F47" s="195"/>
      <c r="G47" s="195"/>
    </row>
    <row r="48" ht="12.75" customHeight="1">
      <c r="E48" s="195"/>
      <c r="F48" s="195"/>
      <c r="G48" s="195"/>
    </row>
    <row r="49" ht="12.75" customHeight="1">
      <c r="E49" s="195"/>
      <c r="F49" s="195"/>
      <c r="G49" s="195"/>
    </row>
    <row r="50" ht="12.75" customHeight="1">
      <c r="E50" s="195"/>
      <c r="F50" s="195"/>
      <c r="G50" s="195"/>
    </row>
    <row r="51" ht="12.75" customHeight="1">
      <c r="E51" s="195"/>
      <c r="F51" s="195"/>
      <c r="G51" s="195"/>
    </row>
    <row r="52" ht="12.75" customHeight="1">
      <c r="E52" s="195"/>
      <c r="F52" s="195"/>
      <c r="G52" s="195"/>
    </row>
    <row r="53" ht="12.75" customHeight="1">
      <c r="E53" s="195"/>
      <c r="F53" s="195"/>
      <c r="G53" s="195"/>
    </row>
    <row r="54" ht="12.75" customHeight="1">
      <c r="E54" s="195"/>
      <c r="F54" s="195"/>
      <c r="G54" s="195"/>
    </row>
    <row r="55" ht="12.75" customHeight="1">
      <c r="E55" s="195"/>
      <c r="F55" s="195"/>
      <c r="G55" s="195"/>
    </row>
    <row r="56" ht="12.75" customHeight="1">
      <c r="E56" s="195"/>
      <c r="F56" s="195"/>
      <c r="G56" s="195"/>
    </row>
    <row r="57" ht="12.75" customHeight="1">
      <c r="E57" s="195"/>
      <c r="F57" s="195"/>
      <c r="G57" s="195"/>
    </row>
    <row r="58" ht="12.75" customHeight="1">
      <c r="E58" s="195"/>
      <c r="F58" s="195"/>
      <c r="G58" s="195"/>
    </row>
    <row r="59" ht="12.75" customHeight="1">
      <c r="E59" s="195"/>
      <c r="F59" s="195"/>
      <c r="G59" s="195"/>
    </row>
    <row r="60" ht="12.75" customHeight="1">
      <c r="E60" s="195"/>
      <c r="F60" s="195"/>
      <c r="G60" s="195"/>
    </row>
    <row r="61" ht="12.75" customHeight="1">
      <c r="E61" s="195"/>
      <c r="F61" s="195"/>
      <c r="G61" s="195"/>
    </row>
    <row r="62" ht="12.75" customHeight="1">
      <c r="E62" s="195"/>
      <c r="F62" s="195"/>
      <c r="G62" s="195"/>
    </row>
    <row r="63" ht="12.75" customHeight="1">
      <c r="E63" s="195"/>
      <c r="F63" s="195"/>
      <c r="G63" s="195"/>
    </row>
    <row r="64" ht="12.75" customHeight="1">
      <c r="E64" s="195"/>
      <c r="F64" s="195"/>
      <c r="G64" s="195"/>
    </row>
    <row r="65" ht="12.75" customHeight="1">
      <c r="E65" s="195"/>
      <c r="F65" s="195"/>
      <c r="G65" s="195"/>
    </row>
    <row r="66" ht="12.75" customHeight="1">
      <c r="E66" s="195"/>
      <c r="F66" s="195"/>
      <c r="G66" s="195"/>
    </row>
    <row r="67" ht="12.75" customHeight="1">
      <c r="E67" s="195"/>
      <c r="F67" s="195"/>
      <c r="G67" s="195"/>
    </row>
    <row r="68" ht="12.75" customHeight="1">
      <c r="E68" s="195"/>
      <c r="F68" s="195"/>
      <c r="G68" s="195"/>
    </row>
    <row r="69" ht="12.75" customHeight="1">
      <c r="E69" s="195"/>
      <c r="F69" s="195"/>
      <c r="G69" s="195"/>
    </row>
    <row r="70" ht="12.75" customHeight="1">
      <c r="E70" s="195"/>
      <c r="F70" s="195"/>
      <c r="G70" s="195"/>
    </row>
    <row r="71" ht="12.75" customHeight="1">
      <c r="E71" s="195"/>
      <c r="F71" s="195"/>
      <c r="G71" s="195"/>
    </row>
    <row r="72" ht="12.75" customHeight="1">
      <c r="E72" s="195"/>
      <c r="F72" s="195"/>
      <c r="G72" s="195"/>
    </row>
    <row r="73" ht="12.75" customHeight="1">
      <c r="E73" s="195"/>
      <c r="F73" s="195"/>
      <c r="G73" s="195"/>
    </row>
    <row r="74" ht="12.75" customHeight="1">
      <c r="E74" s="195"/>
      <c r="F74" s="195"/>
      <c r="G74" s="195"/>
    </row>
    <row r="75" ht="12.75" customHeight="1">
      <c r="E75" s="195"/>
      <c r="F75" s="195"/>
      <c r="G75" s="195"/>
    </row>
    <row r="76" ht="12.75" customHeight="1">
      <c r="E76" s="195"/>
      <c r="F76" s="195"/>
      <c r="G76" s="195"/>
    </row>
    <row r="77" ht="12.75" customHeight="1">
      <c r="E77" s="195"/>
      <c r="F77" s="195"/>
      <c r="G77" s="195"/>
    </row>
    <row r="78" ht="12.75" customHeight="1">
      <c r="E78" s="195"/>
      <c r="F78" s="195"/>
      <c r="G78" s="195"/>
    </row>
    <row r="79" ht="12.75" customHeight="1">
      <c r="E79" s="195"/>
      <c r="F79" s="195"/>
      <c r="G79" s="195"/>
    </row>
    <row r="80" ht="12.75" customHeight="1">
      <c r="E80" s="195"/>
      <c r="F80" s="195"/>
      <c r="G80" s="195"/>
    </row>
    <row r="81" ht="12.75" customHeight="1">
      <c r="E81" s="195"/>
      <c r="F81" s="195"/>
      <c r="G81" s="195"/>
    </row>
    <row r="82" ht="12.75" customHeight="1">
      <c r="E82" s="195"/>
      <c r="F82" s="195"/>
      <c r="G82" s="195"/>
    </row>
    <row r="83" ht="12.75" customHeight="1">
      <c r="E83" s="195"/>
      <c r="F83" s="195"/>
      <c r="G83" s="195"/>
    </row>
    <row r="84" ht="12.75" customHeight="1">
      <c r="E84" s="195"/>
      <c r="F84" s="195"/>
      <c r="G84" s="195"/>
    </row>
    <row r="85" ht="12.75" customHeight="1">
      <c r="E85" s="195"/>
      <c r="F85" s="195"/>
      <c r="G85" s="195"/>
    </row>
    <row r="86" ht="12.75" customHeight="1">
      <c r="E86" s="195"/>
      <c r="F86" s="195"/>
      <c r="G86" s="195"/>
    </row>
    <row r="87" ht="12.75" customHeight="1">
      <c r="E87" s="195"/>
      <c r="F87" s="195"/>
      <c r="G87" s="195"/>
    </row>
    <row r="88" ht="12.75" customHeight="1">
      <c r="E88" s="195"/>
      <c r="F88" s="195"/>
      <c r="G88" s="195"/>
    </row>
    <row r="89" ht="12.75" customHeight="1">
      <c r="E89" s="195"/>
      <c r="F89" s="195"/>
      <c r="G89" s="195"/>
    </row>
    <row r="90" ht="12.75" customHeight="1">
      <c r="E90" s="195"/>
      <c r="F90" s="195"/>
      <c r="G90" s="195"/>
    </row>
    <row r="91" ht="12.75" customHeight="1">
      <c r="E91" s="195"/>
      <c r="F91" s="195"/>
      <c r="G91" s="195"/>
    </row>
    <row r="92" ht="12.75" customHeight="1">
      <c r="E92" s="195"/>
      <c r="F92" s="195"/>
      <c r="G92" s="195"/>
    </row>
    <row r="93" ht="12.75" customHeight="1">
      <c r="E93" s="195"/>
      <c r="F93" s="195"/>
      <c r="G93" s="195"/>
    </row>
    <row r="94" ht="12.75" customHeight="1">
      <c r="E94" s="195"/>
      <c r="F94" s="195"/>
      <c r="G94" s="195"/>
    </row>
    <row r="95" ht="12.75" customHeight="1">
      <c r="E95" s="195"/>
      <c r="F95" s="195"/>
      <c r="G95" s="195"/>
    </row>
    <row r="96" ht="12.75" customHeight="1">
      <c r="E96" s="195"/>
      <c r="F96" s="195"/>
      <c r="G96" s="195"/>
    </row>
    <row r="97" ht="12.75" customHeight="1">
      <c r="E97" s="195"/>
      <c r="F97" s="195"/>
      <c r="G97" s="195"/>
    </row>
    <row r="98" ht="12.75" customHeight="1">
      <c r="E98" s="195"/>
      <c r="F98" s="195"/>
      <c r="G98" s="195"/>
    </row>
    <row r="99" ht="12.75" customHeight="1">
      <c r="E99" s="195"/>
      <c r="F99" s="195"/>
      <c r="G99" s="195"/>
    </row>
    <row r="100" ht="12.75" customHeight="1">
      <c r="E100" s="195"/>
      <c r="F100" s="195"/>
      <c r="G100" s="195"/>
    </row>
    <row r="101" ht="12.75" customHeight="1">
      <c r="E101" s="195"/>
      <c r="F101" s="195"/>
      <c r="G101" s="195"/>
    </row>
    <row r="102" ht="12.75" customHeight="1">
      <c r="E102" s="195"/>
      <c r="F102" s="195"/>
      <c r="G102" s="195"/>
    </row>
    <row r="103" ht="12.75" customHeight="1">
      <c r="E103" s="195"/>
      <c r="F103" s="195"/>
      <c r="G103" s="195"/>
    </row>
    <row r="104" ht="12.75" customHeight="1">
      <c r="E104" s="195"/>
      <c r="F104" s="195"/>
      <c r="G104" s="195"/>
    </row>
    <row r="105" ht="12.75" customHeight="1">
      <c r="E105" s="195"/>
      <c r="F105" s="195"/>
      <c r="G105" s="195"/>
    </row>
    <row r="106" ht="12.75" customHeight="1">
      <c r="E106" s="195"/>
      <c r="F106" s="195"/>
      <c r="G106" s="195"/>
    </row>
    <row r="107" ht="12.75" customHeight="1">
      <c r="E107" s="195"/>
      <c r="F107" s="195"/>
      <c r="G107" s="195"/>
    </row>
    <row r="108" ht="12.75" customHeight="1">
      <c r="E108" s="195"/>
      <c r="F108" s="195"/>
      <c r="G108" s="195"/>
    </row>
    <row r="109" ht="12.75" customHeight="1">
      <c r="E109" s="195"/>
      <c r="F109" s="195"/>
      <c r="G109" s="195"/>
    </row>
    <row r="110" ht="12.75" customHeight="1">
      <c r="E110" s="195"/>
      <c r="F110" s="195"/>
      <c r="G110" s="195"/>
    </row>
    <row r="111" ht="12.75" customHeight="1">
      <c r="E111" s="195"/>
      <c r="F111" s="195"/>
      <c r="G111" s="195"/>
    </row>
    <row r="112" ht="12.75" customHeight="1">
      <c r="E112" s="195"/>
      <c r="F112" s="195"/>
      <c r="G112" s="195"/>
    </row>
    <row r="113" ht="12.75" customHeight="1">
      <c r="E113" s="195"/>
      <c r="F113" s="195"/>
      <c r="G113" s="195"/>
    </row>
    <row r="114" ht="12.75" customHeight="1">
      <c r="E114" s="195"/>
      <c r="F114" s="195"/>
      <c r="G114" s="195"/>
    </row>
    <row r="115" ht="12.75" customHeight="1">
      <c r="E115" s="195"/>
      <c r="F115" s="195"/>
      <c r="G115" s="195"/>
    </row>
    <row r="116" ht="12.75" customHeight="1">
      <c r="E116" s="195"/>
      <c r="F116" s="195"/>
      <c r="G116" s="195"/>
    </row>
    <row r="117" ht="12.75" customHeight="1">
      <c r="E117" s="195"/>
      <c r="F117" s="195"/>
      <c r="G117" s="195"/>
    </row>
    <row r="118" ht="12.75" customHeight="1">
      <c r="E118" s="195"/>
      <c r="F118" s="195"/>
      <c r="G118" s="195"/>
    </row>
    <row r="119" ht="12.75" customHeight="1">
      <c r="E119" s="195"/>
      <c r="F119" s="195"/>
      <c r="G119" s="195"/>
    </row>
    <row r="120" ht="12.75" customHeight="1">
      <c r="E120" s="195"/>
      <c r="F120" s="195"/>
      <c r="G120" s="195"/>
    </row>
    <row r="121" ht="12.75" customHeight="1">
      <c r="E121" s="195"/>
      <c r="F121" s="195"/>
      <c r="G121" s="195"/>
    </row>
    <row r="122" ht="12.75" customHeight="1">
      <c r="E122" s="195"/>
      <c r="F122" s="195"/>
      <c r="G122" s="195"/>
    </row>
    <row r="123" ht="12.75" customHeight="1">
      <c r="E123" s="195"/>
      <c r="F123" s="195"/>
      <c r="G123" s="195"/>
    </row>
    <row r="124" ht="12.75" customHeight="1">
      <c r="E124" s="195"/>
      <c r="F124" s="195"/>
      <c r="G124" s="195"/>
    </row>
    <row r="125" ht="12.75" customHeight="1">
      <c r="E125" s="195"/>
      <c r="F125" s="195"/>
      <c r="G125" s="195"/>
    </row>
    <row r="126" ht="12.75" customHeight="1">
      <c r="E126" s="195"/>
      <c r="F126" s="195"/>
      <c r="G126" s="195"/>
    </row>
    <row r="127" ht="12.75" customHeight="1">
      <c r="E127" s="195"/>
      <c r="F127" s="195"/>
      <c r="G127" s="195"/>
    </row>
    <row r="128" ht="12.75" customHeight="1">
      <c r="E128" s="195"/>
      <c r="F128" s="195"/>
      <c r="G128" s="195"/>
    </row>
    <row r="129" ht="12.75" customHeight="1">
      <c r="E129" s="195"/>
      <c r="F129" s="195"/>
      <c r="G129" s="195"/>
    </row>
    <row r="130" ht="12.75" customHeight="1">
      <c r="E130" s="195"/>
      <c r="F130" s="195"/>
      <c r="G130" s="195"/>
    </row>
    <row r="131" ht="12.75" customHeight="1">
      <c r="E131" s="195"/>
      <c r="F131" s="195"/>
      <c r="G131" s="195"/>
    </row>
    <row r="132" ht="12.75" customHeight="1">
      <c r="E132" s="195"/>
      <c r="F132" s="195"/>
      <c r="G132" s="195"/>
    </row>
    <row r="133" ht="12.75" customHeight="1">
      <c r="E133" s="195"/>
      <c r="F133" s="195"/>
      <c r="G133" s="195"/>
    </row>
    <row r="134" ht="12.75" customHeight="1">
      <c r="E134" s="195"/>
      <c r="F134" s="195"/>
      <c r="G134" s="195"/>
    </row>
    <row r="135" ht="12.75" customHeight="1">
      <c r="E135" s="195"/>
      <c r="F135" s="195"/>
      <c r="G135" s="195"/>
    </row>
    <row r="136" ht="12.75" customHeight="1">
      <c r="E136" s="195"/>
      <c r="F136" s="195"/>
      <c r="G136" s="195"/>
    </row>
    <row r="137" ht="12.75" customHeight="1">
      <c r="E137" s="195"/>
      <c r="F137" s="195"/>
      <c r="G137" s="195"/>
    </row>
    <row r="138" ht="12.75" customHeight="1">
      <c r="E138" s="195"/>
      <c r="F138" s="195"/>
      <c r="G138" s="195"/>
    </row>
    <row r="139" ht="12.75" customHeight="1">
      <c r="E139" s="195"/>
      <c r="F139" s="195"/>
      <c r="G139" s="195"/>
    </row>
    <row r="140" ht="12.75" customHeight="1">
      <c r="E140" s="195"/>
      <c r="F140" s="195"/>
      <c r="G140" s="195"/>
    </row>
    <row r="141" ht="12.75" customHeight="1">
      <c r="E141" s="195"/>
      <c r="F141" s="195"/>
      <c r="G141" s="195"/>
    </row>
    <row r="142" ht="12.75" customHeight="1">
      <c r="E142" s="195"/>
      <c r="F142" s="195"/>
      <c r="G142" s="195"/>
    </row>
    <row r="143" ht="12.75" customHeight="1">
      <c r="E143" s="195"/>
      <c r="F143" s="195"/>
      <c r="G143" s="195"/>
    </row>
    <row r="144" ht="12.75" customHeight="1">
      <c r="E144" s="195"/>
      <c r="F144" s="195"/>
      <c r="G144" s="195"/>
    </row>
    <row r="145" ht="12.75" customHeight="1">
      <c r="E145" s="195"/>
      <c r="F145" s="195"/>
      <c r="G145" s="195"/>
    </row>
    <row r="146" ht="12.75" customHeight="1">
      <c r="E146" s="195"/>
      <c r="F146" s="195"/>
      <c r="G146" s="195"/>
    </row>
    <row r="147" ht="12.75" customHeight="1">
      <c r="E147" s="195"/>
      <c r="F147" s="195"/>
      <c r="G147" s="195"/>
    </row>
    <row r="148" ht="12.75" customHeight="1">
      <c r="E148" s="195"/>
      <c r="F148" s="195"/>
      <c r="G148" s="195"/>
    </row>
    <row r="149" ht="12.75" customHeight="1">
      <c r="E149" s="195"/>
      <c r="F149" s="195"/>
      <c r="G149" s="195"/>
    </row>
    <row r="150" ht="12.75" customHeight="1">
      <c r="E150" s="195"/>
      <c r="F150" s="195"/>
      <c r="G150" s="195"/>
    </row>
    <row r="151" ht="12.75" customHeight="1">
      <c r="E151" s="195"/>
      <c r="F151" s="195"/>
      <c r="G151" s="195"/>
    </row>
    <row r="152" ht="12.75" customHeight="1">
      <c r="E152" s="195"/>
      <c r="F152" s="195"/>
      <c r="G152" s="195"/>
    </row>
    <row r="153" ht="12.75" customHeight="1">
      <c r="E153" s="195"/>
      <c r="F153" s="195"/>
      <c r="G153" s="195"/>
    </row>
    <row r="154" ht="12.75" customHeight="1">
      <c r="E154" s="195"/>
      <c r="F154" s="195"/>
      <c r="G154" s="195"/>
    </row>
    <row r="155" ht="12.75" customHeight="1">
      <c r="E155" s="195"/>
      <c r="F155" s="195"/>
      <c r="G155" s="195"/>
    </row>
    <row r="156" ht="12.75" customHeight="1">
      <c r="E156" s="195"/>
      <c r="F156" s="195"/>
      <c r="G156" s="195"/>
    </row>
    <row r="157" ht="12.75" customHeight="1">
      <c r="E157" s="195"/>
      <c r="F157" s="195"/>
      <c r="G157" s="195"/>
    </row>
    <row r="158" ht="12.75" customHeight="1">
      <c r="E158" s="195"/>
      <c r="F158" s="195"/>
      <c r="G158" s="195"/>
    </row>
    <row r="159" ht="12.75" customHeight="1">
      <c r="E159" s="195"/>
      <c r="F159" s="195"/>
      <c r="G159" s="195"/>
    </row>
    <row r="160" ht="12.75" customHeight="1">
      <c r="E160" s="195"/>
      <c r="F160" s="195"/>
      <c r="G160" s="195"/>
    </row>
    <row r="161" ht="12.75" customHeight="1">
      <c r="E161" s="195"/>
      <c r="F161" s="195"/>
      <c r="G161" s="195"/>
    </row>
    <row r="162" ht="12.75" customHeight="1">
      <c r="E162" s="195"/>
      <c r="F162" s="195"/>
      <c r="G162" s="195"/>
    </row>
    <row r="163" ht="12.75" customHeight="1">
      <c r="E163" s="195"/>
      <c r="F163" s="195"/>
      <c r="G163" s="195"/>
    </row>
    <row r="164" ht="12.75" customHeight="1">
      <c r="E164" s="195"/>
      <c r="F164" s="195"/>
      <c r="G164" s="195"/>
    </row>
    <row r="165" ht="12.75" customHeight="1">
      <c r="E165" s="195"/>
      <c r="F165" s="195"/>
      <c r="G165" s="195"/>
    </row>
    <row r="166" ht="12.75" customHeight="1">
      <c r="E166" s="195"/>
      <c r="F166" s="195"/>
      <c r="G166" s="195"/>
    </row>
    <row r="167" ht="12.75" customHeight="1">
      <c r="E167" s="195"/>
      <c r="F167" s="195"/>
      <c r="G167" s="195"/>
    </row>
    <row r="168" ht="12.75" customHeight="1">
      <c r="E168" s="195"/>
      <c r="F168" s="195"/>
      <c r="G168" s="195"/>
    </row>
    <row r="169" ht="12.75" customHeight="1">
      <c r="E169" s="195"/>
      <c r="F169" s="195"/>
      <c r="G169" s="195"/>
    </row>
    <row r="170" ht="12.75" customHeight="1">
      <c r="E170" s="195"/>
      <c r="F170" s="195"/>
      <c r="G170" s="195"/>
    </row>
    <row r="171" ht="12.75" customHeight="1">
      <c r="E171" s="195"/>
      <c r="F171" s="195"/>
      <c r="G171" s="195"/>
    </row>
    <row r="172" ht="12.75" customHeight="1">
      <c r="E172" s="195"/>
      <c r="F172" s="195"/>
      <c r="G172" s="195"/>
    </row>
    <row r="173" ht="12.75" customHeight="1">
      <c r="E173" s="195"/>
      <c r="F173" s="195"/>
      <c r="G173" s="195"/>
    </row>
    <row r="174" ht="12.75" customHeight="1">
      <c r="E174" s="195"/>
      <c r="F174" s="195"/>
      <c r="G174" s="195"/>
    </row>
    <row r="175" ht="12.75" customHeight="1">
      <c r="E175" s="195"/>
      <c r="F175" s="195"/>
      <c r="G175" s="195"/>
    </row>
    <row r="176" ht="12.75" customHeight="1">
      <c r="E176" s="195"/>
      <c r="F176" s="195"/>
      <c r="G176" s="195"/>
    </row>
    <row r="177" ht="12.75" customHeight="1">
      <c r="E177" s="195"/>
      <c r="F177" s="195"/>
      <c r="G177" s="195"/>
    </row>
    <row r="178" ht="12.75" customHeight="1">
      <c r="E178" s="195"/>
      <c r="F178" s="195"/>
      <c r="G178" s="195"/>
    </row>
    <row r="179" ht="12.75" customHeight="1">
      <c r="E179" s="195"/>
      <c r="F179" s="195"/>
      <c r="G179" s="195"/>
    </row>
    <row r="180" ht="12.75" customHeight="1">
      <c r="E180" s="195"/>
      <c r="F180" s="195"/>
      <c r="G180" s="195"/>
    </row>
    <row r="181" ht="12.75" customHeight="1">
      <c r="E181" s="195"/>
      <c r="F181" s="195"/>
      <c r="G181" s="195"/>
    </row>
    <row r="182" ht="12.75" customHeight="1">
      <c r="E182" s="195"/>
      <c r="F182" s="195"/>
      <c r="G182" s="195"/>
    </row>
    <row r="183" ht="12.75" customHeight="1">
      <c r="E183" s="195"/>
      <c r="F183" s="195"/>
      <c r="G183" s="195"/>
    </row>
    <row r="184" ht="12.75" customHeight="1">
      <c r="E184" s="195"/>
      <c r="F184" s="195"/>
      <c r="G184" s="195"/>
    </row>
    <row r="185" ht="12.75" customHeight="1">
      <c r="E185" s="195"/>
      <c r="F185" s="195"/>
      <c r="G185" s="195"/>
    </row>
    <row r="186" ht="12.75" customHeight="1">
      <c r="E186" s="195"/>
      <c r="F186" s="195"/>
      <c r="G186" s="195"/>
    </row>
    <row r="187" ht="12.75" customHeight="1">
      <c r="E187" s="195"/>
      <c r="F187" s="195"/>
      <c r="G187" s="195"/>
    </row>
    <row r="188" ht="12.75" customHeight="1">
      <c r="E188" s="195"/>
      <c r="F188" s="195"/>
      <c r="G188" s="195"/>
    </row>
    <row r="189" ht="12.75" customHeight="1">
      <c r="E189" s="195"/>
      <c r="F189" s="195"/>
      <c r="G189" s="195"/>
    </row>
    <row r="190" ht="12.75" customHeight="1">
      <c r="E190" s="195"/>
      <c r="F190" s="195"/>
      <c r="G190" s="195"/>
    </row>
    <row r="191" ht="12.75" customHeight="1">
      <c r="E191" s="195"/>
      <c r="F191" s="195"/>
      <c r="G191" s="195"/>
    </row>
    <row r="192" ht="12.75" customHeight="1">
      <c r="E192" s="195"/>
      <c r="F192" s="195"/>
      <c r="G192" s="195"/>
    </row>
    <row r="193" ht="12.75" customHeight="1">
      <c r="E193" s="195"/>
      <c r="F193" s="195"/>
      <c r="G193" s="195"/>
    </row>
    <row r="194" ht="12.75" customHeight="1">
      <c r="E194" s="195"/>
      <c r="F194" s="195"/>
      <c r="G194" s="195"/>
    </row>
    <row r="195" ht="12.75" customHeight="1">
      <c r="E195" s="195"/>
      <c r="F195" s="195"/>
      <c r="G195" s="195"/>
    </row>
    <row r="196" ht="12.75" customHeight="1">
      <c r="E196" s="195"/>
      <c r="F196" s="195"/>
      <c r="G196" s="195"/>
    </row>
    <row r="197" ht="12.75" customHeight="1">
      <c r="E197" s="195"/>
      <c r="F197" s="195"/>
      <c r="G197" s="195"/>
    </row>
    <row r="198" ht="12.75" customHeight="1">
      <c r="E198" s="195"/>
      <c r="F198" s="195"/>
      <c r="G198" s="195"/>
    </row>
    <row r="199" ht="12.75" customHeight="1">
      <c r="E199" s="195"/>
      <c r="F199" s="195"/>
      <c r="G199" s="195"/>
    </row>
    <row r="200" ht="12.75" customHeight="1">
      <c r="E200" s="195"/>
      <c r="F200" s="195"/>
      <c r="G200" s="195"/>
    </row>
    <row r="201" ht="12.75" customHeight="1">
      <c r="E201" s="195"/>
      <c r="F201" s="195"/>
      <c r="G201" s="195"/>
    </row>
    <row r="202" ht="12.75" customHeight="1">
      <c r="E202" s="195"/>
      <c r="F202" s="195"/>
      <c r="G202" s="195"/>
    </row>
    <row r="203" ht="12.75" customHeight="1">
      <c r="E203" s="195"/>
      <c r="F203" s="195"/>
      <c r="G203" s="195"/>
    </row>
    <row r="204" ht="12.75" customHeight="1">
      <c r="E204" s="195"/>
      <c r="F204" s="195"/>
      <c r="G204" s="195"/>
    </row>
    <row r="205" ht="12.75" customHeight="1">
      <c r="E205" s="195"/>
      <c r="F205" s="195"/>
      <c r="G205" s="195"/>
    </row>
    <row r="206" ht="12.75" customHeight="1">
      <c r="E206" s="195"/>
      <c r="F206" s="195"/>
      <c r="G206" s="195"/>
    </row>
    <row r="207" ht="12.75" customHeight="1">
      <c r="E207" s="195"/>
      <c r="F207" s="195"/>
      <c r="G207" s="195"/>
    </row>
    <row r="208" ht="12.75" customHeight="1">
      <c r="E208" s="195"/>
      <c r="F208" s="195"/>
      <c r="G208" s="195"/>
    </row>
    <row r="209" ht="12.75" customHeight="1">
      <c r="E209" s="195"/>
      <c r="F209" s="195"/>
      <c r="G209" s="195"/>
    </row>
    <row r="210" ht="12.75" customHeight="1">
      <c r="E210" s="195"/>
      <c r="F210" s="195"/>
      <c r="G210" s="195"/>
    </row>
    <row r="211" ht="12.75" customHeight="1">
      <c r="E211" s="195"/>
      <c r="F211" s="195"/>
      <c r="G211" s="195"/>
    </row>
    <row r="212" ht="12.75" customHeight="1">
      <c r="E212" s="195"/>
      <c r="F212" s="195"/>
      <c r="G212" s="195"/>
    </row>
    <row r="213" ht="12.75" customHeight="1">
      <c r="E213" s="195"/>
      <c r="F213" s="195"/>
      <c r="G213" s="195"/>
    </row>
    <row r="214" ht="12.75" customHeight="1">
      <c r="E214" s="195"/>
      <c r="F214" s="195"/>
      <c r="G214" s="195"/>
    </row>
    <row r="215" ht="12.75" customHeight="1">
      <c r="E215" s="195"/>
      <c r="F215" s="195"/>
      <c r="G215" s="195"/>
    </row>
    <row r="216" ht="12.75" customHeight="1">
      <c r="E216" s="195"/>
      <c r="F216" s="195"/>
      <c r="G216" s="195"/>
    </row>
    <row r="217" ht="12.75" customHeight="1">
      <c r="E217" s="195"/>
      <c r="F217" s="195"/>
      <c r="G217" s="195"/>
    </row>
    <row r="218" ht="12.75" customHeight="1">
      <c r="E218" s="195"/>
      <c r="F218" s="195"/>
      <c r="G218" s="195"/>
    </row>
    <row r="219" ht="12.75" customHeight="1">
      <c r="E219" s="195"/>
      <c r="F219" s="195"/>
      <c r="G219" s="195"/>
    </row>
    <row r="220" ht="12.75" customHeight="1">
      <c r="E220" s="195"/>
      <c r="F220" s="195"/>
      <c r="G220" s="195"/>
    </row>
    <row r="221" ht="12.75" customHeight="1">
      <c r="E221" s="195"/>
      <c r="F221" s="195"/>
      <c r="G221" s="195"/>
    </row>
    <row r="222" ht="12.75" customHeight="1">
      <c r="E222" s="195"/>
      <c r="F222" s="195"/>
      <c r="G222" s="195"/>
    </row>
    <row r="223" ht="12.75" customHeight="1">
      <c r="E223" s="195"/>
      <c r="F223" s="195"/>
      <c r="G223" s="195"/>
    </row>
    <row r="224" ht="12.75" customHeight="1">
      <c r="E224" s="195"/>
      <c r="F224" s="195"/>
      <c r="G224" s="195"/>
    </row>
    <row r="225" ht="12.75" customHeight="1">
      <c r="E225" s="195"/>
      <c r="F225" s="195"/>
      <c r="G225" s="195"/>
    </row>
    <row r="226" ht="12.75" customHeight="1">
      <c r="E226" s="195"/>
      <c r="F226" s="195"/>
      <c r="G226" s="195"/>
    </row>
    <row r="227" ht="12.75" customHeight="1">
      <c r="E227" s="195"/>
      <c r="F227" s="195"/>
      <c r="G227" s="195"/>
    </row>
    <row r="228" ht="12.75" customHeight="1">
      <c r="E228" s="195"/>
      <c r="F228" s="195"/>
      <c r="G228" s="195"/>
    </row>
    <row r="229" ht="12.75" customHeight="1">
      <c r="E229" s="195"/>
      <c r="F229" s="195"/>
      <c r="G229" s="195"/>
    </row>
    <row r="230" ht="12.75" customHeight="1">
      <c r="E230" s="195"/>
      <c r="F230" s="195"/>
      <c r="G230" s="195"/>
    </row>
    <row r="231" ht="12.75" customHeight="1">
      <c r="E231" s="195"/>
      <c r="F231" s="195"/>
      <c r="G231" s="195"/>
    </row>
    <row r="232" ht="12.75" customHeight="1">
      <c r="E232" s="195"/>
      <c r="F232" s="195"/>
      <c r="G232" s="195"/>
    </row>
    <row r="233" ht="12.75" customHeight="1">
      <c r="E233" s="195"/>
      <c r="F233" s="195"/>
      <c r="G233" s="195"/>
    </row>
    <row r="234" ht="12.75" customHeight="1">
      <c r="E234" s="195"/>
      <c r="F234" s="195"/>
      <c r="G234" s="195"/>
    </row>
    <row r="235" ht="12.75" customHeight="1">
      <c r="E235" s="195"/>
      <c r="F235" s="195"/>
      <c r="G235" s="195"/>
    </row>
    <row r="236" ht="12.75" customHeight="1">
      <c r="E236" s="195"/>
      <c r="F236" s="195"/>
      <c r="G236" s="195"/>
    </row>
    <row r="237" ht="12.75" customHeight="1">
      <c r="E237" s="195"/>
      <c r="F237" s="195"/>
      <c r="G237" s="195"/>
    </row>
    <row r="238" ht="12.75" customHeight="1">
      <c r="E238" s="195"/>
      <c r="F238" s="195"/>
      <c r="G238" s="195"/>
    </row>
    <row r="239" ht="12.75" customHeight="1">
      <c r="E239" s="195"/>
      <c r="F239" s="195"/>
      <c r="G239" s="195"/>
    </row>
    <row r="240" ht="12.75" customHeight="1">
      <c r="E240" s="195"/>
      <c r="F240" s="195"/>
      <c r="G240" s="195"/>
    </row>
    <row r="241" ht="12.75" customHeight="1">
      <c r="E241" s="195"/>
      <c r="F241" s="195"/>
      <c r="G241" s="195"/>
    </row>
    <row r="242" ht="12.75" customHeight="1">
      <c r="E242" s="195"/>
      <c r="F242" s="195"/>
      <c r="G242" s="195"/>
    </row>
    <row r="243" ht="12.75" customHeight="1">
      <c r="E243" s="195"/>
      <c r="F243" s="195"/>
      <c r="G243" s="195"/>
    </row>
    <row r="244" ht="12.75" customHeight="1">
      <c r="E244" s="195"/>
      <c r="F244" s="195"/>
      <c r="G244" s="195"/>
    </row>
    <row r="245" ht="12.75" customHeight="1">
      <c r="E245" s="195"/>
      <c r="F245" s="195"/>
      <c r="G245" s="195"/>
    </row>
    <row r="246" ht="12.75" customHeight="1">
      <c r="E246" s="195"/>
      <c r="F246" s="195"/>
      <c r="G246" s="195"/>
    </row>
    <row r="247" ht="12.75" customHeight="1">
      <c r="E247" s="195"/>
      <c r="F247" s="195"/>
      <c r="G247" s="195"/>
    </row>
    <row r="248" ht="12.75" customHeight="1">
      <c r="E248" s="195"/>
      <c r="F248" s="195"/>
      <c r="G248" s="195"/>
    </row>
    <row r="249" ht="12.75" customHeight="1">
      <c r="E249" s="195"/>
      <c r="F249" s="195"/>
      <c r="G249" s="195"/>
    </row>
    <row r="250" ht="12.75" customHeight="1">
      <c r="E250" s="195"/>
      <c r="F250" s="195"/>
      <c r="G250" s="195"/>
    </row>
    <row r="251" ht="12.75" customHeight="1">
      <c r="E251" s="195"/>
      <c r="F251" s="195"/>
      <c r="G251" s="195"/>
    </row>
    <row r="252" ht="12.75" customHeight="1">
      <c r="E252" s="195"/>
      <c r="F252" s="195"/>
      <c r="G252" s="195"/>
    </row>
    <row r="253" ht="12.75" customHeight="1">
      <c r="E253" s="195"/>
      <c r="F253" s="195"/>
      <c r="G253" s="195"/>
    </row>
    <row r="254" ht="12.75" customHeight="1">
      <c r="E254" s="195"/>
      <c r="F254" s="195"/>
      <c r="G254" s="195"/>
    </row>
    <row r="255" ht="12.75" customHeight="1">
      <c r="E255" s="195"/>
      <c r="F255" s="195"/>
      <c r="G255" s="195"/>
    </row>
    <row r="256" ht="12.75" customHeight="1">
      <c r="E256" s="195"/>
      <c r="F256" s="195"/>
      <c r="G256" s="195"/>
    </row>
    <row r="257" ht="12.75" customHeight="1">
      <c r="E257" s="195"/>
      <c r="F257" s="195"/>
      <c r="G257" s="195"/>
    </row>
    <row r="258" ht="12.75" customHeight="1">
      <c r="E258" s="195"/>
      <c r="F258" s="195"/>
      <c r="G258" s="195"/>
    </row>
    <row r="259" ht="12.75" customHeight="1">
      <c r="E259" s="195"/>
      <c r="F259" s="195"/>
      <c r="G259" s="195"/>
    </row>
    <row r="260" ht="12.75" customHeight="1">
      <c r="E260" s="195"/>
      <c r="F260" s="195"/>
      <c r="G260" s="195"/>
    </row>
    <row r="261" ht="12.75" customHeight="1">
      <c r="E261" s="195"/>
      <c r="F261" s="195"/>
      <c r="G261" s="195"/>
    </row>
    <row r="262" ht="12.75" customHeight="1">
      <c r="E262" s="195"/>
      <c r="F262" s="195"/>
      <c r="G262" s="195"/>
    </row>
    <row r="263" ht="12.75" customHeight="1">
      <c r="E263" s="195"/>
      <c r="F263" s="195"/>
      <c r="G263" s="195"/>
    </row>
    <row r="264" ht="12.75" customHeight="1">
      <c r="E264" s="195"/>
      <c r="F264" s="195"/>
      <c r="G264" s="195"/>
    </row>
    <row r="265" ht="12.75" customHeight="1">
      <c r="E265" s="195"/>
      <c r="F265" s="195"/>
      <c r="G265" s="195"/>
    </row>
    <row r="266" ht="12.75" customHeight="1">
      <c r="E266" s="195"/>
      <c r="F266" s="195"/>
      <c r="G266" s="195"/>
    </row>
    <row r="267" ht="12.75" customHeight="1">
      <c r="E267" s="195"/>
      <c r="F267" s="195"/>
      <c r="G267" s="195"/>
    </row>
    <row r="268" ht="12.75" customHeight="1">
      <c r="E268" s="195"/>
      <c r="F268" s="195"/>
      <c r="G268" s="195"/>
    </row>
    <row r="269" ht="12.75" customHeight="1">
      <c r="E269" s="195"/>
      <c r="F269" s="195"/>
      <c r="G269" s="195"/>
    </row>
    <row r="270" ht="12.75" customHeight="1">
      <c r="E270" s="195"/>
      <c r="F270" s="195"/>
      <c r="G270" s="195"/>
    </row>
    <row r="271" ht="12.75" customHeight="1">
      <c r="E271" s="195"/>
      <c r="F271" s="195"/>
      <c r="G271" s="195"/>
    </row>
    <row r="272" ht="12.75" customHeight="1">
      <c r="E272" s="195"/>
      <c r="F272" s="195"/>
      <c r="G272" s="195"/>
    </row>
    <row r="273" ht="12.75" customHeight="1">
      <c r="E273" s="195"/>
      <c r="F273" s="195"/>
      <c r="G273" s="195"/>
    </row>
    <row r="274" ht="12.75" customHeight="1">
      <c r="E274" s="195"/>
      <c r="F274" s="195"/>
      <c r="G274" s="195"/>
    </row>
    <row r="275" ht="12.75" customHeight="1">
      <c r="E275" s="195"/>
      <c r="F275" s="195"/>
      <c r="G275" s="195"/>
    </row>
    <row r="276" ht="12.75" customHeight="1">
      <c r="E276" s="195"/>
      <c r="F276" s="195"/>
      <c r="G276" s="195"/>
    </row>
    <row r="277" ht="12.75" customHeight="1">
      <c r="E277" s="195"/>
      <c r="F277" s="195"/>
      <c r="G277" s="195"/>
    </row>
    <row r="278" ht="12.75" customHeight="1">
      <c r="E278" s="195"/>
      <c r="F278" s="195"/>
      <c r="G278" s="195"/>
    </row>
    <row r="279" ht="12.75" customHeight="1">
      <c r="E279" s="195"/>
      <c r="F279" s="195"/>
      <c r="G279" s="195"/>
    </row>
    <row r="280" ht="12.75" customHeight="1">
      <c r="E280" s="195"/>
      <c r="F280" s="195"/>
      <c r="G280" s="195"/>
    </row>
    <row r="281" ht="12.75" customHeight="1">
      <c r="E281" s="195"/>
      <c r="F281" s="195"/>
      <c r="G281" s="195"/>
    </row>
    <row r="282" ht="12.75" customHeight="1">
      <c r="E282" s="195"/>
      <c r="F282" s="195"/>
      <c r="G282" s="195"/>
    </row>
    <row r="283" ht="12.75" customHeight="1">
      <c r="E283" s="195"/>
      <c r="F283" s="195"/>
      <c r="G283" s="195"/>
    </row>
    <row r="284" ht="12.75" customHeight="1">
      <c r="E284" s="195"/>
      <c r="F284" s="195"/>
      <c r="G284" s="195"/>
    </row>
    <row r="285" ht="12.75" customHeight="1">
      <c r="E285" s="195"/>
      <c r="F285" s="195"/>
      <c r="G285" s="195"/>
    </row>
    <row r="286" ht="12.75" customHeight="1">
      <c r="E286" s="195"/>
      <c r="F286" s="195"/>
      <c r="G286" s="195"/>
    </row>
    <row r="287" ht="12.75" customHeight="1">
      <c r="E287" s="195"/>
      <c r="F287" s="195"/>
      <c r="G287" s="195"/>
    </row>
    <row r="288" ht="12.75" customHeight="1">
      <c r="E288" s="195"/>
      <c r="F288" s="195"/>
      <c r="G288" s="195"/>
    </row>
    <row r="289" ht="12.75" customHeight="1">
      <c r="E289" s="195"/>
      <c r="F289" s="195"/>
      <c r="G289" s="195"/>
    </row>
    <row r="290" ht="12.75" customHeight="1">
      <c r="E290" s="195"/>
      <c r="F290" s="195"/>
      <c r="G290" s="195"/>
    </row>
    <row r="291" ht="12.75" customHeight="1">
      <c r="E291" s="195"/>
      <c r="F291" s="195"/>
      <c r="G291" s="195"/>
    </row>
    <row r="292" ht="12.75" customHeight="1">
      <c r="E292" s="195"/>
      <c r="F292" s="195"/>
      <c r="G292" s="195"/>
    </row>
    <row r="293" ht="12.75" customHeight="1">
      <c r="E293" s="195"/>
      <c r="F293" s="195"/>
      <c r="G293" s="195"/>
    </row>
    <row r="294" ht="12.75" customHeight="1">
      <c r="E294" s="195"/>
      <c r="F294" s="195"/>
      <c r="G294" s="195"/>
    </row>
    <row r="295" ht="12.75" customHeight="1">
      <c r="E295" s="195"/>
      <c r="F295" s="195"/>
      <c r="G295" s="195"/>
    </row>
    <row r="296" ht="12.75" customHeight="1">
      <c r="E296" s="195"/>
      <c r="F296" s="195"/>
      <c r="G296" s="195"/>
    </row>
    <row r="297" ht="12.75" customHeight="1">
      <c r="E297" s="195"/>
      <c r="F297" s="195"/>
      <c r="G297" s="195"/>
    </row>
    <row r="298" ht="12.75" customHeight="1">
      <c r="E298" s="195"/>
      <c r="F298" s="195"/>
      <c r="G298" s="195"/>
    </row>
    <row r="299" ht="12.75" customHeight="1">
      <c r="E299" s="195"/>
      <c r="F299" s="195"/>
      <c r="G299" s="195"/>
    </row>
    <row r="300" ht="12.75" customHeight="1">
      <c r="E300" s="195"/>
      <c r="F300" s="195"/>
      <c r="G300" s="195"/>
    </row>
    <row r="301" ht="12.75" customHeight="1">
      <c r="E301" s="195"/>
      <c r="F301" s="195"/>
      <c r="G301" s="195"/>
    </row>
    <row r="302" ht="12.75" customHeight="1">
      <c r="E302" s="195"/>
      <c r="F302" s="195"/>
      <c r="G302" s="195"/>
    </row>
    <row r="303" ht="12.75" customHeight="1">
      <c r="E303" s="195"/>
      <c r="F303" s="195"/>
      <c r="G303" s="195"/>
    </row>
    <row r="304" ht="12.75" customHeight="1">
      <c r="E304" s="195"/>
      <c r="F304" s="195"/>
      <c r="G304" s="195"/>
    </row>
    <row r="305" ht="12.75" customHeight="1">
      <c r="E305" s="195"/>
      <c r="F305" s="195"/>
      <c r="G305" s="195"/>
    </row>
    <row r="306" ht="12.75" customHeight="1">
      <c r="E306" s="195"/>
      <c r="F306" s="195"/>
      <c r="G306" s="195"/>
    </row>
    <row r="307" ht="12.75" customHeight="1">
      <c r="E307" s="195"/>
      <c r="F307" s="195"/>
      <c r="G307" s="195"/>
    </row>
    <row r="308" ht="12.75" customHeight="1">
      <c r="E308" s="195"/>
      <c r="F308" s="195"/>
      <c r="G308" s="195"/>
    </row>
    <row r="309" ht="12.75" customHeight="1">
      <c r="E309" s="195"/>
      <c r="F309" s="195"/>
      <c r="G309" s="195"/>
    </row>
    <row r="310" ht="12.75" customHeight="1">
      <c r="E310" s="195"/>
      <c r="F310" s="195"/>
      <c r="G310" s="195"/>
    </row>
    <row r="311" ht="12.75" customHeight="1">
      <c r="E311" s="195"/>
      <c r="F311" s="195"/>
      <c r="G311" s="195"/>
    </row>
    <row r="312" ht="12.75" customHeight="1">
      <c r="E312" s="195"/>
      <c r="F312" s="195"/>
      <c r="G312" s="195"/>
    </row>
    <row r="313" ht="12.75" customHeight="1">
      <c r="E313" s="195"/>
      <c r="F313" s="195"/>
      <c r="G313" s="195"/>
    </row>
    <row r="314" ht="12.75" customHeight="1">
      <c r="E314" s="195"/>
      <c r="F314" s="195"/>
      <c r="G314" s="195"/>
    </row>
    <row r="315" ht="12.75" customHeight="1">
      <c r="E315" s="195"/>
      <c r="F315" s="195"/>
      <c r="G315" s="195"/>
    </row>
    <row r="316" ht="12.75" customHeight="1">
      <c r="E316" s="195"/>
      <c r="F316" s="195"/>
      <c r="G316" s="195"/>
    </row>
    <row r="317" ht="12.75" customHeight="1">
      <c r="E317" s="195"/>
      <c r="F317" s="195"/>
      <c r="G317" s="195"/>
    </row>
    <row r="318" ht="12.75" customHeight="1">
      <c r="E318" s="195"/>
      <c r="F318" s="195"/>
      <c r="G318" s="195"/>
    </row>
    <row r="319" ht="12.75" customHeight="1">
      <c r="E319" s="195"/>
      <c r="F319" s="195"/>
      <c r="G319" s="195"/>
    </row>
    <row r="320" ht="12.75" customHeight="1">
      <c r="E320" s="195"/>
      <c r="F320" s="195"/>
      <c r="G320" s="195"/>
    </row>
    <row r="321" ht="12.75" customHeight="1">
      <c r="E321" s="195"/>
      <c r="F321" s="195"/>
      <c r="G321" s="195"/>
    </row>
    <row r="322" ht="12.75" customHeight="1">
      <c r="E322" s="195"/>
      <c r="F322" s="195"/>
      <c r="G322" s="195"/>
    </row>
    <row r="323" ht="12.75" customHeight="1">
      <c r="E323" s="195"/>
      <c r="F323" s="195"/>
      <c r="G323" s="195"/>
    </row>
    <row r="324" ht="12.75" customHeight="1">
      <c r="E324" s="195"/>
      <c r="F324" s="195"/>
      <c r="G324" s="195"/>
    </row>
    <row r="325" ht="12.75" customHeight="1">
      <c r="E325" s="195"/>
      <c r="F325" s="195"/>
      <c r="G325" s="195"/>
    </row>
    <row r="326" ht="12.75" customHeight="1">
      <c r="E326" s="195"/>
      <c r="F326" s="195"/>
      <c r="G326" s="195"/>
    </row>
    <row r="327" ht="12.75" customHeight="1">
      <c r="E327" s="195"/>
      <c r="F327" s="195"/>
      <c r="G327" s="195"/>
    </row>
    <row r="328" ht="12.75" customHeight="1">
      <c r="E328" s="195"/>
      <c r="F328" s="195"/>
      <c r="G328" s="195"/>
    </row>
    <row r="329" ht="12.75" customHeight="1">
      <c r="E329" s="195"/>
      <c r="F329" s="195"/>
      <c r="G329" s="195"/>
    </row>
    <row r="330" ht="12.75" customHeight="1">
      <c r="E330" s="195"/>
      <c r="F330" s="195"/>
      <c r="G330" s="195"/>
    </row>
    <row r="331" ht="12.75" customHeight="1">
      <c r="E331" s="195"/>
      <c r="F331" s="195"/>
      <c r="G331" s="195"/>
    </row>
    <row r="332" ht="12.75" customHeight="1">
      <c r="E332" s="195"/>
      <c r="F332" s="195"/>
      <c r="G332" s="195"/>
    </row>
    <row r="333" ht="12.75" customHeight="1">
      <c r="E333" s="195"/>
      <c r="F333" s="195"/>
      <c r="G333" s="195"/>
    </row>
    <row r="334" ht="12.75" customHeight="1">
      <c r="E334" s="195"/>
      <c r="F334" s="195"/>
      <c r="G334" s="195"/>
    </row>
    <row r="335" ht="12.75" customHeight="1">
      <c r="E335" s="195"/>
      <c r="F335" s="195"/>
      <c r="G335" s="195"/>
    </row>
    <row r="336" ht="12.75" customHeight="1">
      <c r="E336" s="195"/>
      <c r="F336" s="195"/>
      <c r="G336" s="195"/>
    </row>
    <row r="337" ht="12.75" customHeight="1">
      <c r="E337" s="195"/>
      <c r="F337" s="195"/>
      <c r="G337" s="195"/>
    </row>
    <row r="338" ht="12.75" customHeight="1">
      <c r="E338" s="195"/>
      <c r="F338" s="195"/>
      <c r="G338" s="195"/>
    </row>
    <row r="339" ht="12.75" customHeight="1">
      <c r="E339" s="195"/>
      <c r="F339" s="195"/>
      <c r="G339" s="195"/>
    </row>
    <row r="340" ht="12.75" customHeight="1">
      <c r="E340" s="195"/>
      <c r="F340" s="195"/>
      <c r="G340" s="195"/>
    </row>
    <row r="341" ht="12.75" customHeight="1">
      <c r="E341" s="195"/>
      <c r="F341" s="195"/>
      <c r="G341" s="195"/>
    </row>
    <row r="342" ht="12.75" customHeight="1">
      <c r="E342" s="195"/>
      <c r="F342" s="195"/>
      <c r="G342" s="195"/>
    </row>
    <row r="343" ht="12.75" customHeight="1">
      <c r="E343" s="195"/>
      <c r="F343" s="195"/>
      <c r="G343" s="195"/>
    </row>
    <row r="344" ht="12.75" customHeight="1">
      <c r="E344" s="195"/>
      <c r="F344" s="195"/>
      <c r="G344" s="195"/>
    </row>
    <row r="345" ht="12.75" customHeight="1">
      <c r="E345" s="195"/>
      <c r="F345" s="195"/>
      <c r="G345" s="195"/>
    </row>
    <row r="346" ht="12.75" customHeight="1">
      <c r="E346" s="195"/>
      <c r="F346" s="195"/>
      <c r="G346" s="195"/>
    </row>
    <row r="347" ht="12.75" customHeight="1">
      <c r="E347" s="195"/>
      <c r="F347" s="195"/>
      <c r="G347" s="195"/>
    </row>
    <row r="348" ht="12.75" customHeight="1">
      <c r="E348" s="195"/>
      <c r="F348" s="195"/>
      <c r="G348" s="195"/>
    </row>
    <row r="349" ht="12.75" customHeight="1">
      <c r="E349" s="195"/>
      <c r="F349" s="195"/>
      <c r="G349" s="195"/>
    </row>
    <row r="350" ht="12.75" customHeight="1">
      <c r="E350" s="195"/>
      <c r="F350" s="195"/>
      <c r="G350" s="195"/>
    </row>
    <row r="351" ht="12.75" customHeight="1">
      <c r="E351" s="195"/>
      <c r="F351" s="195"/>
      <c r="G351" s="195"/>
    </row>
    <row r="352" ht="12.75" customHeight="1">
      <c r="E352" s="195"/>
      <c r="F352" s="195"/>
      <c r="G352" s="195"/>
    </row>
    <row r="353" ht="12.75" customHeight="1">
      <c r="E353" s="195"/>
      <c r="F353" s="195"/>
      <c r="G353" s="195"/>
    </row>
    <row r="354" ht="12.75" customHeight="1">
      <c r="E354" s="195"/>
      <c r="F354" s="195"/>
      <c r="G354" s="195"/>
    </row>
    <row r="355" ht="12.75" customHeight="1">
      <c r="E355" s="195"/>
      <c r="F355" s="195"/>
      <c r="G355" s="195"/>
    </row>
    <row r="356" ht="12.75" customHeight="1">
      <c r="E356" s="195"/>
      <c r="F356" s="195"/>
      <c r="G356" s="195"/>
    </row>
    <row r="357" ht="12.75" customHeight="1">
      <c r="E357" s="195"/>
      <c r="F357" s="195"/>
      <c r="G357" s="195"/>
    </row>
    <row r="358" ht="12.75" customHeight="1">
      <c r="E358" s="195"/>
      <c r="F358" s="195"/>
      <c r="G358" s="195"/>
    </row>
    <row r="359" ht="12.75" customHeight="1">
      <c r="E359" s="195"/>
      <c r="F359" s="195"/>
      <c r="G359" s="195"/>
    </row>
    <row r="360" ht="12.75" customHeight="1">
      <c r="E360" s="195"/>
      <c r="F360" s="195"/>
      <c r="G360" s="195"/>
    </row>
    <row r="361" ht="12.75" customHeight="1">
      <c r="E361" s="195"/>
      <c r="F361" s="195"/>
      <c r="G361" s="195"/>
    </row>
    <row r="362" ht="12.75" customHeight="1">
      <c r="E362" s="195"/>
      <c r="F362" s="195"/>
      <c r="G362" s="195"/>
    </row>
    <row r="363" ht="12.75" customHeight="1">
      <c r="E363" s="195"/>
      <c r="F363" s="195"/>
      <c r="G363" s="195"/>
    </row>
    <row r="364" ht="12.75" customHeight="1">
      <c r="E364" s="195"/>
      <c r="F364" s="195"/>
      <c r="G364" s="195"/>
    </row>
    <row r="365" ht="12.75" customHeight="1">
      <c r="E365" s="195"/>
      <c r="F365" s="195"/>
      <c r="G365" s="195"/>
    </row>
    <row r="366" ht="12.75" customHeight="1">
      <c r="E366" s="195"/>
      <c r="F366" s="195"/>
      <c r="G366" s="195"/>
    </row>
    <row r="367" ht="12.75" customHeight="1">
      <c r="E367" s="195"/>
      <c r="F367" s="195"/>
      <c r="G367" s="195"/>
    </row>
    <row r="368" ht="12.75" customHeight="1">
      <c r="E368" s="195"/>
      <c r="F368" s="195"/>
      <c r="G368" s="195"/>
    </row>
    <row r="369" ht="12.75" customHeight="1">
      <c r="E369" s="195"/>
      <c r="F369" s="195"/>
      <c r="G369" s="195"/>
    </row>
    <row r="370" ht="12.75" customHeight="1">
      <c r="E370" s="195"/>
      <c r="F370" s="195"/>
      <c r="G370" s="195"/>
    </row>
    <row r="371" ht="12.75" customHeight="1">
      <c r="E371" s="195"/>
      <c r="F371" s="195"/>
      <c r="G371" s="195"/>
    </row>
    <row r="372" ht="12.75" customHeight="1">
      <c r="E372" s="195"/>
      <c r="F372" s="195"/>
      <c r="G372" s="195"/>
    </row>
    <row r="373" ht="12.75" customHeight="1">
      <c r="E373" s="195"/>
      <c r="F373" s="195"/>
      <c r="G373" s="195"/>
    </row>
    <row r="374" ht="12.75" customHeight="1">
      <c r="E374" s="195"/>
      <c r="F374" s="195"/>
      <c r="G374" s="195"/>
    </row>
    <row r="375" ht="12.75" customHeight="1">
      <c r="E375" s="195"/>
      <c r="F375" s="195"/>
      <c r="G375" s="195"/>
    </row>
    <row r="376" ht="12.75" customHeight="1">
      <c r="E376" s="195"/>
      <c r="F376" s="195"/>
      <c r="G376" s="195"/>
    </row>
    <row r="377" ht="12.75" customHeight="1">
      <c r="E377" s="195"/>
      <c r="F377" s="195"/>
      <c r="G377" s="195"/>
    </row>
    <row r="378" ht="12.75" customHeight="1">
      <c r="E378" s="195"/>
      <c r="F378" s="195"/>
      <c r="G378" s="195"/>
    </row>
    <row r="379" ht="12.75" customHeight="1">
      <c r="E379" s="195"/>
      <c r="F379" s="195"/>
      <c r="G379" s="195"/>
    </row>
    <row r="380" ht="12.75" customHeight="1">
      <c r="E380" s="195"/>
      <c r="F380" s="195"/>
      <c r="G380" s="195"/>
    </row>
    <row r="381" ht="12.75" customHeight="1">
      <c r="E381" s="195"/>
      <c r="F381" s="195"/>
      <c r="G381" s="195"/>
    </row>
    <row r="382" ht="12.75" customHeight="1">
      <c r="E382" s="195"/>
      <c r="F382" s="195"/>
      <c r="G382" s="195"/>
    </row>
    <row r="383" ht="12.75" customHeight="1">
      <c r="E383" s="195"/>
      <c r="F383" s="195"/>
      <c r="G383" s="195"/>
    </row>
    <row r="384" ht="12.75" customHeight="1">
      <c r="E384" s="195"/>
      <c r="F384" s="195"/>
      <c r="G384" s="195"/>
    </row>
    <row r="385" ht="12.75" customHeight="1">
      <c r="E385" s="195"/>
      <c r="F385" s="195"/>
      <c r="G385" s="195"/>
    </row>
    <row r="386" ht="12.75" customHeight="1">
      <c r="E386" s="195"/>
      <c r="F386" s="195"/>
      <c r="G386" s="195"/>
    </row>
    <row r="387" ht="12.75" customHeight="1">
      <c r="E387" s="195"/>
      <c r="F387" s="195"/>
      <c r="G387" s="195"/>
    </row>
    <row r="388" ht="12.75" customHeight="1">
      <c r="E388" s="195"/>
      <c r="F388" s="195"/>
      <c r="G388" s="195"/>
    </row>
    <row r="389" ht="12.75" customHeight="1">
      <c r="E389" s="195"/>
      <c r="F389" s="195"/>
      <c r="G389" s="195"/>
    </row>
    <row r="390" ht="12.75" customHeight="1">
      <c r="E390" s="195"/>
      <c r="F390" s="195"/>
      <c r="G390" s="195"/>
    </row>
    <row r="391" ht="12.75" customHeight="1">
      <c r="E391" s="195"/>
      <c r="F391" s="195"/>
      <c r="G391" s="195"/>
    </row>
    <row r="392" ht="12.75" customHeight="1">
      <c r="E392" s="195"/>
      <c r="F392" s="195"/>
      <c r="G392" s="195"/>
    </row>
    <row r="393" ht="12.75" customHeight="1">
      <c r="E393" s="195"/>
      <c r="F393" s="195"/>
      <c r="G393" s="195"/>
    </row>
    <row r="394" ht="12.75" customHeight="1">
      <c r="E394" s="195"/>
      <c r="F394" s="195"/>
      <c r="G394" s="195"/>
    </row>
    <row r="395" ht="12.75" customHeight="1">
      <c r="E395" s="195"/>
      <c r="F395" s="195"/>
      <c r="G395" s="195"/>
    </row>
    <row r="396" ht="12.75" customHeight="1">
      <c r="E396" s="195"/>
      <c r="F396" s="195"/>
      <c r="G396" s="195"/>
    </row>
    <row r="397" ht="12.75" customHeight="1">
      <c r="E397" s="195"/>
      <c r="F397" s="195"/>
      <c r="G397" s="195"/>
    </row>
    <row r="398" ht="12.75" customHeight="1">
      <c r="E398" s="195"/>
      <c r="F398" s="195"/>
      <c r="G398" s="195"/>
    </row>
    <row r="399" ht="12.75" customHeight="1">
      <c r="E399" s="195"/>
      <c r="F399" s="195"/>
      <c r="G399" s="195"/>
    </row>
    <row r="400" ht="12.75" customHeight="1">
      <c r="E400" s="195"/>
      <c r="F400" s="195"/>
      <c r="G400" s="195"/>
    </row>
    <row r="401" ht="12.75" customHeight="1">
      <c r="E401" s="195"/>
      <c r="F401" s="195"/>
      <c r="G401" s="195"/>
    </row>
    <row r="402" ht="12.75" customHeight="1">
      <c r="E402" s="195"/>
      <c r="F402" s="195"/>
      <c r="G402" s="195"/>
    </row>
    <row r="403" ht="12.75" customHeight="1">
      <c r="E403" s="195"/>
      <c r="F403" s="195"/>
      <c r="G403" s="195"/>
    </row>
    <row r="404" ht="12.75" customHeight="1">
      <c r="E404" s="195"/>
      <c r="F404" s="195"/>
      <c r="G404" s="195"/>
    </row>
    <row r="405" ht="12.75" customHeight="1">
      <c r="E405" s="195"/>
      <c r="F405" s="195"/>
      <c r="G405" s="195"/>
    </row>
    <row r="406" ht="12.75" customHeight="1">
      <c r="E406" s="195"/>
      <c r="F406" s="195"/>
      <c r="G406" s="195"/>
    </row>
    <row r="407" ht="12.75" customHeight="1">
      <c r="E407" s="195"/>
      <c r="F407" s="195"/>
      <c r="G407" s="195"/>
    </row>
    <row r="408" ht="12.75" customHeight="1">
      <c r="E408" s="195"/>
      <c r="F408" s="195"/>
      <c r="G408" s="195"/>
    </row>
    <row r="409" ht="12.75" customHeight="1">
      <c r="E409" s="195"/>
      <c r="F409" s="195"/>
      <c r="G409" s="195"/>
    </row>
    <row r="410" ht="12.75" customHeight="1">
      <c r="E410" s="195"/>
      <c r="F410" s="195"/>
      <c r="G410" s="195"/>
    </row>
    <row r="411" ht="12.75" customHeight="1">
      <c r="E411" s="195"/>
      <c r="F411" s="195"/>
      <c r="G411" s="195"/>
    </row>
    <row r="412" ht="12.75" customHeight="1">
      <c r="E412" s="195"/>
      <c r="F412" s="195"/>
      <c r="G412" s="195"/>
    </row>
    <row r="413" ht="12.75" customHeight="1">
      <c r="E413" s="195"/>
      <c r="F413" s="195"/>
      <c r="G413" s="195"/>
    </row>
    <row r="414" ht="12.75" customHeight="1">
      <c r="E414" s="195"/>
      <c r="F414" s="195"/>
      <c r="G414" s="195"/>
    </row>
    <row r="415" ht="12.75" customHeight="1">
      <c r="E415" s="195"/>
      <c r="F415" s="195"/>
      <c r="G415" s="195"/>
    </row>
    <row r="416" ht="12.75" customHeight="1">
      <c r="E416" s="195"/>
      <c r="F416" s="195"/>
      <c r="G416" s="195"/>
    </row>
    <row r="417" ht="12.75" customHeight="1">
      <c r="E417" s="195"/>
      <c r="F417" s="195"/>
      <c r="G417" s="195"/>
    </row>
    <row r="418" ht="12.75" customHeight="1">
      <c r="E418" s="195"/>
      <c r="F418" s="195"/>
      <c r="G418" s="195"/>
    </row>
    <row r="419" ht="12.75" customHeight="1">
      <c r="E419" s="195"/>
      <c r="F419" s="195"/>
      <c r="G419" s="195"/>
    </row>
    <row r="420" ht="12.75" customHeight="1">
      <c r="E420" s="195"/>
      <c r="F420" s="195"/>
      <c r="G420" s="195"/>
    </row>
    <row r="421" ht="12.75" customHeight="1">
      <c r="E421" s="195"/>
      <c r="F421" s="195"/>
      <c r="G421" s="195"/>
    </row>
    <row r="422" ht="12.75" customHeight="1">
      <c r="E422" s="195"/>
      <c r="F422" s="195"/>
      <c r="G422" s="195"/>
    </row>
    <row r="423" ht="12.75" customHeight="1">
      <c r="E423" s="195"/>
      <c r="F423" s="195"/>
      <c r="G423" s="195"/>
    </row>
    <row r="424" ht="12.75" customHeight="1">
      <c r="E424" s="195"/>
      <c r="F424" s="195"/>
      <c r="G424" s="195"/>
    </row>
    <row r="425" ht="12.75" customHeight="1">
      <c r="E425" s="195"/>
      <c r="F425" s="195"/>
      <c r="G425" s="195"/>
    </row>
    <row r="426" ht="12.75" customHeight="1">
      <c r="E426" s="195"/>
      <c r="F426" s="195"/>
      <c r="G426" s="195"/>
    </row>
    <row r="427" ht="12.75" customHeight="1">
      <c r="E427" s="195"/>
      <c r="F427" s="195"/>
      <c r="G427" s="195"/>
    </row>
    <row r="428" ht="12.75" customHeight="1">
      <c r="E428" s="195"/>
      <c r="F428" s="195"/>
      <c r="G428" s="195"/>
    </row>
    <row r="429" ht="12.75" customHeight="1">
      <c r="E429" s="195"/>
      <c r="F429" s="195"/>
      <c r="G429" s="195"/>
    </row>
    <row r="430" ht="12.75" customHeight="1">
      <c r="E430" s="195"/>
      <c r="F430" s="195"/>
      <c r="G430" s="195"/>
    </row>
    <row r="431" ht="12.75" customHeight="1">
      <c r="E431" s="195"/>
      <c r="F431" s="195"/>
      <c r="G431" s="195"/>
    </row>
    <row r="432" ht="12.75" customHeight="1">
      <c r="E432" s="195"/>
      <c r="F432" s="195"/>
      <c r="G432" s="195"/>
    </row>
    <row r="433" ht="12.75" customHeight="1">
      <c r="E433" s="195"/>
      <c r="F433" s="195"/>
      <c r="G433" s="195"/>
    </row>
    <row r="434" ht="12.75" customHeight="1">
      <c r="E434" s="195"/>
      <c r="F434" s="195"/>
      <c r="G434" s="195"/>
    </row>
    <row r="435" ht="12.75" customHeight="1">
      <c r="E435" s="195"/>
      <c r="F435" s="195"/>
      <c r="G435" s="195"/>
    </row>
    <row r="436" ht="12.75" customHeight="1">
      <c r="E436" s="195"/>
      <c r="F436" s="195"/>
      <c r="G436" s="195"/>
    </row>
    <row r="437" ht="12.75" customHeight="1">
      <c r="E437" s="195"/>
      <c r="F437" s="195"/>
      <c r="G437" s="195"/>
    </row>
    <row r="438" ht="12.75" customHeight="1">
      <c r="E438" s="195"/>
      <c r="F438" s="195"/>
      <c r="G438" s="195"/>
    </row>
    <row r="439" ht="12.75" customHeight="1">
      <c r="E439" s="195"/>
      <c r="F439" s="195"/>
      <c r="G439" s="195"/>
    </row>
    <row r="440" ht="12.75" customHeight="1">
      <c r="E440" s="195"/>
      <c r="F440" s="195"/>
      <c r="G440" s="195"/>
    </row>
    <row r="441" ht="12.75" customHeight="1">
      <c r="E441" s="195"/>
      <c r="F441" s="195"/>
      <c r="G441" s="195"/>
    </row>
    <row r="442" ht="12.75" customHeight="1">
      <c r="E442" s="195"/>
      <c r="F442" s="195"/>
      <c r="G442" s="195"/>
    </row>
    <row r="443" ht="12.75" customHeight="1">
      <c r="E443" s="195"/>
      <c r="F443" s="195"/>
      <c r="G443" s="195"/>
    </row>
    <row r="444" ht="12.75" customHeight="1">
      <c r="E444" s="195"/>
      <c r="F444" s="195"/>
      <c r="G444" s="195"/>
    </row>
    <row r="445" ht="12.75" customHeight="1">
      <c r="E445" s="195"/>
      <c r="F445" s="195"/>
      <c r="G445" s="195"/>
    </row>
    <row r="446" ht="12.75" customHeight="1">
      <c r="E446" s="195"/>
      <c r="F446" s="195"/>
      <c r="G446" s="195"/>
    </row>
    <row r="447" ht="12.75" customHeight="1">
      <c r="E447" s="195"/>
      <c r="F447" s="195"/>
      <c r="G447" s="195"/>
    </row>
    <row r="448" ht="12.75" customHeight="1">
      <c r="E448" s="195"/>
      <c r="F448" s="195"/>
      <c r="G448" s="195"/>
    </row>
    <row r="449" ht="12.75" customHeight="1">
      <c r="E449" s="195"/>
      <c r="F449" s="195"/>
      <c r="G449" s="195"/>
    </row>
    <row r="450" ht="12.75" customHeight="1">
      <c r="E450" s="195"/>
      <c r="F450" s="195"/>
      <c r="G450" s="195"/>
    </row>
    <row r="451" ht="12.75" customHeight="1">
      <c r="E451" s="195"/>
      <c r="F451" s="195"/>
      <c r="G451" s="195"/>
    </row>
    <row r="452" ht="12.75" customHeight="1">
      <c r="E452" s="195"/>
      <c r="F452" s="195"/>
      <c r="G452" s="195"/>
    </row>
    <row r="453" ht="12.75" customHeight="1">
      <c r="E453" s="195"/>
      <c r="F453" s="195"/>
      <c r="G453" s="195"/>
    </row>
    <row r="454" ht="12.75" customHeight="1">
      <c r="E454" s="195"/>
      <c r="F454" s="195"/>
      <c r="G454" s="195"/>
    </row>
    <row r="455" ht="12.75" customHeight="1">
      <c r="E455" s="195"/>
      <c r="F455" s="195"/>
      <c r="G455" s="195"/>
    </row>
    <row r="456" ht="12.75" customHeight="1">
      <c r="E456" s="195"/>
      <c r="F456" s="195"/>
      <c r="G456" s="195"/>
    </row>
    <row r="457" ht="12.75" customHeight="1">
      <c r="E457" s="195"/>
      <c r="F457" s="195"/>
      <c r="G457" s="195"/>
    </row>
    <row r="458" ht="12.75" customHeight="1">
      <c r="E458" s="195"/>
      <c r="F458" s="195"/>
      <c r="G458" s="195"/>
    </row>
    <row r="459" ht="12.75" customHeight="1">
      <c r="E459" s="195"/>
      <c r="F459" s="195"/>
      <c r="G459" s="195"/>
    </row>
    <row r="460" ht="12.75" customHeight="1">
      <c r="E460" s="195"/>
      <c r="F460" s="195"/>
      <c r="G460" s="195"/>
    </row>
    <row r="461" ht="12.75" customHeight="1">
      <c r="E461" s="195"/>
      <c r="F461" s="195"/>
      <c r="G461" s="195"/>
    </row>
    <row r="462" ht="12.75" customHeight="1">
      <c r="E462" s="195"/>
      <c r="F462" s="195"/>
      <c r="G462" s="195"/>
    </row>
    <row r="463" ht="12.75" customHeight="1">
      <c r="E463" s="195"/>
      <c r="F463" s="195"/>
      <c r="G463" s="195"/>
    </row>
    <row r="464" ht="12.75" customHeight="1">
      <c r="E464" s="195"/>
      <c r="F464" s="195"/>
      <c r="G464" s="195"/>
    </row>
    <row r="465" ht="12.75" customHeight="1">
      <c r="E465" s="195"/>
      <c r="F465" s="195"/>
      <c r="G465" s="195"/>
    </row>
    <row r="466" ht="12.75" customHeight="1">
      <c r="E466" s="195"/>
      <c r="F466" s="195"/>
      <c r="G466" s="195"/>
    </row>
    <row r="467" ht="12.75" customHeight="1">
      <c r="E467" s="195"/>
      <c r="F467" s="195"/>
      <c r="G467" s="195"/>
    </row>
    <row r="468" ht="12.75" customHeight="1">
      <c r="E468" s="195"/>
      <c r="F468" s="195"/>
      <c r="G468" s="195"/>
    </row>
    <row r="469" ht="12.75" customHeight="1">
      <c r="E469" s="195"/>
      <c r="F469" s="195"/>
      <c r="G469" s="195"/>
    </row>
    <row r="470" ht="12.75" customHeight="1">
      <c r="E470" s="195"/>
      <c r="F470" s="195"/>
      <c r="G470" s="195"/>
    </row>
    <row r="471" ht="12.75" customHeight="1">
      <c r="E471" s="195"/>
      <c r="F471" s="195"/>
      <c r="G471" s="195"/>
    </row>
    <row r="472" ht="12.75" customHeight="1">
      <c r="E472" s="195"/>
      <c r="F472" s="195"/>
      <c r="G472" s="195"/>
    </row>
    <row r="473" ht="12.75" customHeight="1">
      <c r="E473" s="195"/>
      <c r="F473" s="195"/>
      <c r="G473" s="195"/>
    </row>
    <row r="474" ht="12.75" customHeight="1">
      <c r="E474" s="195"/>
      <c r="F474" s="195"/>
      <c r="G474" s="195"/>
    </row>
    <row r="475" ht="12.75" customHeight="1">
      <c r="E475" s="195"/>
      <c r="F475" s="195"/>
      <c r="G475" s="195"/>
    </row>
    <row r="476" ht="12.75" customHeight="1">
      <c r="E476" s="195"/>
      <c r="F476" s="195"/>
      <c r="G476" s="195"/>
    </row>
    <row r="477" ht="12.75" customHeight="1">
      <c r="E477" s="195"/>
      <c r="F477" s="195"/>
      <c r="G477" s="195"/>
    </row>
    <row r="478" ht="12.75" customHeight="1">
      <c r="E478" s="195"/>
      <c r="F478" s="195"/>
      <c r="G478" s="195"/>
    </row>
    <row r="479" ht="12.75" customHeight="1">
      <c r="E479" s="195"/>
      <c r="F479" s="195"/>
      <c r="G479" s="195"/>
    </row>
    <row r="480" ht="12.75" customHeight="1">
      <c r="E480" s="195"/>
      <c r="F480" s="195"/>
      <c r="G480" s="195"/>
    </row>
    <row r="481" ht="12.75" customHeight="1">
      <c r="E481" s="195"/>
      <c r="F481" s="195"/>
      <c r="G481" s="195"/>
    </row>
    <row r="482" ht="12.75" customHeight="1">
      <c r="E482" s="195"/>
      <c r="F482" s="195"/>
      <c r="G482" s="195"/>
    </row>
    <row r="483" ht="12.75" customHeight="1">
      <c r="E483" s="195"/>
      <c r="F483" s="195"/>
      <c r="G483" s="195"/>
    </row>
    <row r="484" ht="12.75" customHeight="1">
      <c r="E484" s="195"/>
      <c r="F484" s="195"/>
      <c r="G484" s="195"/>
    </row>
    <row r="485" ht="12.75" customHeight="1">
      <c r="E485" s="195"/>
      <c r="F485" s="195"/>
      <c r="G485" s="195"/>
    </row>
    <row r="486" ht="12.75" customHeight="1">
      <c r="E486" s="195"/>
      <c r="F486" s="195"/>
      <c r="G486" s="195"/>
    </row>
    <row r="487" ht="12.75" customHeight="1">
      <c r="E487" s="195"/>
      <c r="F487" s="195"/>
      <c r="G487" s="195"/>
    </row>
    <row r="488" ht="12.75" customHeight="1">
      <c r="E488" s="195"/>
      <c r="F488" s="195"/>
      <c r="G488" s="195"/>
    </row>
    <row r="489" ht="12.75" customHeight="1">
      <c r="E489" s="195"/>
      <c r="F489" s="195"/>
      <c r="G489" s="195"/>
    </row>
    <row r="490" ht="12.75" customHeight="1">
      <c r="E490" s="195"/>
      <c r="F490" s="195"/>
      <c r="G490" s="195"/>
    </row>
    <row r="491" ht="12.75" customHeight="1">
      <c r="E491" s="195"/>
      <c r="F491" s="195"/>
      <c r="G491" s="195"/>
    </row>
    <row r="492" ht="12.75" customHeight="1">
      <c r="E492" s="195"/>
      <c r="F492" s="195"/>
      <c r="G492" s="195"/>
    </row>
    <row r="493" ht="12.75" customHeight="1">
      <c r="E493" s="195"/>
      <c r="F493" s="195"/>
      <c r="G493" s="195"/>
    </row>
    <row r="494" ht="12.75" customHeight="1">
      <c r="E494" s="195"/>
      <c r="F494" s="195"/>
      <c r="G494" s="195"/>
    </row>
    <row r="495" ht="12.75" customHeight="1">
      <c r="E495" s="195"/>
      <c r="F495" s="195"/>
      <c r="G495" s="195"/>
    </row>
    <row r="496" ht="12.75" customHeight="1">
      <c r="E496" s="195"/>
      <c r="F496" s="195"/>
      <c r="G496" s="195"/>
    </row>
    <row r="497" ht="12.75" customHeight="1">
      <c r="E497" s="195"/>
      <c r="F497" s="195"/>
      <c r="G497" s="195"/>
    </row>
    <row r="498" ht="12.75" customHeight="1">
      <c r="E498" s="195"/>
      <c r="F498" s="195"/>
      <c r="G498" s="195"/>
    </row>
    <row r="499" ht="12.75" customHeight="1">
      <c r="E499" s="195"/>
      <c r="F499" s="195"/>
      <c r="G499" s="195"/>
    </row>
    <row r="500" ht="12.75" customHeight="1">
      <c r="E500" s="195"/>
      <c r="F500" s="195"/>
      <c r="G500" s="195"/>
    </row>
    <row r="501" ht="12.75" customHeight="1">
      <c r="E501" s="195"/>
      <c r="F501" s="195"/>
      <c r="G501" s="195"/>
    </row>
    <row r="502" ht="12.75" customHeight="1">
      <c r="E502" s="195"/>
      <c r="F502" s="195"/>
      <c r="G502" s="195"/>
    </row>
    <row r="503" ht="12.75" customHeight="1">
      <c r="E503" s="195"/>
      <c r="F503" s="195"/>
      <c r="G503" s="195"/>
    </row>
    <row r="504" ht="12.75" customHeight="1">
      <c r="E504" s="195"/>
      <c r="F504" s="195"/>
      <c r="G504" s="195"/>
    </row>
    <row r="505" ht="12.75" customHeight="1">
      <c r="E505" s="195"/>
      <c r="F505" s="195"/>
      <c r="G505" s="195"/>
    </row>
    <row r="506" ht="12.75" customHeight="1">
      <c r="E506" s="195"/>
      <c r="F506" s="195"/>
      <c r="G506" s="195"/>
    </row>
    <row r="507" ht="12.75" customHeight="1">
      <c r="E507" s="195"/>
      <c r="F507" s="195"/>
      <c r="G507" s="195"/>
    </row>
    <row r="508" ht="12.75" customHeight="1">
      <c r="E508" s="195"/>
      <c r="F508" s="195"/>
      <c r="G508" s="195"/>
    </row>
    <row r="509" ht="12.75" customHeight="1">
      <c r="E509" s="195"/>
      <c r="F509" s="195"/>
      <c r="G509" s="195"/>
    </row>
    <row r="510" ht="12.75" customHeight="1">
      <c r="E510" s="195"/>
      <c r="F510" s="195"/>
      <c r="G510" s="195"/>
    </row>
    <row r="511" ht="12.75" customHeight="1">
      <c r="E511" s="195"/>
      <c r="F511" s="195"/>
      <c r="G511" s="195"/>
    </row>
    <row r="512" ht="12.75" customHeight="1">
      <c r="E512" s="195"/>
      <c r="F512" s="195"/>
      <c r="G512" s="195"/>
    </row>
    <row r="513" ht="12.75" customHeight="1">
      <c r="E513" s="195"/>
      <c r="F513" s="195"/>
      <c r="G513" s="195"/>
    </row>
    <row r="514" ht="12.75" customHeight="1">
      <c r="E514" s="195"/>
      <c r="F514" s="195"/>
      <c r="G514" s="195"/>
    </row>
    <row r="515" ht="12.75" customHeight="1">
      <c r="E515" s="195"/>
      <c r="F515" s="195"/>
      <c r="G515" s="195"/>
    </row>
    <row r="516" ht="12.75" customHeight="1">
      <c r="E516" s="195"/>
      <c r="F516" s="195"/>
      <c r="G516" s="195"/>
    </row>
    <row r="517" ht="12.75" customHeight="1">
      <c r="E517" s="195"/>
      <c r="F517" s="195"/>
      <c r="G517" s="195"/>
    </row>
    <row r="518" ht="12.75" customHeight="1">
      <c r="E518" s="195"/>
      <c r="F518" s="195"/>
      <c r="G518" s="195"/>
    </row>
    <row r="519" ht="12.75" customHeight="1">
      <c r="E519" s="195"/>
      <c r="F519" s="195"/>
      <c r="G519" s="195"/>
    </row>
    <row r="520" ht="12.75" customHeight="1">
      <c r="E520" s="195"/>
      <c r="F520" s="195"/>
      <c r="G520" s="195"/>
    </row>
    <row r="521" ht="12.75" customHeight="1">
      <c r="E521" s="195"/>
      <c r="F521" s="195"/>
      <c r="G521" s="195"/>
    </row>
    <row r="522" ht="12.75" customHeight="1">
      <c r="E522" s="195"/>
      <c r="F522" s="195"/>
      <c r="G522" s="195"/>
    </row>
    <row r="523" ht="12.75" customHeight="1">
      <c r="E523" s="195"/>
      <c r="F523" s="195"/>
      <c r="G523" s="195"/>
    </row>
    <row r="524" ht="12.75" customHeight="1">
      <c r="E524" s="195"/>
      <c r="F524" s="195"/>
      <c r="G524" s="195"/>
    </row>
    <row r="525" ht="12.75" customHeight="1">
      <c r="E525" s="195"/>
      <c r="F525" s="195"/>
      <c r="G525" s="195"/>
    </row>
    <row r="526" ht="12.75" customHeight="1">
      <c r="E526" s="195"/>
      <c r="F526" s="195"/>
      <c r="G526" s="195"/>
    </row>
    <row r="527" ht="12.75" customHeight="1">
      <c r="E527" s="195"/>
      <c r="F527" s="195"/>
      <c r="G527" s="195"/>
    </row>
    <row r="528" ht="12.75" customHeight="1">
      <c r="E528" s="195"/>
      <c r="F528" s="195"/>
      <c r="G528" s="195"/>
    </row>
    <row r="529" ht="12.75" customHeight="1">
      <c r="E529" s="195"/>
      <c r="F529" s="195"/>
      <c r="G529" s="195"/>
    </row>
    <row r="530" ht="12.75" customHeight="1">
      <c r="E530" s="195"/>
      <c r="F530" s="195"/>
      <c r="G530" s="195"/>
    </row>
    <row r="531" ht="12.75" customHeight="1">
      <c r="E531" s="195"/>
      <c r="F531" s="195"/>
      <c r="G531" s="195"/>
    </row>
    <row r="532" ht="12.75" customHeight="1">
      <c r="E532" s="195"/>
      <c r="F532" s="195"/>
      <c r="G532" s="195"/>
    </row>
    <row r="533" ht="12.75" customHeight="1">
      <c r="E533" s="195"/>
      <c r="F533" s="195"/>
      <c r="G533" s="195"/>
    </row>
    <row r="534" ht="12.75" customHeight="1">
      <c r="E534" s="195"/>
      <c r="F534" s="195"/>
      <c r="G534" s="195"/>
    </row>
    <row r="535" ht="12.75" customHeight="1">
      <c r="E535" s="195"/>
      <c r="F535" s="195"/>
      <c r="G535" s="195"/>
    </row>
    <row r="536" ht="12.75" customHeight="1">
      <c r="E536" s="195"/>
      <c r="F536" s="195"/>
      <c r="G536" s="195"/>
    </row>
    <row r="537" ht="12.75" customHeight="1">
      <c r="E537" s="195"/>
      <c r="F537" s="195"/>
      <c r="G537" s="195"/>
    </row>
    <row r="538" ht="12.75" customHeight="1">
      <c r="E538" s="195"/>
      <c r="F538" s="195"/>
      <c r="G538" s="195"/>
    </row>
    <row r="539" ht="12.75" customHeight="1">
      <c r="E539" s="195"/>
      <c r="F539" s="195"/>
      <c r="G539" s="195"/>
    </row>
    <row r="540" ht="12.75" customHeight="1">
      <c r="E540" s="195"/>
      <c r="F540" s="195"/>
      <c r="G540" s="195"/>
    </row>
    <row r="541" ht="12.75" customHeight="1">
      <c r="E541" s="195"/>
      <c r="F541" s="195"/>
      <c r="G541" s="195"/>
    </row>
    <row r="542" ht="12.75" customHeight="1">
      <c r="E542" s="195"/>
      <c r="F542" s="195"/>
      <c r="G542" s="195"/>
    </row>
    <row r="543" ht="12.75" customHeight="1">
      <c r="E543" s="195"/>
      <c r="F543" s="195"/>
      <c r="G543" s="195"/>
    </row>
    <row r="544" ht="12.75" customHeight="1">
      <c r="E544" s="195"/>
      <c r="F544" s="195"/>
      <c r="G544" s="195"/>
    </row>
    <row r="545" ht="12.75" customHeight="1">
      <c r="E545" s="195"/>
      <c r="F545" s="195"/>
      <c r="G545" s="195"/>
    </row>
    <row r="546" ht="12.75" customHeight="1">
      <c r="E546" s="195"/>
      <c r="F546" s="195"/>
      <c r="G546" s="195"/>
    </row>
    <row r="547" ht="12.75" customHeight="1">
      <c r="E547" s="195"/>
      <c r="F547" s="195"/>
      <c r="G547" s="195"/>
    </row>
    <row r="548" ht="12.75" customHeight="1">
      <c r="E548" s="195"/>
      <c r="F548" s="195"/>
      <c r="G548" s="195"/>
    </row>
    <row r="549" ht="12.75" customHeight="1">
      <c r="E549" s="195"/>
      <c r="F549" s="195"/>
      <c r="G549" s="195"/>
    </row>
    <row r="550" ht="12.75" customHeight="1">
      <c r="E550" s="195"/>
      <c r="F550" s="195"/>
      <c r="G550" s="195"/>
    </row>
    <row r="551" ht="12.75" customHeight="1">
      <c r="E551" s="195"/>
      <c r="F551" s="195"/>
      <c r="G551" s="195"/>
    </row>
    <row r="552" ht="12.75" customHeight="1">
      <c r="E552" s="195"/>
      <c r="F552" s="195"/>
      <c r="G552" s="195"/>
    </row>
    <row r="553" ht="12.75" customHeight="1">
      <c r="E553" s="195"/>
      <c r="F553" s="195"/>
      <c r="G553" s="195"/>
    </row>
    <row r="554" ht="12.75" customHeight="1">
      <c r="E554" s="195"/>
      <c r="F554" s="195"/>
      <c r="G554" s="195"/>
    </row>
    <row r="555" ht="12.75" customHeight="1">
      <c r="E555" s="195"/>
      <c r="F555" s="195"/>
      <c r="G555" s="195"/>
    </row>
    <row r="556" ht="12.75" customHeight="1">
      <c r="E556" s="195"/>
      <c r="F556" s="195"/>
      <c r="G556" s="195"/>
    </row>
    <row r="557" ht="12.75" customHeight="1">
      <c r="E557" s="195"/>
      <c r="F557" s="195"/>
      <c r="G557" s="195"/>
    </row>
    <row r="558" ht="12.75" customHeight="1">
      <c r="E558" s="195"/>
      <c r="F558" s="195"/>
      <c r="G558" s="195"/>
    </row>
    <row r="559" ht="12.75" customHeight="1">
      <c r="E559" s="195"/>
      <c r="F559" s="195"/>
      <c r="G559" s="195"/>
    </row>
    <row r="560" ht="12.75" customHeight="1">
      <c r="E560" s="195"/>
      <c r="F560" s="195"/>
      <c r="G560" s="195"/>
    </row>
    <row r="561" ht="12.75" customHeight="1">
      <c r="E561" s="195"/>
      <c r="F561" s="195"/>
      <c r="G561" s="195"/>
    </row>
    <row r="562" ht="12.75" customHeight="1">
      <c r="E562" s="195"/>
      <c r="F562" s="195"/>
      <c r="G562" s="195"/>
    </row>
    <row r="563" ht="12.75" customHeight="1">
      <c r="E563" s="195"/>
      <c r="F563" s="195"/>
      <c r="G563" s="195"/>
    </row>
    <row r="564" ht="12.75" customHeight="1">
      <c r="E564" s="195"/>
      <c r="F564" s="195"/>
      <c r="G564" s="195"/>
    </row>
    <row r="565" ht="12.75" customHeight="1">
      <c r="E565" s="195"/>
      <c r="F565" s="195"/>
      <c r="G565" s="195"/>
    </row>
    <row r="566" ht="12.75" customHeight="1">
      <c r="E566" s="195"/>
      <c r="F566" s="195"/>
      <c r="G566" s="195"/>
    </row>
    <row r="567" ht="12.75" customHeight="1">
      <c r="E567" s="195"/>
      <c r="F567" s="195"/>
      <c r="G567" s="195"/>
    </row>
    <row r="568" ht="12.75" customHeight="1">
      <c r="E568" s="195"/>
      <c r="F568" s="195"/>
      <c r="G568" s="195"/>
    </row>
    <row r="569" ht="12.75" customHeight="1">
      <c r="E569" s="195"/>
      <c r="F569" s="195"/>
      <c r="G569" s="195"/>
    </row>
    <row r="570" ht="12.75" customHeight="1">
      <c r="E570" s="195"/>
      <c r="F570" s="195"/>
      <c r="G570" s="195"/>
    </row>
    <row r="571" ht="12.75" customHeight="1">
      <c r="E571" s="195"/>
      <c r="F571" s="195"/>
      <c r="G571" s="195"/>
    </row>
    <row r="572" ht="12.75" customHeight="1">
      <c r="E572" s="195"/>
      <c r="F572" s="195"/>
      <c r="G572" s="195"/>
    </row>
    <row r="573" ht="12.75" customHeight="1">
      <c r="E573" s="195"/>
      <c r="F573" s="195"/>
      <c r="G573" s="195"/>
    </row>
    <row r="574" ht="12.75" customHeight="1">
      <c r="E574" s="195"/>
      <c r="F574" s="195"/>
      <c r="G574" s="195"/>
    </row>
    <row r="575" ht="12.75" customHeight="1">
      <c r="E575" s="195"/>
      <c r="F575" s="195"/>
      <c r="G575" s="195"/>
    </row>
    <row r="576" ht="12.75" customHeight="1">
      <c r="E576" s="195"/>
      <c r="F576" s="195"/>
      <c r="G576" s="195"/>
    </row>
    <row r="577" ht="12.75" customHeight="1">
      <c r="E577" s="195"/>
      <c r="F577" s="195"/>
      <c r="G577" s="195"/>
    </row>
    <row r="578" ht="12.75" customHeight="1">
      <c r="E578" s="195"/>
      <c r="F578" s="195"/>
      <c r="G578" s="195"/>
    </row>
    <row r="579" ht="12.75" customHeight="1">
      <c r="E579" s="195"/>
      <c r="F579" s="195"/>
      <c r="G579" s="195"/>
    </row>
    <row r="580" ht="12.75" customHeight="1">
      <c r="E580" s="195"/>
      <c r="F580" s="195"/>
      <c r="G580" s="195"/>
    </row>
    <row r="581" ht="12.75" customHeight="1">
      <c r="E581" s="195"/>
      <c r="F581" s="195"/>
      <c r="G581" s="195"/>
    </row>
    <row r="582" ht="12.75" customHeight="1">
      <c r="E582" s="195"/>
      <c r="F582" s="195"/>
      <c r="G582" s="195"/>
    </row>
    <row r="583" ht="12.75" customHeight="1">
      <c r="E583" s="195"/>
      <c r="F583" s="195"/>
      <c r="G583" s="195"/>
    </row>
    <row r="584" ht="12.75" customHeight="1">
      <c r="E584" s="195"/>
      <c r="F584" s="195"/>
      <c r="G584" s="195"/>
    </row>
    <row r="585" ht="12.75" customHeight="1">
      <c r="E585" s="195"/>
      <c r="F585" s="195"/>
      <c r="G585" s="195"/>
    </row>
    <row r="586" ht="12.75" customHeight="1">
      <c r="E586" s="195"/>
      <c r="F586" s="195"/>
      <c r="G586" s="195"/>
    </row>
    <row r="587" ht="12.75" customHeight="1">
      <c r="E587" s="195"/>
      <c r="F587" s="195"/>
      <c r="G587" s="195"/>
    </row>
    <row r="588" ht="12.75" customHeight="1">
      <c r="E588" s="195"/>
      <c r="F588" s="195"/>
      <c r="G588" s="195"/>
    </row>
    <row r="589" ht="12.75" customHeight="1">
      <c r="E589" s="195"/>
      <c r="F589" s="195"/>
      <c r="G589" s="195"/>
    </row>
    <row r="590" ht="12.75" customHeight="1">
      <c r="E590" s="195"/>
      <c r="F590" s="195"/>
      <c r="G590" s="195"/>
    </row>
    <row r="591" ht="12.75" customHeight="1">
      <c r="E591" s="195"/>
      <c r="F591" s="195"/>
      <c r="G591" s="195"/>
    </row>
    <row r="592" ht="12.75" customHeight="1">
      <c r="E592" s="195"/>
      <c r="F592" s="195"/>
      <c r="G592" s="195"/>
    </row>
    <row r="593" ht="12.75" customHeight="1">
      <c r="E593" s="195"/>
      <c r="F593" s="195"/>
      <c r="G593" s="195"/>
    </row>
    <row r="594" ht="12.75" customHeight="1">
      <c r="E594" s="195"/>
      <c r="F594" s="195"/>
      <c r="G594" s="195"/>
    </row>
    <row r="595" ht="12.75" customHeight="1">
      <c r="E595" s="195"/>
      <c r="F595" s="195"/>
      <c r="G595" s="195"/>
    </row>
    <row r="596" ht="12.75" customHeight="1">
      <c r="E596" s="195"/>
      <c r="F596" s="195"/>
      <c r="G596" s="195"/>
    </row>
    <row r="597" ht="12.75" customHeight="1">
      <c r="E597" s="195"/>
      <c r="F597" s="195"/>
      <c r="G597" s="195"/>
    </row>
    <row r="598" ht="12.75" customHeight="1">
      <c r="E598" s="195"/>
      <c r="F598" s="195"/>
      <c r="G598" s="195"/>
    </row>
    <row r="599" ht="12.75" customHeight="1">
      <c r="E599" s="195"/>
      <c r="F599" s="195"/>
      <c r="G599" s="195"/>
    </row>
    <row r="600" ht="12.75" customHeight="1">
      <c r="E600" s="195"/>
      <c r="F600" s="195"/>
      <c r="G600" s="195"/>
    </row>
    <row r="601" ht="12.75" customHeight="1">
      <c r="E601" s="195"/>
      <c r="F601" s="195"/>
      <c r="G601" s="195"/>
    </row>
    <row r="602" ht="12.75" customHeight="1">
      <c r="E602" s="195"/>
      <c r="F602" s="195"/>
      <c r="G602" s="195"/>
    </row>
    <row r="603" ht="12.75" customHeight="1">
      <c r="E603" s="195"/>
      <c r="F603" s="195"/>
      <c r="G603" s="195"/>
    </row>
    <row r="604" ht="12.75" customHeight="1">
      <c r="E604" s="195"/>
      <c r="F604" s="195"/>
      <c r="G604" s="195"/>
    </row>
    <row r="605" ht="12.75" customHeight="1">
      <c r="E605" s="195"/>
      <c r="F605" s="195"/>
      <c r="G605" s="195"/>
    </row>
    <row r="606" ht="12.75" customHeight="1">
      <c r="E606" s="195"/>
      <c r="F606" s="195"/>
      <c r="G606" s="195"/>
    </row>
    <row r="607" ht="12.75" customHeight="1">
      <c r="E607" s="195"/>
      <c r="F607" s="195"/>
      <c r="G607" s="195"/>
    </row>
    <row r="608" ht="12.75" customHeight="1">
      <c r="E608" s="195"/>
      <c r="F608" s="195"/>
      <c r="G608" s="195"/>
    </row>
    <row r="609" ht="12.75" customHeight="1">
      <c r="E609" s="195"/>
      <c r="F609" s="195"/>
      <c r="G609" s="195"/>
    </row>
    <row r="610" ht="12.75" customHeight="1">
      <c r="E610" s="195"/>
      <c r="F610" s="195"/>
      <c r="G610" s="195"/>
    </row>
    <row r="611" ht="12.75" customHeight="1">
      <c r="E611" s="195"/>
      <c r="F611" s="195"/>
      <c r="G611" s="195"/>
    </row>
    <row r="612" ht="12.75" customHeight="1">
      <c r="E612" s="195"/>
      <c r="F612" s="195"/>
      <c r="G612" s="195"/>
    </row>
    <row r="613" ht="12.75" customHeight="1">
      <c r="E613" s="195"/>
      <c r="F613" s="195"/>
      <c r="G613" s="195"/>
    </row>
    <row r="614" ht="12.75" customHeight="1">
      <c r="E614" s="195"/>
      <c r="F614" s="195"/>
      <c r="G614" s="195"/>
    </row>
    <row r="615" ht="12.75" customHeight="1">
      <c r="E615" s="195"/>
      <c r="F615" s="195"/>
      <c r="G615" s="195"/>
    </row>
    <row r="616" ht="12.75" customHeight="1">
      <c r="E616" s="195"/>
      <c r="F616" s="195"/>
      <c r="G616" s="195"/>
    </row>
    <row r="617" ht="12.75" customHeight="1">
      <c r="E617" s="195"/>
      <c r="F617" s="195"/>
      <c r="G617" s="195"/>
    </row>
    <row r="618" ht="12.75" customHeight="1">
      <c r="E618" s="195"/>
      <c r="F618" s="195"/>
      <c r="G618" s="195"/>
    </row>
    <row r="619" ht="12.75" customHeight="1">
      <c r="E619" s="195"/>
      <c r="F619" s="195"/>
      <c r="G619" s="195"/>
    </row>
    <row r="620" ht="12.75" customHeight="1">
      <c r="E620" s="195"/>
      <c r="F620" s="195"/>
      <c r="G620" s="195"/>
    </row>
    <row r="621" ht="12.75" customHeight="1">
      <c r="E621" s="195"/>
      <c r="F621" s="195"/>
      <c r="G621" s="195"/>
    </row>
    <row r="622" ht="12.75" customHeight="1">
      <c r="E622" s="195"/>
      <c r="F622" s="195"/>
      <c r="G622" s="195"/>
    </row>
    <row r="623" ht="12.75" customHeight="1">
      <c r="E623" s="195"/>
      <c r="F623" s="195"/>
      <c r="G623" s="195"/>
    </row>
    <row r="624" ht="12.75" customHeight="1">
      <c r="E624" s="195"/>
      <c r="F624" s="195"/>
      <c r="G624" s="195"/>
    </row>
    <row r="625" ht="12.75" customHeight="1">
      <c r="E625" s="195"/>
      <c r="F625" s="195"/>
      <c r="G625" s="195"/>
    </row>
    <row r="626" ht="12.75" customHeight="1">
      <c r="E626" s="195"/>
      <c r="F626" s="195"/>
      <c r="G626" s="195"/>
    </row>
    <row r="627" ht="12.75" customHeight="1">
      <c r="E627" s="195"/>
      <c r="F627" s="195"/>
      <c r="G627" s="195"/>
    </row>
    <row r="628" ht="12.75" customHeight="1">
      <c r="E628" s="195"/>
      <c r="F628" s="195"/>
      <c r="G628" s="195"/>
    </row>
    <row r="629" ht="12.75" customHeight="1">
      <c r="E629" s="195"/>
      <c r="F629" s="195"/>
      <c r="G629" s="195"/>
    </row>
    <row r="630" ht="12.75" customHeight="1">
      <c r="E630" s="195"/>
      <c r="F630" s="195"/>
      <c r="G630" s="195"/>
    </row>
    <row r="631" ht="12.75" customHeight="1">
      <c r="E631" s="195"/>
      <c r="F631" s="195"/>
      <c r="G631" s="195"/>
    </row>
    <row r="632" ht="12.75" customHeight="1">
      <c r="E632" s="195"/>
      <c r="F632" s="195"/>
      <c r="G632" s="195"/>
    </row>
    <row r="633" ht="12.75" customHeight="1">
      <c r="E633" s="195"/>
      <c r="F633" s="195"/>
      <c r="G633" s="195"/>
    </row>
    <row r="634" ht="12.75" customHeight="1">
      <c r="E634" s="195"/>
      <c r="F634" s="195"/>
      <c r="G634" s="195"/>
    </row>
    <row r="635" ht="12.75" customHeight="1">
      <c r="E635" s="195"/>
      <c r="F635" s="195"/>
      <c r="G635" s="195"/>
    </row>
    <row r="636" ht="12.75" customHeight="1">
      <c r="E636" s="195"/>
      <c r="F636" s="195"/>
      <c r="G636" s="195"/>
    </row>
    <row r="637" ht="12.75" customHeight="1">
      <c r="E637" s="195"/>
      <c r="F637" s="195"/>
      <c r="G637" s="195"/>
    </row>
    <row r="638" ht="12.75" customHeight="1">
      <c r="E638" s="195"/>
      <c r="F638" s="195"/>
      <c r="G638" s="195"/>
    </row>
    <row r="639" ht="12.75" customHeight="1">
      <c r="E639" s="195"/>
      <c r="F639" s="195"/>
      <c r="G639" s="195"/>
    </row>
    <row r="640" ht="12.75" customHeight="1">
      <c r="E640" s="195"/>
      <c r="F640" s="195"/>
      <c r="G640" s="195"/>
    </row>
    <row r="641" ht="12.75" customHeight="1">
      <c r="E641" s="195"/>
      <c r="F641" s="195"/>
      <c r="G641" s="195"/>
    </row>
    <row r="642" ht="12.75" customHeight="1">
      <c r="E642" s="195"/>
      <c r="F642" s="195"/>
      <c r="G642" s="195"/>
    </row>
    <row r="643" ht="12.75" customHeight="1">
      <c r="E643" s="195"/>
      <c r="F643" s="195"/>
      <c r="G643" s="195"/>
    </row>
    <row r="644" ht="12.75" customHeight="1">
      <c r="E644" s="195"/>
      <c r="F644" s="195"/>
      <c r="G644" s="195"/>
    </row>
    <row r="645" ht="12.75" customHeight="1">
      <c r="E645" s="195"/>
      <c r="F645" s="195"/>
      <c r="G645" s="195"/>
    </row>
    <row r="646" ht="12.75" customHeight="1">
      <c r="E646" s="195"/>
      <c r="F646" s="195"/>
      <c r="G646" s="195"/>
    </row>
    <row r="647" ht="12.75" customHeight="1">
      <c r="E647" s="195"/>
      <c r="F647" s="195"/>
      <c r="G647" s="195"/>
    </row>
    <row r="648" ht="12.75" customHeight="1">
      <c r="E648" s="195"/>
      <c r="F648" s="195"/>
      <c r="G648" s="195"/>
    </row>
    <row r="649" ht="12.75" customHeight="1">
      <c r="E649" s="195"/>
      <c r="F649" s="195"/>
      <c r="G649" s="195"/>
    </row>
    <row r="650" ht="12.75" customHeight="1">
      <c r="E650" s="195"/>
      <c r="F650" s="195"/>
      <c r="G650" s="195"/>
    </row>
    <row r="651" ht="12.75" customHeight="1">
      <c r="E651" s="195"/>
      <c r="F651" s="195"/>
      <c r="G651" s="195"/>
    </row>
    <row r="652" ht="12.75" customHeight="1">
      <c r="E652" s="195"/>
      <c r="F652" s="195"/>
      <c r="G652" s="195"/>
    </row>
    <row r="653" ht="12.75" customHeight="1">
      <c r="E653" s="195"/>
      <c r="F653" s="195"/>
      <c r="G653" s="195"/>
    </row>
    <row r="654" ht="12.75" customHeight="1">
      <c r="E654" s="195"/>
      <c r="F654" s="195"/>
      <c r="G654" s="195"/>
    </row>
    <row r="655" ht="12.75" customHeight="1">
      <c r="E655" s="195"/>
      <c r="F655" s="195"/>
      <c r="G655" s="195"/>
    </row>
    <row r="656" ht="12.75" customHeight="1">
      <c r="E656" s="195"/>
      <c r="F656" s="195"/>
      <c r="G656" s="195"/>
    </row>
    <row r="657" ht="12.75" customHeight="1">
      <c r="E657" s="195"/>
      <c r="F657" s="195"/>
      <c r="G657" s="195"/>
    </row>
    <row r="658" ht="12.75" customHeight="1">
      <c r="E658" s="195"/>
      <c r="F658" s="195"/>
      <c r="G658" s="195"/>
    </row>
    <row r="659" ht="12.75" customHeight="1">
      <c r="E659" s="195"/>
      <c r="F659" s="195"/>
      <c r="G659" s="195"/>
    </row>
    <row r="660" ht="12.75" customHeight="1">
      <c r="E660" s="195"/>
      <c r="F660" s="195"/>
      <c r="G660" s="195"/>
    </row>
    <row r="661" ht="12.75" customHeight="1">
      <c r="E661" s="195"/>
      <c r="F661" s="195"/>
      <c r="G661" s="195"/>
    </row>
    <row r="662" ht="12.75" customHeight="1">
      <c r="E662" s="195"/>
      <c r="F662" s="195"/>
      <c r="G662" s="195"/>
    </row>
    <row r="663" ht="12.75" customHeight="1">
      <c r="E663" s="195"/>
      <c r="F663" s="195"/>
      <c r="G663" s="195"/>
    </row>
    <row r="664" ht="12.75" customHeight="1">
      <c r="E664" s="195"/>
      <c r="F664" s="195"/>
      <c r="G664" s="195"/>
    </row>
    <row r="665" ht="12.75" customHeight="1">
      <c r="E665" s="195"/>
      <c r="F665" s="195"/>
      <c r="G665" s="195"/>
    </row>
    <row r="666" ht="12.75" customHeight="1">
      <c r="E666" s="195"/>
      <c r="F666" s="195"/>
      <c r="G666" s="195"/>
    </row>
    <row r="667" ht="12.75" customHeight="1">
      <c r="E667" s="195"/>
      <c r="F667" s="195"/>
      <c r="G667" s="195"/>
    </row>
    <row r="668" ht="12.75" customHeight="1">
      <c r="E668" s="195"/>
      <c r="F668" s="195"/>
      <c r="G668" s="195"/>
    </row>
    <row r="669" ht="12.75" customHeight="1">
      <c r="E669" s="195"/>
      <c r="F669" s="195"/>
      <c r="G669" s="195"/>
    </row>
    <row r="670" ht="12.75" customHeight="1">
      <c r="E670" s="195"/>
      <c r="F670" s="195"/>
      <c r="G670" s="195"/>
    </row>
    <row r="671" ht="12.75" customHeight="1">
      <c r="E671" s="195"/>
      <c r="F671" s="195"/>
      <c r="G671" s="195"/>
    </row>
    <row r="672" ht="12.75" customHeight="1">
      <c r="E672" s="195"/>
      <c r="F672" s="195"/>
      <c r="G672" s="195"/>
    </row>
    <row r="673" ht="12.75" customHeight="1">
      <c r="E673" s="195"/>
      <c r="F673" s="195"/>
      <c r="G673" s="195"/>
    </row>
    <row r="674" ht="12.75" customHeight="1">
      <c r="E674" s="195"/>
      <c r="F674" s="195"/>
      <c r="G674" s="195"/>
    </row>
    <row r="675" ht="12.75" customHeight="1">
      <c r="E675" s="195"/>
      <c r="F675" s="195"/>
      <c r="G675" s="195"/>
    </row>
    <row r="676" ht="12.75" customHeight="1">
      <c r="E676" s="195"/>
      <c r="F676" s="195"/>
      <c r="G676" s="195"/>
    </row>
    <row r="677" ht="12.75" customHeight="1">
      <c r="E677" s="195"/>
      <c r="F677" s="195"/>
      <c r="G677" s="195"/>
    </row>
    <row r="678" ht="12.75" customHeight="1">
      <c r="E678" s="195"/>
      <c r="F678" s="195"/>
      <c r="G678" s="195"/>
    </row>
    <row r="679" ht="12.75" customHeight="1">
      <c r="E679" s="195"/>
      <c r="F679" s="195"/>
      <c r="G679" s="195"/>
    </row>
    <row r="680" ht="12.75" customHeight="1">
      <c r="E680" s="195"/>
      <c r="F680" s="195"/>
      <c r="G680" s="195"/>
    </row>
    <row r="681" ht="12.75" customHeight="1">
      <c r="E681" s="195"/>
      <c r="F681" s="195"/>
      <c r="G681" s="195"/>
    </row>
    <row r="682" ht="12.75" customHeight="1">
      <c r="E682" s="195"/>
      <c r="F682" s="195"/>
      <c r="G682" s="195"/>
    </row>
    <row r="683" ht="12.75" customHeight="1">
      <c r="E683" s="195"/>
      <c r="F683" s="195"/>
      <c r="G683" s="195"/>
    </row>
    <row r="684" ht="12.75" customHeight="1">
      <c r="E684" s="195"/>
      <c r="F684" s="195"/>
      <c r="G684" s="195"/>
    </row>
    <row r="685" ht="12.75" customHeight="1">
      <c r="E685" s="195"/>
      <c r="F685" s="195"/>
      <c r="G685" s="195"/>
    </row>
    <row r="686" ht="12.75" customHeight="1">
      <c r="E686" s="195"/>
      <c r="F686" s="195"/>
      <c r="G686" s="195"/>
    </row>
    <row r="687" ht="12.75" customHeight="1">
      <c r="E687" s="195"/>
      <c r="F687" s="195"/>
      <c r="G687" s="195"/>
    </row>
    <row r="688" ht="12.75" customHeight="1">
      <c r="E688" s="195"/>
      <c r="F688" s="195"/>
      <c r="G688" s="195"/>
    </row>
    <row r="689" ht="12.75" customHeight="1">
      <c r="E689" s="195"/>
      <c r="F689" s="195"/>
      <c r="G689" s="195"/>
    </row>
    <row r="690" ht="12.75" customHeight="1">
      <c r="E690" s="195"/>
      <c r="F690" s="195"/>
      <c r="G690" s="195"/>
    </row>
    <row r="691" ht="12.75" customHeight="1">
      <c r="E691" s="195"/>
      <c r="F691" s="195"/>
      <c r="G691" s="195"/>
    </row>
    <row r="692" ht="12.75" customHeight="1">
      <c r="E692" s="195"/>
      <c r="F692" s="195"/>
      <c r="G692" s="195"/>
    </row>
    <row r="693" ht="12.75" customHeight="1">
      <c r="E693" s="195"/>
      <c r="F693" s="195"/>
      <c r="G693" s="195"/>
    </row>
    <row r="694" ht="12.75" customHeight="1">
      <c r="E694" s="195"/>
      <c r="F694" s="195"/>
      <c r="G694" s="195"/>
    </row>
    <row r="695" ht="12.75" customHeight="1">
      <c r="E695" s="195"/>
      <c r="F695" s="195"/>
      <c r="G695" s="195"/>
    </row>
    <row r="696" ht="12.75" customHeight="1">
      <c r="E696" s="195"/>
      <c r="F696" s="195"/>
      <c r="G696" s="195"/>
    </row>
    <row r="697" ht="12.75" customHeight="1">
      <c r="E697" s="195"/>
      <c r="F697" s="195"/>
      <c r="G697" s="195"/>
    </row>
    <row r="698" ht="12.75" customHeight="1">
      <c r="E698" s="195"/>
      <c r="F698" s="195"/>
      <c r="G698" s="195"/>
    </row>
    <row r="699" ht="12.75" customHeight="1">
      <c r="E699" s="195"/>
      <c r="F699" s="195"/>
      <c r="G699" s="195"/>
    </row>
    <row r="700" ht="12.75" customHeight="1">
      <c r="E700" s="195"/>
      <c r="F700" s="195"/>
      <c r="G700" s="195"/>
    </row>
    <row r="701" ht="12.75" customHeight="1">
      <c r="E701" s="195"/>
      <c r="F701" s="195"/>
      <c r="G701" s="195"/>
    </row>
    <row r="702" ht="12.75" customHeight="1">
      <c r="E702" s="195"/>
      <c r="F702" s="195"/>
      <c r="G702" s="195"/>
    </row>
    <row r="703" ht="12.75" customHeight="1">
      <c r="E703" s="195"/>
      <c r="F703" s="195"/>
      <c r="G703" s="195"/>
    </row>
    <row r="704" ht="12.75" customHeight="1">
      <c r="E704" s="195"/>
      <c r="F704" s="195"/>
      <c r="G704" s="195"/>
    </row>
    <row r="705" ht="12.75" customHeight="1">
      <c r="E705" s="195"/>
      <c r="F705" s="195"/>
      <c r="G705" s="195"/>
    </row>
    <row r="706" ht="12.75" customHeight="1">
      <c r="E706" s="195"/>
      <c r="F706" s="195"/>
      <c r="G706" s="195"/>
    </row>
    <row r="707" ht="12.75" customHeight="1">
      <c r="E707" s="195"/>
      <c r="F707" s="195"/>
      <c r="G707" s="195"/>
    </row>
    <row r="708" ht="12.75" customHeight="1">
      <c r="E708" s="195"/>
      <c r="F708" s="195"/>
      <c r="G708" s="195"/>
    </row>
    <row r="709" ht="12.75" customHeight="1">
      <c r="E709" s="195"/>
      <c r="F709" s="195"/>
      <c r="G709" s="195"/>
    </row>
    <row r="710" ht="12.75" customHeight="1">
      <c r="E710" s="195"/>
      <c r="F710" s="195"/>
      <c r="G710" s="195"/>
    </row>
    <row r="711" ht="12.75" customHeight="1">
      <c r="E711" s="195"/>
      <c r="F711" s="195"/>
      <c r="G711" s="195"/>
    </row>
    <row r="712" ht="12.75" customHeight="1">
      <c r="E712" s="195"/>
      <c r="F712" s="195"/>
      <c r="G712" s="195"/>
    </row>
    <row r="713" ht="12.75" customHeight="1">
      <c r="E713" s="195"/>
      <c r="F713" s="195"/>
      <c r="G713" s="195"/>
    </row>
    <row r="714" ht="12.75" customHeight="1">
      <c r="E714" s="195"/>
      <c r="F714" s="195"/>
      <c r="G714" s="195"/>
    </row>
    <row r="715" ht="12.75" customHeight="1">
      <c r="E715" s="195"/>
      <c r="F715" s="195"/>
      <c r="G715" s="195"/>
    </row>
    <row r="716" ht="12.75" customHeight="1">
      <c r="E716" s="195"/>
      <c r="F716" s="195"/>
      <c r="G716" s="195"/>
    </row>
    <row r="717" ht="12.75" customHeight="1">
      <c r="E717" s="195"/>
      <c r="F717" s="195"/>
      <c r="G717" s="195"/>
    </row>
    <row r="718" ht="12.75" customHeight="1">
      <c r="E718" s="195"/>
      <c r="F718" s="195"/>
      <c r="G718" s="195"/>
    </row>
    <row r="719" ht="12.75" customHeight="1">
      <c r="E719" s="195"/>
      <c r="F719" s="195"/>
      <c r="G719" s="195"/>
    </row>
    <row r="720" ht="12.75" customHeight="1">
      <c r="E720" s="195"/>
      <c r="F720" s="195"/>
      <c r="G720" s="195"/>
    </row>
    <row r="721" ht="12.75" customHeight="1">
      <c r="E721" s="195"/>
      <c r="F721" s="195"/>
      <c r="G721" s="195"/>
    </row>
    <row r="722" ht="12.75" customHeight="1">
      <c r="E722" s="195"/>
      <c r="F722" s="195"/>
      <c r="G722" s="195"/>
    </row>
    <row r="723" ht="12.75" customHeight="1">
      <c r="E723" s="195"/>
      <c r="F723" s="195"/>
      <c r="G723" s="195"/>
    </row>
    <row r="724" ht="12.75" customHeight="1">
      <c r="E724" s="195"/>
      <c r="F724" s="195"/>
      <c r="G724" s="195"/>
    </row>
    <row r="725" ht="12.75" customHeight="1">
      <c r="E725" s="195"/>
      <c r="F725" s="195"/>
      <c r="G725" s="195"/>
    </row>
    <row r="726" ht="12.75" customHeight="1">
      <c r="E726" s="195"/>
      <c r="F726" s="195"/>
      <c r="G726" s="195"/>
    </row>
    <row r="727" ht="12.75" customHeight="1">
      <c r="E727" s="195"/>
      <c r="F727" s="195"/>
      <c r="G727" s="195"/>
    </row>
    <row r="728" ht="12.75" customHeight="1">
      <c r="E728" s="195"/>
      <c r="F728" s="195"/>
      <c r="G728" s="195"/>
    </row>
    <row r="729" ht="12.75" customHeight="1">
      <c r="E729" s="195"/>
      <c r="F729" s="195"/>
      <c r="G729" s="195"/>
    </row>
    <row r="730" ht="12.75" customHeight="1">
      <c r="E730" s="195"/>
      <c r="F730" s="195"/>
      <c r="G730" s="195"/>
    </row>
    <row r="731" ht="12.75" customHeight="1">
      <c r="E731" s="195"/>
      <c r="F731" s="195"/>
      <c r="G731" s="195"/>
    </row>
    <row r="732" ht="12.75" customHeight="1">
      <c r="E732" s="195"/>
      <c r="F732" s="195"/>
      <c r="G732" s="195"/>
    </row>
    <row r="733" ht="12.75" customHeight="1">
      <c r="E733" s="195"/>
      <c r="F733" s="195"/>
      <c r="G733" s="195"/>
    </row>
    <row r="734" ht="12.75" customHeight="1">
      <c r="E734" s="195"/>
      <c r="F734" s="195"/>
      <c r="G734" s="195"/>
    </row>
    <row r="735" ht="12.75" customHeight="1">
      <c r="E735" s="195"/>
      <c r="F735" s="195"/>
      <c r="G735" s="195"/>
    </row>
    <row r="736" ht="12.75" customHeight="1">
      <c r="E736" s="195"/>
      <c r="F736" s="195"/>
      <c r="G736" s="195"/>
    </row>
    <row r="737" ht="12.75" customHeight="1">
      <c r="E737" s="195"/>
      <c r="F737" s="195"/>
      <c r="G737" s="195"/>
    </row>
    <row r="738" ht="12.75" customHeight="1">
      <c r="E738" s="195"/>
      <c r="F738" s="195"/>
      <c r="G738" s="195"/>
    </row>
    <row r="739" ht="12.75" customHeight="1">
      <c r="E739" s="195"/>
      <c r="F739" s="195"/>
      <c r="G739" s="195"/>
    </row>
    <row r="740" ht="12.75" customHeight="1">
      <c r="E740" s="195"/>
      <c r="F740" s="195"/>
      <c r="G740" s="195"/>
    </row>
    <row r="741" ht="12.75" customHeight="1">
      <c r="E741" s="195"/>
      <c r="F741" s="195"/>
      <c r="G741" s="195"/>
    </row>
    <row r="742" ht="12.75" customHeight="1">
      <c r="E742" s="195"/>
      <c r="F742" s="195"/>
      <c r="G742" s="195"/>
    </row>
    <row r="743" ht="12.75" customHeight="1">
      <c r="E743" s="195"/>
      <c r="F743" s="195"/>
      <c r="G743" s="195"/>
    </row>
    <row r="744" ht="12.75" customHeight="1">
      <c r="E744" s="195"/>
      <c r="F744" s="195"/>
      <c r="G744" s="195"/>
    </row>
    <row r="745" ht="12.75" customHeight="1">
      <c r="E745" s="195"/>
      <c r="F745" s="195"/>
      <c r="G745" s="195"/>
    </row>
    <row r="746" ht="12.75" customHeight="1">
      <c r="E746" s="195"/>
      <c r="F746" s="195"/>
      <c r="G746" s="195"/>
    </row>
    <row r="747" ht="12.75" customHeight="1">
      <c r="E747" s="195"/>
      <c r="F747" s="195"/>
      <c r="G747" s="195"/>
    </row>
    <row r="748" ht="12.75" customHeight="1">
      <c r="E748" s="195"/>
      <c r="F748" s="195"/>
      <c r="G748" s="195"/>
    </row>
    <row r="749" ht="12.75" customHeight="1">
      <c r="E749" s="195"/>
      <c r="F749" s="195"/>
      <c r="G749" s="195"/>
    </row>
    <row r="750" ht="12.75" customHeight="1">
      <c r="E750" s="195"/>
      <c r="F750" s="195"/>
      <c r="G750" s="195"/>
    </row>
    <row r="751" ht="12.75" customHeight="1">
      <c r="E751" s="195"/>
      <c r="F751" s="195"/>
      <c r="G751" s="195"/>
    </row>
    <row r="752" ht="12.75" customHeight="1">
      <c r="E752" s="195"/>
      <c r="F752" s="195"/>
      <c r="G752" s="195"/>
    </row>
    <row r="753" ht="12.75" customHeight="1">
      <c r="E753" s="195"/>
      <c r="F753" s="195"/>
      <c r="G753" s="195"/>
    </row>
    <row r="754" ht="12.75" customHeight="1">
      <c r="E754" s="195"/>
      <c r="F754" s="195"/>
      <c r="G754" s="195"/>
    </row>
    <row r="755" ht="12.75" customHeight="1">
      <c r="E755" s="195"/>
      <c r="F755" s="195"/>
      <c r="G755" s="195"/>
    </row>
    <row r="756" ht="12.75" customHeight="1">
      <c r="E756" s="195"/>
      <c r="F756" s="195"/>
      <c r="G756" s="195"/>
    </row>
    <row r="757" ht="12.75" customHeight="1">
      <c r="E757" s="195"/>
      <c r="F757" s="195"/>
      <c r="G757" s="195"/>
    </row>
    <row r="758" ht="12.75" customHeight="1">
      <c r="E758" s="195"/>
      <c r="F758" s="195"/>
      <c r="G758" s="195"/>
    </row>
    <row r="759" ht="12.75" customHeight="1">
      <c r="E759" s="195"/>
      <c r="F759" s="195"/>
      <c r="G759" s="195"/>
    </row>
    <row r="760" ht="12.75" customHeight="1">
      <c r="E760" s="195"/>
      <c r="F760" s="195"/>
      <c r="G760" s="195"/>
    </row>
    <row r="761" ht="12.75" customHeight="1">
      <c r="E761" s="195"/>
      <c r="F761" s="195"/>
      <c r="G761" s="195"/>
    </row>
    <row r="762" ht="12.75" customHeight="1">
      <c r="E762" s="195"/>
      <c r="F762" s="195"/>
      <c r="G762" s="195"/>
    </row>
    <row r="763" ht="12.75" customHeight="1">
      <c r="E763" s="195"/>
      <c r="F763" s="195"/>
      <c r="G763" s="195"/>
    </row>
    <row r="764" ht="12.75" customHeight="1">
      <c r="E764" s="195"/>
      <c r="F764" s="195"/>
      <c r="G764" s="195"/>
    </row>
    <row r="765" ht="12.75" customHeight="1">
      <c r="E765" s="195"/>
      <c r="F765" s="195"/>
      <c r="G765" s="195"/>
    </row>
    <row r="766" ht="12.75" customHeight="1">
      <c r="E766" s="195"/>
      <c r="F766" s="195"/>
      <c r="G766" s="195"/>
    </row>
    <row r="767" ht="12.75" customHeight="1">
      <c r="E767" s="195"/>
      <c r="F767" s="195"/>
      <c r="G767" s="195"/>
    </row>
    <row r="768" ht="12.75" customHeight="1">
      <c r="E768" s="195"/>
      <c r="F768" s="195"/>
      <c r="G768" s="195"/>
    </row>
    <row r="769" ht="12.75" customHeight="1">
      <c r="E769" s="195"/>
      <c r="F769" s="195"/>
      <c r="G769" s="195"/>
    </row>
    <row r="770" ht="12.75" customHeight="1">
      <c r="E770" s="195"/>
      <c r="F770" s="195"/>
      <c r="G770" s="195"/>
    </row>
    <row r="771" ht="12.75" customHeight="1">
      <c r="E771" s="195"/>
      <c r="F771" s="195"/>
      <c r="G771" s="195"/>
    </row>
    <row r="772" ht="12.75" customHeight="1">
      <c r="E772" s="195"/>
      <c r="F772" s="195"/>
      <c r="G772" s="195"/>
    </row>
    <row r="773" ht="12.75" customHeight="1">
      <c r="E773" s="195"/>
      <c r="F773" s="195"/>
      <c r="G773" s="195"/>
    </row>
    <row r="774" ht="12.75" customHeight="1">
      <c r="E774" s="195"/>
      <c r="F774" s="195"/>
      <c r="G774" s="195"/>
    </row>
    <row r="775" ht="12.75" customHeight="1">
      <c r="E775" s="195"/>
      <c r="F775" s="195"/>
      <c r="G775" s="195"/>
    </row>
    <row r="776" ht="12.75" customHeight="1">
      <c r="E776" s="195"/>
      <c r="F776" s="195"/>
      <c r="G776" s="195"/>
    </row>
    <row r="777" ht="12.75" customHeight="1">
      <c r="E777" s="195"/>
      <c r="F777" s="195"/>
      <c r="G777" s="195"/>
    </row>
    <row r="778" ht="12.75" customHeight="1">
      <c r="E778" s="195"/>
      <c r="F778" s="195"/>
      <c r="G778" s="195"/>
    </row>
    <row r="779" ht="12.75" customHeight="1">
      <c r="E779" s="195"/>
      <c r="F779" s="195"/>
      <c r="G779" s="195"/>
    </row>
    <row r="780" ht="12.75" customHeight="1">
      <c r="E780" s="195"/>
      <c r="F780" s="195"/>
      <c r="G780" s="195"/>
    </row>
    <row r="781" ht="12.75" customHeight="1">
      <c r="E781" s="195"/>
      <c r="F781" s="195"/>
      <c r="G781" s="195"/>
    </row>
    <row r="782" ht="12.75" customHeight="1">
      <c r="E782" s="195"/>
      <c r="F782" s="195"/>
      <c r="G782" s="195"/>
    </row>
    <row r="783" ht="12.75" customHeight="1">
      <c r="E783" s="195"/>
      <c r="F783" s="195"/>
      <c r="G783" s="195"/>
    </row>
    <row r="784" ht="12.75" customHeight="1">
      <c r="E784" s="195"/>
      <c r="F784" s="195"/>
      <c r="G784" s="195"/>
    </row>
    <row r="785" ht="12.75" customHeight="1">
      <c r="E785" s="195"/>
      <c r="F785" s="195"/>
      <c r="G785" s="195"/>
    </row>
    <row r="786" ht="12.75" customHeight="1">
      <c r="E786" s="195"/>
      <c r="F786" s="195"/>
      <c r="G786" s="195"/>
    </row>
    <row r="787" ht="12.75" customHeight="1">
      <c r="E787" s="195"/>
      <c r="F787" s="195"/>
      <c r="G787" s="195"/>
    </row>
    <row r="788" ht="12.75" customHeight="1">
      <c r="E788" s="195"/>
      <c r="F788" s="195"/>
      <c r="G788" s="195"/>
    </row>
    <row r="789" ht="12.75" customHeight="1">
      <c r="E789" s="195"/>
      <c r="F789" s="195"/>
      <c r="G789" s="195"/>
    </row>
    <row r="790" ht="12.75" customHeight="1">
      <c r="E790" s="195"/>
      <c r="F790" s="195"/>
      <c r="G790" s="195"/>
    </row>
    <row r="791" ht="12.75" customHeight="1">
      <c r="E791" s="195"/>
      <c r="F791" s="195"/>
      <c r="G791" s="195"/>
    </row>
    <row r="792" ht="12.75" customHeight="1">
      <c r="E792" s="195"/>
      <c r="F792" s="195"/>
      <c r="G792" s="195"/>
    </row>
    <row r="793" ht="12.75" customHeight="1">
      <c r="E793" s="195"/>
      <c r="F793" s="195"/>
      <c r="G793" s="195"/>
    </row>
    <row r="794" ht="12.75" customHeight="1">
      <c r="E794" s="195"/>
      <c r="F794" s="195"/>
      <c r="G794" s="195"/>
    </row>
    <row r="795" ht="12.75" customHeight="1">
      <c r="E795" s="195"/>
      <c r="F795" s="195"/>
      <c r="G795" s="195"/>
    </row>
    <row r="796" ht="12.75" customHeight="1">
      <c r="E796" s="195"/>
      <c r="F796" s="195"/>
      <c r="G796" s="195"/>
    </row>
    <row r="797" ht="12.75" customHeight="1">
      <c r="E797" s="195"/>
      <c r="F797" s="195"/>
      <c r="G797" s="195"/>
    </row>
    <row r="798" ht="12.75" customHeight="1">
      <c r="E798" s="195"/>
      <c r="F798" s="195"/>
      <c r="G798" s="195"/>
    </row>
    <row r="799" ht="12.75" customHeight="1">
      <c r="E799" s="195"/>
      <c r="F799" s="195"/>
      <c r="G799" s="195"/>
    </row>
    <row r="800" ht="12.75" customHeight="1">
      <c r="E800" s="195"/>
      <c r="F800" s="195"/>
      <c r="G800" s="195"/>
    </row>
    <row r="801" ht="12.75" customHeight="1">
      <c r="E801" s="195"/>
      <c r="F801" s="195"/>
      <c r="G801" s="195"/>
    </row>
    <row r="802" ht="12.75" customHeight="1">
      <c r="E802" s="195"/>
      <c r="F802" s="195"/>
      <c r="G802" s="195"/>
    </row>
    <row r="803" ht="12.75" customHeight="1">
      <c r="E803" s="195"/>
      <c r="F803" s="195"/>
      <c r="G803" s="195"/>
    </row>
    <row r="804" ht="12.75" customHeight="1">
      <c r="E804" s="195"/>
      <c r="F804" s="195"/>
      <c r="G804" s="195"/>
    </row>
    <row r="805" ht="12.75" customHeight="1">
      <c r="E805" s="195"/>
      <c r="F805" s="195"/>
      <c r="G805" s="195"/>
    </row>
    <row r="806" ht="12.75" customHeight="1">
      <c r="E806" s="195"/>
      <c r="F806" s="195"/>
      <c r="G806" s="195"/>
    </row>
    <row r="807" ht="12.75" customHeight="1">
      <c r="E807" s="195"/>
      <c r="F807" s="195"/>
      <c r="G807" s="195"/>
    </row>
    <row r="808" ht="12.75" customHeight="1">
      <c r="E808" s="195"/>
      <c r="F808" s="195"/>
      <c r="G808" s="195"/>
    </row>
    <row r="809" ht="12.75" customHeight="1">
      <c r="E809" s="195"/>
      <c r="F809" s="195"/>
      <c r="G809" s="195"/>
    </row>
    <row r="810" ht="12.75" customHeight="1">
      <c r="E810" s="195"/>
      <c r="F810" s="195"/>
      <c r="G810" s="195"/>
    </row>
    <row r="811" ht="12.75" customHeight="1">
      <c r="E811" s="195"/>
      <c r="F811" s="195"/>
      <c r="G811" s="195"/>
    </row>
    <row r="812" ht="12.75" customHeight="1">
      <c r="E812" s="195"/>
      <c r="F812" s="195"/>
      <c r="G812" s="195"/>
    </row>
    <row r="813" ht="12.75" customHeight="1">
      <c r="E813" s="195"/>
      <c r="F813" s="195"/>
      <c r="G813" s="195"/>
    </row>
    <row r="814" ht="12.75" customHeight="1">
      <c r="E814" s="195"/>
      <c r="F814" s="195"/>
      <c r="G814" s="195"/>
    </row>
    <row r="815" ht="12.75" customHeight="1">
      <c r="E815" s="195"/>
      <c r="F815" s="195"/>
      <c r="G815" s="195"/>
    </row>
    <row r="816" ht="12.75" customHeight="1">
      <c r="E816" s="195"/>
      <c r="F816" s="195"/>
      <c r="G816" s="195"/>
    </row>
    <row r="817" ht="12.75" customHeight="1">
      <c r="E817" s="195"/>
      <c r="F817" s="195"/>
      <c r="G817" s="195"/>
    </row>
    <row r="818" ht="12.75" customHeight="1">
      <c r="E818" s="195"/>
      <c r="F818" s="195"/>
      <c r="G818" s="195"/>
    </row>
    <row r="819" ht="12.75" customHeight="1">
      <c r="E819" s="195"/>
      <c r="F819" s="195"/>
      <c r="G819" s="195"/>
    </row>
    <row r="820" ht="12.75" customHeight="1">
      <c r="E820" s="195"/>
      <c r="F820" s="195"/>
      <c r="G820" s="195"/>
    </row>
    <row r="821" ht="12.75" customHeight="1">
      <c r="E821" s="195"/>
      <c r="F821" s="195"/>
      <c r="G821" s="195"/>
    </row>
    <row r="822" ht="12.75" customHeight="1">
      <c r="E822" s="195"/>
      <c r="F822" s="195"/>
      <c r="G822" s="195"/>
    </row>
    <row r="823" ht="12.75" customHeight="1">
      <c r="E823" s="195"/>
      <c r="F823" s="195"/>
      <c r="G823" s="195"/>
    </row>
    <row r="824" ht="12.75" customHeight="1">
      <c r="E824" s="195"/>
      <c r="F824" s="195"/>
      <c r="G824" s="195"/>
    </row>
    <row r="825" ht="12.75" customHeight="1">
      <c r="E825" s="195"/>
      <c r="F825" s="195"/>
      <c r="G825" s="195"/>
    </row>
    <row r="826" ht="12.75" customHeight="1">
      <c r="E826" s="195"/>
      <c r="F826" s="195"/>
      <c r="G826" s="195"/>
    </row>
    <row r="827" ht="12.75" customHeight="1">
      <c r="E827" s="195"/>
      <c r="F827" s="195"/>
      <c r="G827" s="195"/>
    </row>
    <row r="828" ht="12.75" customHeight="1">
      <c r="E828" s="195"/>
      <c r="F828" s="195"/>
      <c r="G828" s="195"/>
    </row>
    <row r="829" ht="12.75" customHeight="1">
      <c r="E829" s="195"/>
      <c r="F829" s="195"/>
      <c r="G829" s="195"/>
    </row>
    <row r="830" ht="12.75" customHeight="1">
      <c r="E830" s="195"/>
      <c r="F830" s="195"/>
      <c r="G830" s="195"/>
    </row>
    <row r="831" ht="12.75" customHeight="1">
      <c r="E831" s="195"/>
      <c r="F831" s="195"/>
      <c r="G831" s="195"/>
    </row>
    <row r="832" ht="12.75" customHeight="1">
      <c r="E832" s="195"/>
      <c r="F832" s="195"/>
      <c r="G832" s="195"/>
    </row>
    <row r="833" ht="12.75" customHeight="1">
      <c r="E833" s="195"/>
      <c r="F833" s="195"/>
      <c r="G833" s="195"/>
    </row>
    <row r="834" ht="12.75" customHeight="1">
      <c r="E834" s="195"/>
      <c r="F834" s="195"/>
      <c r="G834" s="195"/>
    </row>
    <row r="835" ht="12.75" customHeight="1">
      <c r="E835" s="195"/>
      <c r="F835" s="195"/>
      <c r="G835" s="195"/>
    </row>
    <row r="836" ht="12.75" customHeight="1">
      <c r="E836" s="195"/>
      <c r="F836" s="195"/>
      <c r="G836" s="195"/>
    </row>
    <row r="837" ht="12.75" customHeight="1">
      <c r="E837" s="195"/>
      <c r="F837" s="195"/>
      <c r="G837" s="195"/>
    </row>
    <row r="838" ht="12.75" customHeight="1">
      <c r="E838" s="195"/>
      <c r="F838" s="195"/>
      <c r="G838" s="195"/>
    </row>
    <row r="839" ht="12.75" customHeight="1">
      <c r="E839" s="195"/>
      <c r="F839" s="195"/>
      <c r="G839" s="195"/>
    </row>
    <row r="840" ht="12.75" customHeight="1">
      <c r="E840" s="195"/>
      <c r="F840" s="195"/>
      <c r="G840" s="195"/>
    </row>
    <row r="841" ht="12.75" customHeight="1">
      <c r="E841" s="195"/>
      <c r="F841" s="195"/>
      <c r="G841" s="195"/>
    </row>
    <row r="842" ht="12.75" customHeight="1">
      <c r="E842" s="195"/>
      <c r="F842" s="195"/>
      <c r="G842" s="195"/>
    </row>
    <row r="843" ht="12.75" customHeight="1">
      <c r="E843" s="195"/>
      <c r="F843" s="195"/>
      <c r="G843" s="195"/>
    </row>
    <row r="844" ht="12.75" customHeight="1">
      <c r="E844" s="195"/>
      <c r="F844" s="195"/>
      <c r="G844" s="195"/>
    </row>
    <row r="845" ht="12.75" customHeight="1">
      <c r="E845" s="195"/>
      <c r="F845" s="195"/>
      <c r="G845" s="195"/>
    </row>
    <row r="846" ht="12.75" customHeight="1">
      <c r="E846" s="195"/>
      <c r="F846" s="195"/>
      <c r="G846" s="195"/>
    </row>
    <row r="847" ht="12.75" customHeight="1">
      <c r="E847" s="195"/>
      <c r="F847" s="195"/>
      <c r="G847" s="195"/>
    </row>
    <row r="848" ht="12.75" customHeight="1">
      <c r="E848" s="195"/>
      <c r="F848" s="195"/>
      <c r="G848" s="195"/>
    </row>
    <row r="849" ht="12.75" customHeight="1">
      <c r="E849" s="195"/>
      <c r="F849" s="195"/>
      <c r="G849" s="195"/>
    </row>
    <row r="850" ht="12.75" customHeight="1">
      <c r="E850" s="195"/>
      <c r="F850" s="195"/>
      <c r="G850" s="195"/>
    </row>
    <row r="851" ht="12.75" customHeight="1">
      <c r="E851" s="195"/>
      <c r="F851" s="195"/>
      <c r="G851" s="195"/>
    </row>
    <row r="852" ht="12.75" customHeight="1">
      <c r="E852" s="195"/>
      <c r="F852" s="195"/>
      <c r="G852" s="195"/>
    </row>
    <row r="853" ht="12.75" customHeight="1">
      <c r="E853" s="195"/>
      <c r="F853" s="195"/>
      <c r="G853" s="195"/>
    </row>
    <row r="854" ht="12.75" customHeight="1">
      <c r="E854" s="195"/>
      <c r="F854" s="195"/>
      <c r="G854" s="195"/>
    </row>
    <row r="855" ht="12.75" customHeight="1">
      <c r="E855" s="195"/>
      <c r="F855" s="195"/>
      <c r="G855" s="195"/>
    </row>
    <row r="856" ht="12.75" customHeight="1">
      <c r="E856" s="195"/>
      <c r="F856" s="195"/>
      <c r="G856" s="195"/>
    </row>
    <row r="857" ht="12.75" customHeight="1">
      <c r="E857" s="195"/>
      <c r="F857" s="195"/>
      <c r="G857" s="195"/>
    </row>
    <row r="858" ht="12.75" customHeight="1">
      <c r="E858" s="195"/>
      <c r="F858" s="195"/>
      <c r="G858" s="195"/>
    </row>
    <row r="859" ht="12.75" customHeight="1">
      <c r="E859" s="195"/>
      <c r="F859" s="195"/>
      <c r="G859" s="195"/>
    </row>
    <row r="860" ht="12.75" customHeight="1">
      <c r="E860" s="195"/>
      <c r="F860" s="195"/>
      <c r="G860" s="195"/>
    </row>
    <row r="861" ht="12.75" customHeight="1">
      <c r="E861" s="195"/>
      <c r="F861" s="195"/>
      <c r="G861" s="195"/>
    </row>
    <row r="862" ht="12.75" customHeight="1">
      <c r="E862" s="195"/>
      <c r="F862" s="195"/>
      <c r="G862" s="195"/>
    </row>
    <row r="863" ht="12.75" customHeight="1">
      <c r="E863" s="195"/>
      <c r="F863" s="195"/>
      <c r="G863" s="195"/>
    </row>
    <row r="864" ht="12.75" customHeight="1">
      <c r="E864" s="195"/>
      <c r="F864" s="195"/>
      <c r="G864" s="195"/>
    </row>
    <row r="865" ht="12.75" customHeight="1">
      <c r="E865" s="195"/>
      <c r="F865" s="195"/>
      <c r="G865" s="195"/>
    </row>
    <row r="866" ht="12.75" customHeight="1">
      <c r="E866" s="195"/>
      <c r="F866" s="195"/>
      <c r="G866" s="195"/>
    </row>
    <row r="867" ht="12.75" customHeight="1">
      <c r="E867" s="195"/>
      <c r="F867" s="195"/>
      <c r="G867" s="195"/>
    </row>
    <row r="868" ht="12.75" customHeight="1">
      <c r="E868" s="195"/>
      <c r="F868" s="195"/>
      <c r="G868" s="195"/>
    </row>
    <row r="869" ht="12.75" customHeight="1">
      <c r="E869" s="195"/>
      <c r="F869" s="195"/>
      <c r="G869" s="195"/>
    </row>
    <row r="870" ht="12.75" customHeight="1">
      <c r="E870" s="195"/>
      <c r="F870" s="195"/>
      <c r="G870" s="195"/>
    </row>
    <row r="871" ht="12.75" customHeight="1">
      <c r="E871" s="195"/>
      <c r="F871" s="195"/>
      <c r="G871" s="195"/>
    </row>
    <row r="872" ht="12.75" customHeight="1">
      <c r="E872" s="195"/>
      <c r="F872" s="195"/>
      <c r="G872" s="195"/>
    </row>
    <row r="873" ht="12.75" customHeight="1">
      <c r="E873" s="195"/>
      <c r="F873" s="195"/>
      <c r="G873" s="195"/>
    </row>
    <row r="874" ht="12.75" customHeight="1">
      <c r="E874" s="195"/>
      <c r="F874" s="195"/>
      <c r="G874" s="195"/>
    </row>
    <row r="875" ht="12.75" customHeight="1">
      <c r="E875" s="195"/>
      <c r="F875" s="195"/>
      <c r="G875" s="195"/>
    </row>
    <row r="876" ht="12.75" customHeight="1">
      <c r="E876" s="195"/>
      <c r="F876" s="195"/>
      <c r="G876" s="195"/>
    </row>
    <row r="877" ht="12.75" customHeight="1">
      <c r="E877" s="195"/>
      <c r="F877" s="195"/>
      <c r="G877" s="195"/>
    </row>
    <row r="878" ht="12.75" customHeight="1">
      <c r="E878" s="195"/>
      <c r="F878" s="195"/>
      <c r="G878" s="195"/>
    </row>
    <row r="879" ht="12.75" customHeight="1">
      <c r="E879" s="195"/>
      <c r="F879" s="195"/>
      <c r="G879" s="195"/>
    </row>
    <row r="880" ht="12.75" customHeight="1">
      <c r="E880" s="195"/>
      <c r="F880" s="195"/>
      <c r="G880" s="195"/>
    </row>
    <row r="881" ht="12.75" customHeight="1">
      <c r="E881" s="195"/>
      <c r="F881" s="195"/>
      <c r="G881" s="195"/>
    </row>
    <row r="882" ht="12.75" customHeight="1">
      <c r="E882" s="195"/>
      <c r="F882" s="195"/>
      <c r="G882" s="195"/>
    </row>
    <row r="883" ht="12.75" customHeight="1">
      <c r="E883" s="195"/>
      <c r="F883" s="195"/>
      <c r="G883" s="195"/>
    </row>
    <row r="884" ht="12.75" customHeight="1">
      <c r="E884" s="195"/>
      <c r="F884" s="195"/>
      <c r="G884" s="195"/>
    </row>
    <row r="885" ht="12.75" customHeight="1">
      <c r="E885" s="195"/>
      <c r="F885" s="195"/>
      <c r="G885" s="195"/>
    </row>
    <row r="886" ht="12.75" customHeight="1">
      <c r="E886" s="195"/>
      <c r="F886" s="195"/>
      <c r="G886" s="195"/>
    </row>
    <row r="887" ht="12.75" customHeight="1">
      <c r="E887" s="195"/>
      <c r="F887" s="195"/>
      <c r="G887" s="195"/>
    </row>
    <row r="888" ht="12.75" customHeight="1">
      <c r="E888" s="195"/>
      <c r="F888" s="195"/>
      <c r="G888" s="195"/>
    </row>
    <row r="889" ht="12.75" customHeight="1">
      <c r="E889" s="195"/>
      <c r="F889" s="195"/>
      <c r="G889" s="195"/>
    </row>
    <row r="890" ht="12.75" customHeight="1">
      <c r="E890" s="195"/>
      <c r="F890" s="195"/>
      <c r="G890" s="195"/>
    </row>
    <row r="891" ht="12.75" customHeight="1">
      <c r="E891" s="195"/>
      <c r="F891" s="195"/>
      <c r="G891" s="195"/>
    </row>
    <row r="892" ht="12.75" customHeight="1">
      <c r="E892" s="195"/>
      <c r="F892" s="195"/>
      <c r="G892" s="195"/>
    </row>
    <row r="893" ht="12.75" customHeight="1">
      <c r="E893" s="195"/>
      <c r="F893" s="195"/>
      <c r="G893" s="195"/>
    </row>
    <row r="894" ht="12.75" customHeight="1">
      <c r="E894" s="195"/>
      <c r="F894" s="195"/>
      <c r="G894" s="195"/>
    </row>
    <row r="895" ht="12.75" customHeight="1">
      <c r="E895" s="195"/>
      <c r="F895" s="195"/>
      <c r="G895" s="195"/>
    </row>
    <row r="896" ht="12.75" customHeight="1">
      <c r="E896" s="195"/>
      <c r="F896" s="195"/>
      <c r="G896" s="195"/>
    </row>
    <row r="897" ht="12.75" customHeight="1">
      <c r="E897" s="195"/>
      <c r="F897" s="195"/>
      <c r="G897" s="195"/>
    </row>
    <row r="898" ht="12.75" customHeight="1">
      <c r="E898" s="195"/>
      <c r="F898" s="195"/>
      <c r="G898" s="195"/>
    </row>
    <row r="899" ht="12.75" customHeight="1">
      <c r="E899" s="195"/>
      <c r="F899" s="195"/>
      <c r="G899" s="195"/>
    </row>
    <row r="900" ht="12.75" customHeight="1">
      <c r="E900" s="195"/>
      <c r="F900" s="195"/>
      <c r="G900" s="195"/>
    </row>
    <row r="901" ht="12.75" customHeight="1">
      <c r="E901" s="195"/>
      <c r="F901" s="195"/>
      <c r="G901" s="195"/>
    </row>
    <row r="902" ht="12.75" customHeight="1">
      <c r="E902" s="195"/>
      <c r="F902" s="195"/>
      <c r="G902" s="195"/>
    </row>
    <row r="903" ht="12.75" customHeight="1">
      <c r="E903" s="195"/>
      <c r="F903" s="195"/>
      <c r="G903" s="195"/>
    </row>
    <row r="904" ht="12.75" customHeight="1">
      <c r="E904" s="195"/>
      <c r="F904" s="195"/>
      <c r="G904" s="195"/>
    </row>
    <row r="905" ht="12.75" customHeight="1">
      <c r="E905" s="195"/>
      <c r="F905" s="195"/>
      <c r="G905" s="195"/>
    </row>
    <row r="906" ht="12.75" customHeight="1">
      <c r="E906" s="195"/>
      <c r="F906" s="195"/>
      <c r="G906" s="195"/>
    </row>
    <row r="907" ht="12.75" customHeight="1">
      <c r="E907" s="195"/>
      <c r="F907" s="195"/>
      <c r="G907" s="195"/>
    </row>
    <row r="908" ht="12.75" customHeight="1">
      <c r="E908" s="195"/>
      <c r="F908" s="195"/>
      <c r="G908" s="195"/>
    </row>
    <row r="909" ht="12.75" customHeight="1">
      <c r="E909" s="195"/>
      <c r="F909" s="195"/>
      <c r="G909" s="195"/>
    </row>
    <row r="910" ht="12.75" customHeight="1">
      <c r="E910" s="195"/>
      <c r="F910" s="195"/>
      <c r="G910" s="195"/>
    </row>
    <row r="911" ht="12.75" customHeight="1">
      <c r="E911" s="195"/>
      <c r="F911" s="195"/>
      <c r="G911" s="195"/>
    </row>
    <row r="912" ht="12.75" customHeight="1">
      <c r="E912" s="195"/>
      <c r="F912" s="195"/>
      <c r="G912" s="195"/>
    </row>
    <row r="913" ht="12.75" customHeight="1">
      <c r="E913" s="195"/>
      <c r="F913" s="195"/>
      <c r="G913" s="195"/>
    </row>
    <row r="914" ht="12.75" customHeight="1">
      <c r="E914" s="195"/>
      <c r="F914" s="195"/>
      <c r="G914" s="195"/>
    </row>
    <row r="915" ht="12.75" customHeight="1">
      <c r="E915" s="195"/>
      <c r="F915" s="195"/>
      <c r="G915" s="195"/>
    </row>
    <row r="916" ht="12.75" customHeight="1">
      <c r="E916" s="195"/>
      <c r="F916" s="195"/>
      <c r="G916" s="195"/>
    </row>
    <row r="917" ht="12.75" customHeight="1">
      <c r="E917" s="195"/>
      <c r="F917" s="195"/>
      <c r="G917" s="195"/>
    </row>
    <row r="918" ht="12.75" customHeight="1">
      <c r="E918" s="195"/>
      <c r="F918" s="195"/>
      <c r="G918" s="195"/>
    </row>
    <row r="919" ht="12.75" customHeight="1">
      <c r="E919" s="195"/>
      <c r="F919" s="195"/>
      <c r="G919" s="195"/>
    </row>
    <row r="920" ht="12.75" customHeight="1">
      <c r="E920" s="195"/>
      <c r="F920" s="195"/>
      <c r="G920" s="195"/>
    </row>
    <row r="921" ht="12.75" customHeight="1">
      <c r="E921" s="195"/>
      <c r="F921" s="195"/>
      <c r="G921" s="195"/>
    </row>
    <row r="922" ht="12.75" customHeight="1">
      <c r="E922" s="195"/>
      <c r="F922" s="195"/>
      <c r="G922" s="195"/>
    </row>
    <row r="923" ht="12.75" customHeight="1">
      <c r="E923" s="195"/>
      <c r="F923" s="195"/>
      <c r="G923" s="195"/>
    </row>
    <row r="924" ht="12.75" customHeight="1">
      <c r="E924" s="195"/>
      <c r="F924" s="195"/>
      <c r="G924" s="195"/>
    </row>
    <row r="925" ht="12.75" customHeight="1">
      <c r="E925" s="195"/>
      <c r="F925" s="195"/>
      <c r="G925" s="195"/>
    </row>
    <row r="926" ht="12.75" customHeight="1">
      <c r="E926" s="195"/>
      <c r="F926" s="195"/>
      <c r="G926" s="195"/>
    </row>
    <row r="927" ht="12.75" customHeight="1">
      <c r="E927" s="195"/>
      <c r="F927" s="195"/>
      <c r="G927" s="195"/>
    </row>
    <row r="928" ht="12.75" customHeight="1">
      <c r="E928" s="195"/>
      <c r="F928" s="195"/>
      <c r="G928" s="195"/>
    </row>
    <row r="929" ht="12.75" customHeight="1">
      <c r="E929" s="195"/>
      <c r="F929" s="195"/>
      <c r="G929" s="195"/>
    </row>
    <row r="930" ht="12.75" customHeight="1">
      <c r="E930" s="195"/>
      <c r="F930" s="195"/>
      <c r="G930" s="195"/>
    </row>
    <row r="931" ht="12.75" customHeight="1">
      <c r="E931" s="195"/>
      <c r="F931" s="195"/>
      <c r="G931" s="195"/>
    </row>
    <row r="932" ht="12.75" customHeight="1">
      <c r="E932" s="195"/>
      <c r="F932" s="195"/>
      <c r="G932" s="195"/>
    </row>
    <row r="933" ht="12.75" customHeight="1">
      <c r="E933" s="195"/>
      <c r="F933" s="195"/>
      <c r="G933" s="195"/>
    </row>
    <row r="934" ht="12.75" customHeight="1">
      <c r="E934" s="195"/>
      <c r="F934" s="195"/>
      <c r="G934" s="195"/>
    </row>
    <row r="935" ht="12.75" customHeight="1">
      <c r="E935" s="195"/>
      <c r="F935" s="195"/>
      <c r="G935" s="195"/>
    </row>
    <row r="936" ht="12.75" customHeight="1">
      <c r="E936" s="195"/>
      <c r="F936" s="195"/>
      <c r="G936" s="195"/>
    </row>
    <row r="937" ht="12.75" customHeight="1">
      <c r="E937" s="195"/>
      <c r="F937" s="195"/>
      <c r="G937" s="195"/>
    </row>
    <row r="938" ht="12.75" customHeight="1">
      <c r="E938" s="195"/>
      <c r="F938" s="195"/>
      <c r="G938" s="195"/>
    </row>
    <row r="939" ht="12.75" customHeight="1">
      <c r="E939" s="195"/>
      <c r="F939" s="195"/>
      <c r="G939" s="195"/>
    </row>
    <row r="940" ht="12.75" customHeight="1">
      <c r="E940" s="195"/>
      <c r="F940" s="195"/>
      <c r="G940" s="195"/>
    </row>
    <row r="941" ht="12.75" customHeight="1">
      <c r="E941" s="195"/>
      <c r="F941" s="195"/>
      <c r="G941" s="195"/>
    </row>
    <row r="942" ht="12.75" customHeight="1">
      <c r="E942" s="195"/>
      <c r="F942" s="195"/>
      <c r="G942" s="195"/>
    </row>
    <row r="943" ht="12.75" customHeight="1">
      <c r="E943" s="195"/>
      <c r="F943" s="195"/>
      <c r="G943" s="195"/>
    </row>
    <row r="944" ht="12.75" customHeight="1">
      <c r="E944" s="195"/>
      <c r="F944" s="195"/>
      <c r="G944" s="195"/>
    </row>
    <row r="945" ht="12.75" customHeight="1">
      <c r="E945" s="195"/>
      <c r="F945" s="195"/>
      <c r="G945" s="195"/>
    </row>
    <row r="946" ht="12.75" customHeight="1">
      <c r="E946" s="195"/>
      <c r="F946" s="195"/>
      <c r="G946" s="195"/>
    </row>
    <row r="947" ht="12.75" customHeight="1">
      <c r="E947" s="195"/>
      <c r="F947" s="195"/>
      <c r="G947" s="195"/>
    </row>
    <row r="948" ht="12.75" customHeight="1">
      <c r="E948" s="195"/>
      <c r="F948" s="195"/>
      <c r="G948" s="195"/>
    </row>
    <row r="949" ht="12.75" customHeight="1">
      <c r="E949" s="195"/>
      <c r="F949" s="195"/>
      <c r="G949" s="195"/>
    </row>
    <row r="950" ht="12.75" customHeight="1">
      <c r="E950" s="195"/>
      <c r="F950" s="195"/>
      <c r="G950" s="195"/>
    </row>
    <row r="951" ht="12.75" customHeight="1">
      <c r="E951" s="195"/>
      <c r="F951" s="195"/>
      <c r="G951" s="195"/>
    </row>
    <row r="952" ht="12.75" customHeight="1">
      <c r="E952" s="195"/>
      <c r="F952" s="195"/>
      <c r="G952" s="195"/>
    </row>
    <row r="953" ht="12.75" customHeight="1">
      <c r="E953" s="195"/>
      <c r="F953" s="195"/>
      <c r="G953" s="195"/>
    </row>
    <row r="954" ht="12.75" customHeight="1">
      <c r="E954" s="195"/>
      <c r="F954" s="195"/>
      <c r="G954" s="195"/>
    </row>
    <row r="955" ht="12.75" customHeight="1">
      <c r="E955" s="195"/>
      <c r="F955" s="195"/>
      <c r="G955" s="195"/>
    </row>
    <row r="956" ht="12.75" customHeight="1">
      <c r="E956" s="195"/>
      <c r="F956" s="195"/>
      <c r="G956" s="195"/>
    </row>
    <row r="957" ht="12.75" customHeight="1">
      <c r="E957" s="195"/>
      <c r="F957" s="195"/>
      <c r="G957" s="195"/>
    </row>
    <row r="958" ht="12.75" customHeight="1">
      <c r="E958" s="195"/>
      <c r="F958" s="195"/>
      <c r="G958" s="195"/>
    </row>
    <row r="959" ht="12.75" customHeight="1">
      <c r="E959" s="195"/>
      <c r="F959" s="195"/>
      <c r="G959" s="195"/>
    </row>
    <row r="960" ht="12.75" customHeight="1">
      <c r="E960" s="195"/>
      <c r="F960" s="195"/>
      <c r="G960" s="195"/>
    </row>
    <row r="961" ht="12.75" customHeight="1">
      <c r="E961" s="195"/>
      <c r="F961" s="195"/>
      <c r="G961" s="195"/>
    </row>
    <row r="962" ht="12.75" customHeight="1">
      <c r="E962" s="195"/>
      <c r="F962" s="195"/>
      <c r="G962" s="195"/>
    </row>
    <row r="963" ht="12.75" customHeight="1">
      <c r="E963" s="195"/>
      <c r="F963" s="195"/>
      <c r="G963" s="195"/>
    </row>
    <row r="964" ht="12.75" customHeight="1">
      <c r="E964" s="195"/>
      <c r="F964" s="195"/>
      <c r="G964" s="195"/>
    </row>
    <row r="965" ht="12.75" customHeight="1">
      <c r="E965" s="195"/>
      <c r="F965" s="195"/>
      <c r="G965" s="195"/>
    </row>
    <row r="966" ht="12.75" customHeight="1">
      <c r="E966" s="195"/>
      <c r="F966" s="195"/>
      <c r="G966" s="195"/>
    </row>
    <row r="967" ht="12.75" customHeight="1">
      <c r="E967" s="195"/>
      <c r="F967" s="195"/>
      <c r="G967" s="195"/>
    </row>
    <row r="968" ht="12.75" customHeight="1">
      <c r="E968" s="195"/>
      <c r="F968" s="195"/>
      <c r="G968" s="195"/>
    </row>
    <row r="969" ht="12.75" customHeight="1">
      <c r="E969" s="195"/>
      <c r="F969" s="195"/>
      <c r="G969" s="195"/>
    </row>
    <row r="970" ht="12.75" customHeight="1">
      <c r="E970" s="195"/>
      <c r="F970" s="195"/>
      <c r="G970" s="195"/>
    </row>
    <row r="971" ht="12.75" customHeight="1">
      <c r="E971" s="195"/>
      <c r="F971" s="195"/>
      <c r="G971" s="195"/>
    </row>
    <row r="972" ht="12.75" customHeight="1">
      <c r="E972" s="195"/>
      <c r="F972" s="195"/>
      <c r="G972" s="195"/>
    </row>
    <row r="973" ht="12.75" customHeight="1">
      <c r="E973" s="195"/>
      <c r="F973" s="195"/>
      <c r="G973" s="195"/>
    </row>
    <row r="974" ht="12.75" customHeight="1">
      <c r="E974" s="195"/>
      <c r="F974" s="195"/>
      <c r="G974" s="195"/>
    </row>
    <row r="975" ht="12.75" customHeight="1">
      <c r="E975" s="195"/>
      <c r="F975" s="195"/>
      <c r="G975" s="195"/>
    </row>
    <row r="976" ht="12.75" customHeight="1">
      <c r="E976" s="195"/>
      <c r="F976" s="195"/>
      <c r="G976" s="195"/>
    </row>
    <row r="977" ht="12.75" customHeight="1">
      <c r="E977" s="195"/>
      <c r="F977" s="195"/>
      <c r="G977" s="195"/>
    </row>
    <row r="978" ht="12.75" customHeight="1">
      <c r="E978" s="195"/>
      <c r="F978" s="195"/>
      <c r="G978" s="195"/>
    </row>
    <row r="979" ht="12.75" customHeight="1">
      <c r="E979" s="195"/>
      <c r="F979" s="195"/>
      <c r="G979" s="195"/>
    </row>
    <row r="980" ht="12.75" customHeight="1">
      <c r="E980" s="195"/>
      <c r="F980" s="195"/>
      <c r="G980" s="195"/>
    </row>
    <row r="981" ht="12.75" customHeight="1">
      <c r="E981" s="195"/>
      <c r="F981" s="195"/>
      <c r="G981" s="195"/>
    </row>
    <row r="982" ht="12.75" customHeight="1">
      <c r="E982" s="195"/>
      <c r="F982" s="195"/>
      <c r="G982" s="195"/>
    </row>
    <row r="983" ht="12.75" customHeight="1">
      <c r="E983" s="195"/>
      <c r="F983" s="195"/>
      <c r="G983" s="195"/>
    </row>
    <row r="984" ht="12.75" customHeight="1">
      <c r="E984" s="195"/>
      <c r="F984" s="195"/>
      <c r="G984" s="195"/>
    </row>
    <row r="985" ht="12.75" customHeight="1">
      <c r="E985" s="195"/>
      <c r="F985" s="195"/>
      <c r="G985" s="195"/>
    </row>
    <row r="986" ht="12.75" customHeight="1">
      <c r="E986" s="195"/>
      <c r="F986" s="195"/>
      <c r="G986" s="195"/>
    </row>
    <row r="987" ht="12.75" customHeight="1">
      <c r="E987" s="195"/>
      <c r="F987" s="195"/>
      <c r="G987" s="195"/>
    </row>
    <row r="988" ht="12.75" customHeight="1">
      <c r="E988" s="195"/>
      <c r="F988" s="195"/>
      <c r="G988" s="195"/>
    </row>
    <row r="989" ht="12.75" customHeight="1">
      <c r="E989" s="195"/>
      <c r="F989" s="195"/>
      <c r="G989" s="195"/>
    </row>
    <row r="990" ht="12.75" customHeight="1">
      <c r="E990" s="195"/>
      <c r="F990" s="195"/>
      <c r="G990" s="195"/>
    </row>
    <row r="991" ht="12.75" customHeight="1">
      <c r="E991" s="195"/>
      <c r="F991" s="195"/>
      <c r="G991" s="195"/>
    </row>
    <row r="992" ht="12.75" customHeight="1">
      <c r="E992" s="195"/>
      <c r="F992" s="195"/>
      <c r="G992" s="195"/>
    </row>
    <row r="993" ht="12.75" customHeight="1">
      <c r="E993" s="195"/>
      <c r="F993" s="195"/>
      <c r="G993" s="195"/>
    </row>
    <row r="994" ht="12.75" customHeight="1">
      <c r="E994" s="195"/>
      <c r="F994" s="195"/>
      <c r="G994" s="195"/>
    </row>
    <row r="995" ht="12.75" customHeight="1">
      <c r="E995" s="195"/>
      <c r="F995" s="195"/>
      <c r="G995" s="195"/>
    </row>
    <row r="996" ht="12.75" customHeight="1">
      <c r="E996" s="195"/>
      <c r="F996" s="195"/>
      <c r="G996" s="195"/>
    </row>
    <row r="997" ht="12.75" customHeight="1">
      <c r="E997" s="195"/>
      <c r="F997" s="195"/>
      <c r="G997" s="195"/>
    </row>
    <row r="998" ht="12.75" customHeight="1">
      <c r="E998" s="195"/>
      <c r="F998" s="195"/>
      <c r="G998" s="195"/>
    </row>
    <row r="999" ht="12.75" customHeight="1">
      <c r="E999" s="195"/>
      <c r="F999" s="195"/>
      <c r="G999" s="195"/>
    </row>
    <row r="1000" ht="12.75" customHeight="1">
      <c r="E1000" s="195"/>
      <c r="F1000" s="195"/>
      <c r="G1000" s="195"/>
    </row>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9" width="19.13"/>
    <col customWidth="1" min="10" max="10" width="43.38"/>
    <col customWidth="1" min="11" max="26" width="10.0"/>
  </cols>
  <sheetData>
    <row r="1" ht="12.75" customHeight="1">
      <c r="A1" s="21" t="s">
        <v>465</v>
      </c>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466</v>
      </c>
      <c r="C7" s="21" t="s">
        <v>467</v>
      </c>
      <c r="D7" s="137" t="s">
        <v>468</v>
      </c>
      <c r="E7" s="137" t="s">
        <v>469</v>
      </c>
      <c r="F7" s="237" t="s">
        <v>470</v>
      </c>
      <c r="G7" s="238" t="s">
        <v>471</v>
      </c>
      <c r="H7" s="49" t="s">
        <v>19</v>
      </c>
      <c r="I7" s="137" t="s">
        <v>472</v>
      </c>
      <c r="J7" s="137" t="s">
        <v>473</v>
      </c>
      <c r="K7" s="24"/>
      <c r="L7" s="24"/>
      <c r="M7" s="24"/>
      <c r="N7" s="24"/>
      <c r="O7" s="24"/>
      <c r="P7" s="24"/>
      <c r="Q7" s="24"/>
      <c r="R7" s="24"/>
      <c r="S7" s="24"/>
      <c r="T7" s="24"/>
      <c r="U7" s="24"/>
      <c r="V7" s="24"/>
      <c r="W7" s="24"/>
      <c r="X7" s="24"/>
      <c r="Y7" s="24"/>
      <c r="Z7" s="24"/>
    </row>
    <row r="8">
      <c r="A8" s="67" t="s">
        <v>22</v>
      </c>
      <c r="B8" s="188" t="s">
        <v>474</v>
      </c>
      <c r="C8" s="188" t="s">
        <v>475</v>
      </c>
      <c r="D8" s="239" t="s">
        <v>476</v>
      </c>
      <c r="E8" s="240" t="s">
        <v>477</v>
      </c>
      <c r="F8" s="240" t="s">
        <v>478</v>
      </c>
      <c r="G8" s="241" t="s">
        <v>479</v>
      </c>
      <c r="H8" s="230" t="s">
        <v>204</v>
      </c>
      <c r="I8" s="188" t="s">
        <v>480</v>
      </c>
      <c r="J8" s="242" t="s">
        <v>481</v>
      </c>
    </row>
    <row r="9">
      <c r="A9" s="67" t="s">
        <v>31</v>
      </c>
      <c r="B9" s="188" t="s">
        <v>482</v>
      </c>
      <c r="C9" s="188" t="s">
        <v>475</v>
      </c>
      <c r="D9" s="242" t="s">
        <v>483</v>
      </c>
      <c r="E9" s="240" t="s">
        <v>477</v>
      </c>
      <c r="F9" s="240" t="s">
        <v>478</v>
      </c>
      <c r="G9" s="241" t="s">
        <v>479</v>
      </c>
      <c r="H9" s="230" t="s">
        <v>204</v>
      </c>
      <c r="I9" s="188" t="s">
        <v>480</v>
      </c>
      <c r="J9" s="243" t="s">
        <v>484</v>
      </c>
    </row>
    <row r="10">
      <c r="A10" s="67" t="s">
        <v>40</v>
      </c>
      <c r="B10" s="188" t="s">
        <v>485</v>
      </c>
      <c r="C10" s="188" t="s">
        <v>475</v>
      </c>
      <c r="D10" s="244" t="s">
        <v>486</v>
      </c>
      <c r="E10" s="240" t="s">
        <v>477</v>
      </c>
      <c r="F10" s="240" t="s">
        <v>478</v>
      </c>
      <c r="G10" s="241" t="s">
        <v>479</v>
      </c>
      <c r="H10" s="230" t="s">
        <v>204</v>
      </c>
      <c r="I10" s="188" t="s">
        <v>480</v>
      </c>
      <c r="J10" s="243" t="s">
        <v>487</v>
      </c>
    </row>
    <row r="11" ht="15.0" hidden="1" customHeight="1">
      <c r="A11" s="36"/>
      <c r="B11" s="78"/>
      <c r="C11" s="78"/>
      <c r="D11" s="78"/>
      <c r="E11" s="78"/>
      <c r="F11" s="78"/>
      <c r="G11" s="78"/>
      <c r="H11" s="78"/>
      <c r="I11" s="78"/>
      <c r="J11" s="78"/>
    </row>
    <row r="12" ht="12.75" customHeight="1"/>
    <row r="13" ht="138.75" customHeight="1">
      <c r="A13" s="39" t="s">
        <v>488</v>
      </c>
      <c r="B13" s="17"/>
      <c r="C13" s="17"/>
      <c r="D13" s="17"/>
      <c r="E13" s="17"/>
      <c r="F13" s="17"/>
      <c r="G13" s="17"/>
      <c r="H13" s="17"/>
      <c r="I13" s="17"/>
      <c r="J13" s="18"/>
    </row>
    <row r="14" ht="12.75" customHeight="1"/>
    <row r="15" ht="75.0" customHeight="1">
      <c r="A15" s="39" t="s">
        <v>489</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21.8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16" t="s">
        <v>11</v>
      </c>
      <c r="B5" s="17"/>
      <c r="C5" s="17"/>
      <c r="D5" s="17"/>
      <c r="E5" s="17"/>
      <c r="F5" s="17"/>
      <c r="G5" s="17"/>
      <c r="H5" s="17"/>
      <c r="I5" s="17"/>
      <c r="J5" s="18"/>
    </row>
    <row r="6" ht="15.75" customHeight="1"/>
    <row r="7" ht="75.75" customHeight="1">
      <c r="A7" s="19" t="s">
        <v>12</v>
      </c>
      <c r="B7" s="49" t="s">
        <v>490</v>
      </c>
      <c r="C7" s="21" t="s">
        <v>491</v>
      </c>
      <c r="D7" s="137" t="s">
        <v>492</v>
      </c>
      <c r="E7" s="49" t="s">
        <v>493</v>
      </c>
      <c r="F7" s="245" t="s">
        <v>494</v>
      </c>
      <c r="G7" s="238" t="s">
        <v>495</v>
      </c>
      <c r="H7" s="49" t="s">
        <v>19</v>
      </c>
      <c r="I7" s="49" t="s">
        <v>496</v>
      </c>
      <c r="J7" s="49" t="s">
        <v>497</v>
      </c>
      <c r="K7" s="24"/>
      <c r="L7" s="24"/>
      <c r="M7" s="24"/>
      <c r="N7" s="24"/>
      <c r="O7" s="24"/>
      <c r="P7" s="24"/>
      <c r="Q7" s="24"/>
      <c r="R7" s="24"/>
      <c r="S7" s="24"/>
      <c r="T7" s="24"/>
      <c r="U7" s="24"/>
      <c r="V7" s="24"/>
      <c r="W7" s="24"/>
      <c r="X7" s="24"/>
      <c r="Y7" s="24"/>
      <c r="Z7" s="24"/>
    </row>
    <row r="8" ht="50.25" customHeight="1">
      <c r="A8" s="67" t="s">
        <v>22</v>
      </c>
      <c r="B8" s="188" t="s">
        <v>498</v>
      </c>
      <c r="C8" s="188" t="s">
        <v>499</v>
      </c>
      <c r="D8" s="246" t="s">
        <v>500</v>
      </c>
      <c r="E8" s="247" t="s">
        <v>501</v>
      </c>
      <c r="F8" s="247" t="s">
        <v>502</v>
      </c>
      <c r="G8" s="241" t="s">
        <v>503</v>
      </c>
      <c r="H8" s="230" t="s">
        <v>204</v>
      </c>
      <c r="I8" s="188" t="s">
        <v>504</v>
      </c>
      <c r="J8" s="138" t="s">
        <v>505</v>
      </c>
    </row>
    <row r="9" ht="50.25" customHeight="1">
      <c r="A9" s="67" t="s">
        <v>31</v>
      </c>
      <c r="B9" s="188" t="s">
        <v>506</v>
      </c>
      <c r="C9" s="248" t="s">
        <v>507</v>
      </c>
      <c r="D9" s="138" t="s">
        <v>508</v>
      </c>
      <c r="E9" s="247" t="s">
        <v>509</v>
      </c>
      <c r="F9" s="247" t="s">
        <v>510</v>
      </c>
      <c r="G9" s="241" t="s">
        <v>511</v>
      </c>
      <c r="H9" s="230" t="s">
        <v>204</v>
      </c>
      <c r="I9" s="188" t="s">
        <v>504</v>
      </c>
      <c r="J9" s="138" t="s">
        <v>512</v>
      </c>
    </row>
    <row r="10" ht="50.25" customHeight="1">
      <c r="A10" s="67" t="s">
        <v>40</v>
      </c>
      <c r="B10" s="188" t="s">
        <v>513</v>
      </c>
      <c r="C10" s="249" t="s">
        <v>514</v>
      </c>
      <c r="D10" s="246" t="s">
        <v>515</v>
      </c>
      <c r="E10" s="247" t="s">
        <v>516</v>
      </c>
      <c r="F10" s="247" t="s">
        <v>517</v>
      </c>
      <c r="G10" s="241" t="s">
        <v>518</v>
      </c>
      <c r="H10" s="230" t="s">
        <v>204</v>
      </c>
      <c r="I10" s="188" t="s">
        <v>504</v>
      </c>
      <c r="J10" s="138" t="s">
        <v>519</v>
      </c>
    </row>
    <row r="11" ht="15.0" hidden="1" customHeight="1">
      <c r="A11" s="36"/>
      <c r="B11" s="78"/>
      <c r="C11" s="78"/>
      <c r="D11" s="78"/>
      <c r="E11" s="78"/>
      <c r="F11" s="78"/>
      <c r="G11" s="78"/>
      <c r="H11" s="78"/>
      <c r="I11" s="78"/>
      <c r="J11" s="78"/>
    </row>
    <row r="12" ht="12.75" customHeight="1"/>
    <row r="13" ht="138.75" customHeight="1">
      <c r="A13" s="39" t="s">
        <v>520</v>
      </c>
      <c r="B13" s="17"/>
      <c r="C13" s="17"/>
      <c r="D13" s="17"/>
      <c r="E13" s="17"/>
      <c r="F13" s="17"/>
      <c r="G13" s="17"/>
      <c r="H13" s="17"/>
      <c r="I13" s="17"/>
      <c r="J13" s="18"/>
    </row>
    <row r="14" ht="12.75" customHeight="1"/>
    <row r="15" ht="75.0" customHeight="1">
      <c r="A15" s="39" t="s">
        <v>521</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printOptions/>
  <pageMargins bottom="0.75" footer="0.0" header="0.0" left="0.7" right="0.7" top="0.75"/>
  <pageSetup orientation="landscape"/>
  <drawing r:id="rId1"/>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3" width="19.13"/>
    <col customWidth="1" min="4" max="4" width="38.38"/>
    <col customWidth="1" min="5" max="6" width="17.0"/>
    <col customWidth="1" min="7" max="7" width="18.0"/>
    <col customWidth="1" min="8" max="8" width="17.0"/>
    <col customWidth="1" min="9" max="10" width="19.13"/>
    <col customWidth="1" min="11" max="26" width="10.0"/>
  </cols>
  <sheetData>
    <row r="1" ht="12.75" customHeight="1">
      <c r="A1" s="14"/>
    </row>
    <row r="2" ht="27.75" customHeight="1">
      <c r="D2" s="15" t="s">
        <v>10</v>
      </c>
    </row>
    <row r="3" ht="12.75" customHeight="1"/>
    <row r="4" ht="12.75" customHeight="1"/>
    <row r="5" ht="43.5" customHeight="1">
      <c r="A5" s="250" t="s">
        <v>11</v>
      </c>
      <c r="K5" s="251"/>
    </row>
    <row r="6" ht="15.75" customHeight="1"/>
    <row r="7" ht="75.75" customHeight="1">
      <c r="A7" s="19" t="s">
        <v>12</v>
      </c>
      <c r="B7" s="49" t="s">
        <v>522</v>
      </c>
      <c r="C7" s="21" t="s">
        <v>523</v>
      </c>
      <c r="D7" s="137" t="s">
        <v>524</v>
      </c>
      <c r="E7" s="137" t="s">
        <v>525</v>
      </c>
      <c r="F7" s="237" t="s">
        <v>526</v>
      </c>
      <c r="G7" s="238" t="s">
        <v>527</v>
      </c>
      <c r="H7" s="49" t="s">
        <v>19</v>
      </c>
      <c r="I7" s="49" t="s">
        <v>528</v>
      </c>
      <c r="J7" s="137" t="s">
        <v>529</v>
      </c>
      <c r="K7" s="252" t="s">
        <v>530</v>
      </c>
      <c r="L7" s="24"/>
      <c r="M7" s="24"/>
      <c r="N7" s="24"/>
      <c r="O7" s="24"/>
      <c r="P7" s="24"/>
      <c r="Q7" s="24"/>
      <c r="R7" s="24"/>
      <c r="S7" s="24"/>
      <c r="T7" s="24"/>
      <c r="U7" s="24"/>
      <c r="V7" s="24"/>
      <c r="W7" s="24"/>
      <c r="X7" s="24"/>
      <c r="Y7" s="24"/>
      <c r="Z7" s="24"/>
    </row>
    <row r="8" ht="100.5" customHeight="1">
      <c r="A8" s="67" t="s">
        <v>22</v>
      </c>
      <c r="B8" s="188" t="s">
        <v>531</v>
      </c>
      <c r="C8" s="188" t="s">
        <v>532</v>
      </c>
      <c r="D8" s="253" t="s">
        <v>533</v>
      </c>
      <c r="E8" s="247" t="s">
        <v>534</v>
      </c>
      <c r="F8" s="247" t="s">
        <v>478</v>
      </c>
      <c r="G8" s="241" t="s">
        <v>479</v>
      </c>
      <c r="H8" s="230" t="s">
        <v>204</v>
      </c>
      <c r="I8" s="138" t="s">
        <v>535</v>
      </c>
      <c r="J8" s="138" t="s">
        <v>536</v>
      </c>
    </row>
    <row r="9">
      <c r="A9" s="67" t="s">
        <v>31</v>
      </c>
      <c r="B9" s="188" t="s">
        <v>537</v>
      </c>
      <c r="C9" s="188" t="s">
        <v>507</v>
      </c>
      <c r="D9" s="253" t="s">
        <v>538</v>
      </c>
      <c r="E9" s="247" t="s">
        <v>539</v>
      </c>
      <c r="F9" s="247" t="s">
        <v>540</v>
      </c>
      <c r="G9" s="241" t="s">
        <v>541</v>
      </c>
      <c r="H9" s="230" t="s">
        <v>204</v>
      </c>
      <c r="I9" s="188" t="s">
        <v>542</v>
      </c>
      <c r="J9" s="138" t="s">
        <v>543</v>
      </c>
    </row>
    <row r="10" ht="110.25" customHeight="1">
      <c r="A10" s="67" t="s">
        <v>40</v>
      </c>
      <c r="B10" s="188" t="s">
        <v>544</v>
      </c>
      <c r="C10" s="188" t="s">
        <v>545</v>
      </c>
      <c r="D10" s="142" t="s">
        <v>546</v>
      </c>
      <c r="E10" s="247" t="s">
        <v>547</v>
      </c>
      <c r="F10" s="247" t="s">
        <v>548</v>
      </c>
      <c r="G10" s="241" t="s">
        <v>549</v>
      </c>
      <c r="H10" s="230" t="s">
        <v>204</v>
      </c>
      <c r="I10" s="188" t="s">
        <v>550</v>
      </c>
      <c r="J10" s="142" t="s">
        <v>551</v>
      </c>
    </row>
    <row r="11" ht="15.0" hidden="1" customHeight="1">
      <c r="A11" s="36"/>
      <c r="B11" s="78"/>
      <c r="C11" s="78"/>
      <c r="D11" s="78"/>
      <c r="E11" s="78"/>
      <c r="F11" s="78"/>
      <c r="G11" s="78"/>
      <c r="H11" s="78"/>
      <c r="I11" s="78"/>
      <c r="J11" s="78"/>
    </row>
    <row r="12" ht="12.75" customHeight="1"/>
    <row r="13" ht="138.75" customHeight="1">
      <c r="A13" s="39" t="s">
        <v>552</v>
      </c>
      <c r="B13" s="17"/>
      <c r="C13" s="17"/>
      <c r="D13" s="17"/>
      <c r="E13" s="17"/>
      <c r="F13" s="17"/>
      <c r="G13" s="17"/>
      <c r="H13" s="17"/>
      <c r="I13" s="17"/>
      <c r="J13" s="18"/>
    </row>
    <row r="14" ht="12.75" customHeight="1"/>
    <row r="15" ht="75.0" customHeight="1">
      <c r="A15" s="39" t="s">
        <v>553</v>
      </c>
      <c r="B15" s="17"/>
      <c r="C15" s="17"/>
      <c r="D15" s="17"/>
      <c r="E15" s="17"/>
      <c r="F15" s="17"/>
      <c r="G15" s="17"/>
      <c r="H15" s="17"/>
      <c r="I15" s="17"/>
      <c r="J15" s="18"/>
    </row>
    <row r="16" ht="12.75" customHeight="1"/>
    <row r="17" ht="12.75" customHeight="1"/>
    <row r="18" ht="12.75" customHeight="1"/>
    <row r="19" ht="12.75" customHeight="1"/>
    <row r="20" ht="12.75" customHeight="1"/>
    <row r="21" ht="12.75" customHeight="1"/>
    <row r="22" ht="12.75" customHeight="1"/>
    <row r="23" ht="12.75" customHeight="1"/>
    <row r="24" ht="12.75" customHeight="1"/>
    <row r="25" ht="12.75" customHeight="1"/>
    <row r="26" ht="12.75" customHeight="1">
      <c r="D26" s="40"/>
      <c r="E26" s="40"/>
      <c r="F26" s="14"/>
      <c r="G26" s="14"/>
    </row>
    <row r="27" ht="12.75" customHeight="1"/>
    <row r="28" ht="12.75" customHeight="1"/>
    <row r="29" ht="12.75" customHeight="1"/>
    <row r="30" ht="12.75" customHeight="1"/>
    <row r="31" ht="12.75" customHeight="1"/>
    <row r="32" ht="12.75" customHeight="1"/>
    <row r="33" ht="12.75" customHeight="1"/>
    <row r="34" ht="12.75" customHeight="1"/>
    <row r="35" ht="12.75" customHeight="1"/>
    <row r="36" ht="12.75" customHeight="1"/>
    <row r="37" ht="12.75" customHeight="1"/>
    <row r="38" ht="12.75" customHeight="1"/>
    <row r="39" ht="12.75" customHeight="1"/>
    <row r="40" ht="12.75" customHeight="1"/>
    <row r="41" ht="12.75" customHeight="1"/>
    <row r="42" ht="12.75" customHeight="1"/>
    <row r="43" ht="12.75" customHeight="1"/>
    <row r="44" ht="12.75" customHeight="1"/>
    <row r="45" ht="12.75" customHeight="1"/>
    <row r="46" ht="12.75" customHeight="1"/>
    <row r="47" ht="12.75" customHeight="1"/>
    <row r="48" ht="12.75" customHeight="1"/>
    <row r="49" ht="12.75" customHeight="1"/>
    <row r="50" ht="12.75" customHeight="1"/>
    <row r="51" ht="12.75" customHeight="1"/>
    <row r="52" ht="12.75" customHeight="1"/>
    <row r="53" ht="12.75" customHeight="1"/>
    <row r="54" ht="12.75" customHeight="1"/>
    <row r="55" ht="12.75" customHeight="1"/>
    <row r="56" ht="12.75" customHeight="1"/>
    <row r="57" ht="12.75" customHeight="1"/>
    <row r="58" ht="12.75" customHeight="1"/>
    <row r="59" ht="12.75" customHeight="1"/>
    <row r="60" ht="12.75" customHeight="1"/>
    <row r="61" ht="12.75" customHeight="1"/>
    <row r="62" ht="12.75" customHeight="1"/>
    <row r="63" ht="12.75" customHeight="1"/>
    <row r="64" ht="12.75" customHeight="1"/>
    <row r="65" ht="12.75" customHeight="1"/>
    <row r="66" ht="12.75" customHeight="1"/>
    <row r="67" ht="12.75" customHeight="1"/>
    <row r="68" ht="12.75" customHeight="1"/>
    <row r="69" ht="12.75" customHeight="1"/>
    <row r="70" ht="12.75" customHeight="1"/>
    <row r="71" ht="12.75" customHeight="1"/>
    <row r="72" ht="12.75" customHeight="1"/>
    <row r="73" ht="12.75" customHeight="1"/>
    <row r="74" ht="12.75" customHeight="1"/>
    <row r="75" ht="12.75" customHeight="1"/>
    <row r="76" ht="12.75" customHeight="1"/>
    <row r="77" ht="12.75" customHeight="1"/>
    <row r="78" ht="12.75" customHeight="1"/>
    <row r="79" ht="12.75" customHeight="1"/>
    <row r="80" ht="12.75" customHeight="1"/>
    <row r="81" ht="12.75" customHeight="1"/>
    <row r="82" ht="12.75" customHeight="1"/>
    <row r="83" ht="12.75" customHeight="1"/>
    <row r="84" ht="12.75" customHeight="1"/>
    <row r="85" ht="12.75" customHeight="1"/>
    <row r="86" ht="12.75" customHeight="1"/>
    <row r="87" ht="12.75" customHeight="1"/>
    <row r="88" ht="12.75" customHeight="1"/>
    <row r="89" ht="12.75" customHeight="1"/>
    <row r="90" ht="12.75" customHeight="1"/>
    <row r="91" ht="12.75" customHeight="1"/>
    <row r="92" ht="12.75" customHeight="1"/>
    <row r="93" ht="12.75" customHeight="1"/>
    <row r="94" ht="12.75" customHeight="1"/>
    <row r="95" ht="12.75" customHeight="1"/>
    <row r="96" ht="12.75" customHeight="1"/>
    <row r="97" ht="12.75" customHeight="1"/>
    <row r="98" ht="12.75" customHeight="1"/>
    <row r="99" ht="12.75" customHeight="1"/>
    <row r="100" ht="12.75" customHeight="1"/>
    <row r="101" ht="12.75" customHeight="1"/>
    <row r="102" ht="12.75" customHeight="1"/>
    <row r="103" ht="12.75" customHeight="1"/>
    <row r="104" ht="12.75" customHeight="1"/>
    <row r="105" ht="12.75" customHeight="1"/>
    <row r="106" ht="12.75" customHeight="1"/>
    <row r="107" ht="12.75" customHeight="1"/>
    <row r="108" ht="12.75" customHeight="1"/>
    <row r="109" ht="12.75" customHeight="1"/>
    <row r="110" ht="12.75" customHeight="1"/>
    <row r="111" ht="12.75" customHeight="1"/>
    <row r="112" ht="12.75" customHeight="1"/>
    <row r="113" ht="12.75" customHeight="1"/>
    <row r="114" ht="12.75" customHeight="1"/>
    <row r="115" ht="12.75" customHeight="1"/>
    <row r="116" ht="12.75" customHeight="1"/>
    <row r="117" ht="12.75" customHeight="1"/>
    <row r="118" ht="12.75" customHeight="1"/>
    <row r="119" ht="12.75" customHeight="1"/>
    <row r="120" ht="12.75" customHeight="1"/>
    <row r="121" ht="12.75" customHeight="1"/>
    <row r="122" ht="12.75" customHeight="1"/>
    <row r="123" ht="12.75" customHeight="1"/>
    <row r="124" ht="12.75" customHeight="1"/>
    <row r="125" ht="12.75" customHeight="1"/>
    <row r="126" ht="12.75" customHeight="1"/>
    <row r="127" ht="12.75" customHeight="1"/>
    <row r="128" ht="12.75" customHeight="1"/>
    <row r="129" ht="12.75" customHeight="1"/>
    <row r="130" ht="12.75" customHeight="1"/>
    <row r="131" ht="12.75" customHeight="1"/>
    <row r="132" ht="12.75" customHeight="1"/>
    <row r="133" ht="12.75" customHeight="1"/>
    <row r="134" ht="12.75" customHeight="1"/>
    <row r="135" ht="12.75" customHeight="1"/>
    <row r="136" ht="12.75" customHeight="1"/>
    <row r="137" ht="12.75" customHeight="1"/>
    <row r="138" ht="12.75" customHeight="1"/>
    <row r="139" ht="12.75" customHeight="1"/>
    <row r="140" ht="12.75" customHeight="1"/>
    <row r="141" ht="12.75" customHeight="1"/>
    <row r="142" ht="12.75" customHeight="1"/>
    <row r="143" ht="12.75" customHeight="1"/>
    <row r="144" ht="12.75" customHeight="1"/>
    <row r="145" ht="12.75" customHeight="1"/>
    <row r="146" ht="12.75" customHeight="1"/>
    <row r="147" ht="12.75" customHeight="1"/>
    <row r="148" ht="12.75" customHeight="1"/>
    <row r="149" ht="12.75" customHeight="1"/>
    <row r="150" ht="12.75" customHeight="1"/>
    <row r="151" ht="12.75" customHeight="1"/>
    <row r="152" ht="12.75" customHeight="1"/>
    <row r="153" ht="12.75" customHeight="1"/>
    <row r="154" ht="12.75" customHeight="1"/>
    <row r="155" ht="12.75" customHeight="1"/>
    <row r="156" ht="12.75" customHeight="1"/>
    <row r="157" ht="12.75" customHeight="1"/>
    <row r="158" ht="12.75" customHeight="1"/>
    <row r="159" ht="12.75" customHeight="1"/>
    <row r="160" ht="12.75" customHeight="1"/>
    <row r="161" ht="12.75" customHeight="1"/>
    <row r="162" ht="12.75" customHeight="1"/>
    <row r="163" ht="12.75" customHeight="1"/>
    <row r="164" ht="12.75" customHeight="1"/>
    <row r="165" ht="12.75" customHeight="1"/>
    <row r="166" ht="12.75" customHeight="1"/>
    <row r="167" ht="12.75" customHeight="1"/>
    <row r="168" ht="12.75" customHeight="1"/>
    <row r="169" ht="12.75" customHeight="1"/>
    <row r="170" ht="12.75" customHeight="1"/>
    <row r="171" ht="12.75" customHeight="1"/>
    <row r="172" ht="12.75" customHeight="1"/>
    <row r="173" ht="12.75" customHeight="1"/>
    <row r="174" ht="12.75" customHeight="1"/>
    <row r="175" ht="12.75" customHeight="1"/>
    <row r="176" ht="12.75" customHeight="1"/>
    <row r="177" ht="12.75" customHeight="1"/>
    <row r="178" ht="12.75" customHeight="1"/>
    <row r="179" ht="12.75" customHeight="1"/>
    <row r="180" ht="12.75" customHeight="1"/>
    <row r="181" ht="12.75" customHeight="1"/>
    <row r="182" ht="12.75" customHeight="1"/>
    <row r="183" ht="12.75" customHeight="1"/>
    <row r="184" ht="12.75" customHeight="1"/>
    <row r="185" ht="12.75" customHeight="1"/>
    <row r="186" ht="12.75" customHeight="1"/>
    <row r="187" ht="12.75" customHeight="1"/>
    <row r="188" ht="12.75" customHeight="1"/>
    <row r="189" ht="12.75" customHeight="1"/>
    <row r="190" ht="12.75" customHeight="1"/>
    <row r="191" ht="12.75" customHeight="1"/>
    <row r="192" ht="12.75" customHeight="1"/>
    <row r="193" ht="12.75" customHeight="1"/>
    <row r="194" ht="12.75" customHeight="1"/>
    <row r="195" ht="12.75" customHeight="1"/>
    <row r="196" ht="12.75" customHeight="1"/>
    <row r="197" ht="12.75" customHeight="1"/>
    <row r="198" ht="12.75" customHeight="1"/>
    <row r="199" ht="12.75" customHeight="1"/>
    <row r="200" ht="12.75" customHeight="1"/>
    <row r="201" ht="12.75" customHeight="1"/>
    <row r="202" ht="12.75" customHeight="1"/>
    <row r="203" ht="12.75" customHeight="1"/>
    <row r="204" ht="12.75" customHeight="1"/>
    <row r="205" ht="12.75" customHeight="1"/>
    <row r="206" ht="12.75" customHeight="1"/>
    <row r="207" ht="12.75" customHeight="1"/>
    <row r="208" ht="12.75" customHeight="1"/>
    <row r="209" ht="12.75" customHeight="1"/>
    <row r="210" ht="12.75" customHeight="1"/>
    <row r="211" ht="12.75" customHeight="1"/>
    <row r="212" ht="12.75" customHeight="1"/>
    <row r="213" ht="12.75" customHeight="1"/>
    <row r="214" ht="12.75" customHeight="1"/>
    <row r="215" ht="12.75" customHeight="1"/>
    <row r="216" ht="12.75" customHeight="1"/>
    <row r="217" ht="12.75" customHeight="1"/>
    <row r="218" ht="12.75" customHeight="1"/>
    <row r="219" ht="12.75" customHeight="1"/>
    <row r="220" ht="12.75" customHeight="1"/>
    <row r="221" ht="12.75" customHeight="1"/>
    <row r="222" ht="12.75" customHeight="1"/>
    <row r="223" ht="12.75" customHeight="1"/>
    <row r="224" ht="12.75" customHeight="1"/>
    <row r="225" ht="12.75" customHeight="1"/>
    <row r="226" ht="12.75" customHeight="1"/>
    <row r="227" ht="12.75" customHeight="1"/>
    <row r="228" ht="12.75" customHeight="1"/>
    <row r="229" ht="12.75" customHeight="1"/>
    <row r="230" ht="12.75" customHeight="1"/>
    <row r="231" ht="12.75" customHeight="1"/>
    <row r="232" ht="12.75" customHeight="1"/>
    <row r="233" ht="12.75" customHeight="1"/>
    <row r="234" ht="12.75" customHeight="1"/>
    <row r="235" ht="12.75" customHeight="1"/>
    <row r="236" ht="12.75" customHeight="1"/>
    <row r="237" ht="12.75" customHeight="1"/>
    <row r="238" ht="12.75" customHeight="1"/>
    <row r="239" ht="12.75" customHeight="1"/>
    <row r="240" ht="12.75" customHeight="1"/>
    <row r="241" ht="12.75" customHeight="1"/>
    <row r="242" ht="12.75" customHeight="1"/>
    <row r="243" ht="12.75" customHeight="1"/>
    <row r="244" ht="12.75" customHeight="1"/>
    <row r="245" ht="12.75" customHeight="1"/>
    <row r="246" ht="12.75" customHeight="1"/>
    <row r="247" ht="12.75" customHeight="1"/>
    <row r="248" ht="12.75" customHeight="1"/>
    <row r="249" ht="12.75" customHeight="1"/>
    <row r="250" ht="12.75" customHeight="1"/>
    <row r="251" ht="12.75" customHeight="1"/>
    <row r="252" ht="12.75" customHeight="1"/>
    <row r="253" ht="12.75" customHeight="1"/>
    <row r="254" ht="12.75" customHeight="1"/>
    <row r="255" ht="12.75" customHeight="1"/>
    <row r="256" ht="12.75" customHeight="1"/>
    <row r="257" ht="12.75" customHeight="1"/>
    <row r="258" ht="12.75" customHeight="1"/>
    <row r="259" ht="12.75" customHeight="1"/>
    <row r="260" ht="12.75" customHeight="1"/>
    <row r="261" ht="12.75" customHeight="1"/>
    <row r="262" ht="12.75" customHeight="1"/>
    <row r="263" ht="12.75" customHeight="1"/>
    <row r="264" ht="12.75" customHeight="1"/>
    <row r="265" ht="12.75" customHeight="1"/>
    <row r="266" ht="12.75" customHeight="1"/>
    <row r="267" ht="12.75" customHeight="1"/>
    <row r="268" ht="12.75" customHeight="1"/>
    <row r="269" ht="12.75" customHeight="1"/>
    <row r="270" ht="12.75" customHeight="1"/>
    <row r="271" ht="12.75" customHeight="1"/>
    <row r="272" ht="12.75" customHeight="1"/>
    <row r="273" ht="12.75" customHeight="1"/>
    <row r="274" ht="12.75" customHeight="1"/>
    <row r="275" ht="12.75" customHeight="1"/>
    <row r="276" ht="12.75" customHeight="1"/>
    <row r="277" ht="12.75" customHeight="1"/>
    <row r="278" ht="12.75" customHeight="1"/>
    <row r="279" ht="12.75" customHeight="1"/>
    <row r="280" ht="12.75" customHeight="1"/>
    <row r="281" ht="12.75" customHeight="1"/>
    <row r="282" ht="12.75" customHeight="1"/>
    <row r="283" ht="12.75" customHeight="1"/>
    <row r="284" ht="12.75" customHeight="1"/>
    <row r="285" ht="12.75" customHeight="1"/>
    <row r="286" ht="12.75" customHeight="1"/>
    <row r="287" ht="12.75" customHeight="1"/>
    <row r="288" ht="12.75" customHeight="1"/>
    <row r="289" ht="12.75" customHeight="1"/>
    <row r="290" ht="12.75" customHeight="1"/>
    <row r="291" ht="12.75" customHeight="1"/>
    <row r="292" ht="12.75" customHeight="1"/>
    <row r="293" ht="12.75" customHeight="1"/>
    <row r="294" ht="12.75" customHeight="1"/>
    <row r="295" ht="12.75" customHeight="1"/>
    <row r="296" ht="12.75" customHeight="1"/>
    <row r="297" ht="12.75" customHeight="1"/>
    <row r="298" ht="12.75" customHeight="1"/>
    <row r="299" ht="12.75" customHeight="1"/>
    <row r="300" ht="12.75" customHeight="1"/>
    <row r="301" ht="12.75" customHeight="1"/>
    <row r="302" ht="12.75" customHeight="1"/>
    <row r="303" ht="12.75" customHeight="1"/>
    <row r="304" ht="12.75" customHeight="1"/>
    <row r="305" ht="12.75" customHeight="1"/>
    <row r="306" ht="12.75" customHeight="1"/>
    <row r="307" ht="12.75" customHeight="1"/>
    <row r="308" ht="12.75" customHeight="1"/>
    <row r="309" ht="12.75" customHeight="1"/>
    <row r="310" ht="12.75" customHeight="1"/>
    <row r="311" ht="12.75" customHeight="1"/>
    <row r="312" ht="12.75" customHeight="1"/>
    <row r="313" ht="12.75" customHeight="1"/>
    <row r="314" ht="12.75" customHeight="1"/>
    <row r="315" ht="12.75" customHeight="1"/>
    <row r="316" ht="12.75" customHeight="1"/>
    <row r="317" ht="12.75" customHeight="1"/>
    <row r="318" ht="12.75" customHeight="1"/>
    <row r="319" ht="12.75" customHeight="1"/>
    <row r="320" ht="12.75" customHeight="1"/>
    <row r="321" ht="12.75" customHeight="1"/>
    <row r="322" ht="12.75" customHeight="1"/>
    <row r="323" ht="12.75" customHeight="1"/>
    <row r="324" ht="12.75" customHeight="1"/>
    <row r="325" ht="12.75" customHeight="1"/>
    <row r="326" ht="12.75" customHeight="1"/>
    <row r="327" ht="12.75" customHeight="1"/>
    <row r="328" ht="12.75" customHeight="1"/>
    <row r="329" ht="12.75" customHeight="1"/>
    <row r="330" ht="12.75" customHeight="1"/>
    <row r="331" ht="12.75" customHeight="1"/>
    <row r="332" ht="12.75" customHeight="1"/>
    <row r="333" ht="12.75" customHeight="1"/>
    <row r="334" ht="12.75" customHeight="1"/>
    <row r="335" ht="12.75" customHeight="1"/>
    <row r="336" ht="12.75" customHeight="1"/>
    <row r="337" ht="12.75" customHeight="1"/>
    <row r="338" ht="12.75" customHeight="1"/>
    <row r="339" ht="12.75" customHeight="1"/>
    <row r="340" ht="12.75" customHeight="1"/>
    <row r="341" ht="12.75" customHeight="1"/>
    <row r="342" ht="12.75" customHeight="1"/>
    <row r="343" ht="12.75" customHeight="1"/>
    <row r="344" ht="12.75" customHeight="1"/>
    <row r="345" ht="12.75" customHeight="1"/>
    <row r="346" ht="12.75" customHeight="1"/>
    <row r="347" ht="12.75" customHeight="1"/>
    <row r="348" ht="12.75" customHeight="1"/>
    <row r="349" ht="12.75" customHeight="1"/>
    <row r="350" ht="12.75" customHeight="1"/>
    <row r="351" ht="12.75" customHeight="1"/>
    <row r="352" ht="12.75" customHeight="1"/>
    <row r="353" ht="12.75" customHeight="1"/>
    <row r="354" ht="12.75" customHeight="1"/>
    <row r="355" ht="12.75" customHeight="1"/>
    <row r="356" ht="12.75" customHeight="1"/>
    <row r="357" ht="12.75" customHeight="1"/>
    <row r="358" ht="12.75" customHeight="1"/>
    <row r="359" ht="12.75" customHeight="1"/>
    <row r="360" ht="12.75" customHeight="1"/>
    <row r="361" ht="12.75" customHeight="1"/>
    <row r="362" ht="12.75" customHeight="1"/>
    <row r="363" ht="12.75" customHeight="1"/>
    <row r="364" ht="12.75" customHeight="1"/>
    <row r="365" ht="12.75" customHeight="1"/>
    <row r="366" ht="12.75" customHeight="1"/>
    <row r="367" ht="12.75" customHeight="1"/>
    <row r="368" ht="12.75" customHeight="1"/>
    <row r="369" ht="12.75" customHeight="1"/>
    <row r="370" ht="12.75" customHeight="1"/>
    <row r="371" ht="12.75" customHeight="1"/>
    <row r="372" ht="12.75" customHeight="1"/>
    <row r="373" ht="12.75" customHeight="1"/>
    <row r="374" ht="12.75" customHeight="1"/>
    <row r="375" ht="12.75" customHeight="1"/>
    <row r="376" ht="12.75" customHeight="1"/>
    <row r="377" ht="12.75" customHeight="1"/>
    <row r="378" ht="12.75" customHeight="1"/>
    <row r="379" ht="12.75" customHeight="1"/>
    <row r="380" ht="12.75" customHeight="1"/>
    <row r="381" ht="12.75" customHeight="1"/>
    <row r="382" ht="12.75" customHeight="1"/>
    <row r="383" ht="12.75" customHeight="1"/>
    <row r="384" ht="12.75" customHeight="1"/>
    <row r="385" ht="12.75" customHeight="1"/>
    <row r="386" ht="12.75" customHeight="1"/>
    <row r="387" ht="12.75" customHeight="1"/>
    <row r="388" ht="12.75" customHeight="1"/>
    <row r="389" ht="12.75" customHeight="1"/>
    <row r="390" ht="12.75" customHeight="1"/>
    <row r="391" ht="12.75" customHeight="1"/>
    <row r="392" ht="12.75" customHeight="1"/>
    <row r="393" ht="12.75" customHeight="1"/>
    <row r="394" ht="12.75" customHeight="1"/>
    <row r="395" ht="12.75" customHeight="1"/>
    <row r="396" ht="12.75" customHeight="1"/>
    <row r="397" ht="12.75" customHeight="1"/>
    <row r="398" ht="12.75" customHeight="1"/>
    <row r="399" ht="12.75" customHeight="1"/>
    <row r="400" ht="12.75" customHeight="1"/>
    <row r="401" ht="12.75" customHeight="1"/>
    <row r="402" ht="12.75" customHeight="1"/>
    <row r="403" ht="12.75" customHeight="1"/>
    <row r="404" ht="12.75" customHeight="1"/>
    <row r="405" ht="12.75" customHeight="1"/>
    <row r="406" ht="12.75" customHeight="1"/>
    <row r="407" ht="12.75" customHeight="1"/>
    <row r="408" ht="12.75" customHeight="1"/>
    <row r="409" ht="12.75" customHeight="1"/>
    <row r="410" ht="12.75" customHeight="1"/>
    <row r="411" ht="12.75" customHeight="1"/>
    <row r="412" ht="12.75" customHeight="1"/>
    <row r="413" ht="12.75" customHeight="1"/>
    <row r="414" ht="12.75" customHeight="1"/>
    <row r="415" ht="12.75" customHeight="1"/>
    <row r="416" ht="12.75" customHeight="1"/>
    <row r="417" ht="12.75" customHeight="1"/>
    <row r="418" ht="12.75" customHeight="1"/>
    <row r="419" ht="12.75" customHeight="1"/>
    <row r="420" ht="12.75" customHeight="1"/>
    <row r="421" ht="12.75" customHeight="1"/>
    <row r="422" ht="12.75" customHeight="1"/>
    <row r="423" ht="12.75" customHeight="1"/>
    <row r="424" ht="12.75" customHeight="1"/>
    <row r="425" ht="12.75" customHeight="1"/>
    <row r="426" ht="12.75" customHeight="1"/>
    <row r="427" ht="12.75" customHeight="1"/>
    <row r="428" ht="12.75" customHeight="1"/>
    <row r="429" ht="12.75" customHeight="1"/>
    <row r="430" ht="12.75" customHeight="1"/>
    <row r="431" ht="12.75" customHeight="1"/>
    <row r="432" ht="12.75" customHeight="1"/>
    <row r="433" ht="12.75" customHeight="1"/>
    <row r="434" ht="12.75" customHeight="1"/>
    <row r="435" ht="12.75" customHeight="1"/>
    <row r="436" ht="12.75" customHeight="1"/>
    <row r="437" ht="12.75" customHeight="1"/>
    <row r="438" ht="12.75" customHeight="1"/>
    <row r="439" ht="12.75" customHeight="1"/>
    <row r="440" ht="12.75" customHeight="1"/>
    <row r="441" ht="12.75" customHeight="1"/>
    <row r="442" ht="12.75" customHeight="1"/>
    <row r="443" ht="12.75" customHeight="1"/>
    <row r="444" ht="12.75" customHeight="1"/>
    <row r="445" ht="12.75" customHeight="1"/>
    <row r="446" ht="12.75" customHeight="1"/>
    <row r="447" ht="12.75" customHeight="1"/>
    <row r="448" ht="12.75" customHeight="1"/>
    <row r="449" ht="12.75" customHeight="1"/>
    <row r="450" ht="12.75" customHeight="1"/>
    <row r="451" ht="12.75" customHeight="1"/>
    <row r="452" ht="12.75" customHeight="1"/>
    <row r="453" ht="12.75" customHeight="1"/>
    <row r="454" ht="12.75" customHeight="1"/>
    <row r="455" ht="12.75" customHeight="1"/>
    <row r="456" ht="12.75" customHeight="1"/>
    <row r="457" ht="12.75" customHeight="1"/>
    <row r="458" ht="12.75" customHeight="1"/>
    <row r="459" ht="12.75" customHeight="1"/>
    <row r="460" ht="12.75" customHeight="1"/>
    <row r="461" ht="12.75" customHeight="1"/>
    <row r="462" ht="12.75" customHeight="1"/>
    <row r="463" ht="12.75" customHeight="1"/>
    <row r="464" ht="12.75" customHeight="1"/>
    <row r="465" ht="12.75" customHeight="1"/>
    <row r="466" ht="12.75" customHeight="1"/>
    <row r="467" ht="12.75" customHeight="1"/>
    <row r="468" ht="12.75" customHeight="1"/>
    <row r="469" ht="12.75" customHeight="1"/>
    <row r="470" ht="12.75" customHeight="1"/>
    <row r="471" ht="12.75" customHeight="1"/>
    <row r="472" ht="12.75" customHeight="1"/>
    <row r="473" ht="12.75" customHeight="1"/>
    <row r="474" ht="12.75" customHeight="1"/>
    <row r="475" ht="12.75" customHeight="1"/>
    <row r="476" ht="12.75" customHeight="1"/>
    <row r="477" ht="12.75" customHeight="1"/>
    <row r="478" ht="12.75" customHeight="1"/>
    <row r="479" ht="12.75" customHeight="1"/>
    <row r="480" ht="12.75" customHeight="1"/>
    <row r="481" ht="12.75" customHeight="1"/>
    <row r="482" ht="12.75" customHeight="1"/>
    <row r="483" ht="12.75" customHeight="1"/>
    <row r="484" ht="12.75" customHeight="1"/>
    <row r="485" ht="12.75" customHeight="1"/>
    <row r="486" ht="12.75" customHeight="1"/>
    <row r="487" ht="12.75" customHeight="1"/>
    <row r="488" ht="12.75" customHeight="1"/>
    <row r="489" ht="12.75" customHeight="1"/>
    <row r="490" ht="12.75" customHeight="1"/>
    <row r="491" ht="12.75" customHeight="1"/>
    <row r="492" ht="12.75" customHeight="1"/>
    <row r="493" ht="12.75" customHeight="1"/>
    <row r="494" ht="12.75" customHeight="1"/>
    <row r="495" ht="12.75" customHeight="1"/>
    <row r="496" ht="12.75" customHeight="1"/>
    <row r="497" ht="12.75" customHeight="1"/>
    <row r="498" ht="12.75" customHeight="1"/>
    <row r="499" ht="12.75" customHeight="1"/>
    <row r="500" ht="12.75" customHeight="1"/>
    <row r="501" ht="12.75" customHeight="1"/>
    <row r="502" ht="12.75" customHeight="1"/>
    <row r="503" ht="12.75" customHeight="1"/>
    <row r="504" ht="12.75" customHeight="1"/>
    <row r="505" ht="12.75" customHeight="1"/>
    <row r="506" ht="12.75" customHeight="1"/>
    <row r="507" ht="12.75" customHeight="1"/>
    <row r="508" ht="12.75" customHeight="1"/>
    <row r="509" ht="12.75" customHeight="1"/>
    <row r="510" ht="12.75" customHeight="1"/>
    <row r="511" ht="12.75" customHeight="1"/>
    <row r="512" ht="12.75" customHeight="1"/>
    <row r="513" ht="12.75" customHeight="1"/>
    <row r="514" ht="12.75" customHeight="1"/>
    <row r="515" ht="12.75" customHeight="1"/>
    <row r="516" ht="12.75" customHeight="1"/>
    <row r="517" ht="12.75" customHeight="1"/>
    <row r="518" ht="12.75" customHeight="1"/>
    <row r="519" ht="12.75" customHeight="1"/>
    <row r="520" ht="12.75" customHeight="1"/>
    <row r="521" ht="12.75" customHeight="1"/>
    <row r="522" ht="12.75" customHeight="1"/>
    <row r="523" ht="12.75" customHeight="1"/>
    <row r="524" ht="12.75" customHeight="1"/>
    <row r="525" ht="12.75" customHeight="1"/>
    <row r="526" ht="12.75" customHeight="1"/>
    <row r="527" ht="12.75" customHeight="1"/>
    <row r="528" ht="12.75" customHeight="1"/>
    <row r="529" ht="12.75" customHeight="1"/>
    <row r="530" ht="12.75" customHeight="1"/>
    <row r="531" ht="12.75" customHeight="1"/>
    <row r="532" ht="12.75" customHeight="1"/>
    <row r="533" ht="12.75" customHeight="1"/>
    <row r="534" ht="12.75" customHeight="1"/>
    <row r="535" ht="12.75" customHeight="1"/>
    <row r="536" ht="12.75" customHeight="1"/>
    <row r="537" ht="12.75" customHeight="1"/>
    <row r="538" ht="12.75" customHeight="1"/>
    <row r="539" ht="12.75" customHeight="1"/>
    <row r="540" ht="12.75" customHeight="1"/>
    <row r="541" ht="12.75" customHeight="1"/>
    <row r="542" ht="12.75" customHeight="1"/>
    <row r="543" ht="12.75" customHeight="1"/>
    <row r="544" ht="12.75" customHeight="1"/>
    <row r="545" ht="12.75" customHeight="1"/>
    <row r="546" ht="12.75" customHeight="1"/>
    <row r="547" ht="12.75" customHeight="1"/>
    <row r="548" ht="12.75" customHeight="1"/>
    <row r="549" ht="12.75" customHeight="1"/>
    <row r="550" ht="12.75" customHeight="1"/>
    <row r="551" ht="12.75" customHeight="1"/>
    <row r="552" ht="12.75" customHeight="1"/>
    <row r="553" ht="12.75" customHeight="1"/>
    <row r="554" ht="12.75" customHeight="1"/>
    <row r="555" ht="12.75" customHeight="1"/>
    <row r="556" ht="12.75" customHeight="1"/>
    <row r="557" ht="12.75" customHeight="1"/>
    <row r="558" ht="12.75" customHeight="1"/>
    <row r="559" ht="12.75" customHeight="1"/>
    <row r="560" ht="12.75" customHeight="1"/>
    <row r="561" ht="12.75" customHeight="1"/>
    <row r="562" ht="12.75" customHeight="1"/>
    <row r="563" ht="12.75" customHeight="1"/>
    <row r="564" ht="12.75" customHeight="1"/>
    <row r="565" ht="12.75" customHeight="1"/>
    <row r="566" ht="12.75" customHeight="1"/>
    <row r="567" ht="12.75" customHeight="1"/>
    <row r="568" ht="12.75" customHeight="1"/>
    <row r="569" ht="12.75" customHeight="1"/>
    <row r="570" ht="12.75" customHeight="1"/>
    <row r="571" ht="12.75" customHeight="1"/>
    <row r="572" ht="12.75" customHeight="1"/>
    <row r="573" ht="12.75" customHeight="1"/>
    <row r="574" ht="12.75" customHeight="1"/>
    <row r="575" ht="12.75" customHeight="1"/>
    <row r="576" ht="12.75" customHeight="1"/>
    <row r="577" ht="12.75" customHeight="1"/>
    <row r="578" ht="12.75" customHeight="1"/>
    <row r="579" ht="12.75" customHeight="1"/>
    <row r="580" ht="12.75" customHeight="1"/>
    <row r="581" ht="12.75" customHeight="1"/>
    <row r="582" ht="12.75" customHeight="1"/>
    <row r="583" ht="12.75" customHeight="1"/>
    <row r="584" ht="12.75" customHeight="1"/>
    <row r="585" ht="12.75" customHeight="1"/>
    <row r="586" ht="12.75" customHeight="1"/>
    <row r="587" ht="12.75" customHeight="1"/>
    <row r="588" ht="12.75" customHeight="1"/>
    <row r="589" ht="12.75" customHeight="1"/>
    <row r="590" ht="12.75" customHeight="1"/>
    <row r="591" ht="12.75" customHeight="1"/>
    <row r="592" ht="12.75" customHeight="1"/>
    <row r="593" ht="12.75" customHeight="1"/>
    <row r="594" ht="12.75" customHeight="1"/>
    <row r="595" ht="12.75" customHeight="1"/>
    <row r="596" ht="12.75" customHeight="1"/>
    <row r="597" ht="12.75" customHeight="1"/>
    <row r="598" ht="12.75" customHeight="1"/>
    <row r="599" ht="12.75" customHeight="1"/>
    <row r="600" ht="12.75" customHeight="1"/>
    <row r="601" ht="12.75" customHeight="1"/>
    <row r="602" ht="12.75" customHeight="1"/>
    <row r="603" ht="12.75" customHeight="1"/>
    <row r="604" ht="12.75" customHeight="1"/>
    <row r="605" ht="12.75" customHeight="1"/>
    <row r="606" ht="12.75" customHeight="1"/>
    <row r="607" ht="12.75" customHeight="1"/>
    <row r="608" ht="12.75" customHeight="1"/>
    <row r="609" ht="12.75" customHeight="1"/>
    <row r="610" ht="12.75" customHeight="1"/>
    <row r="611" ht="12.75" customHeight="1"/>
    <row r="612" ht="12.75" customHeight="1"/>
    <row r="613" ht="12.75" customHeight="1"/>
    <row r="614" ht="12.75" customHeight="1"/>
    <row r="615" ht="12.75" customHeight="1"/>
    <row r="616" ht="12.75" customHeight="1"/>
    <row r="617" ht="12.75" customHeight="1"/>
    <row r="618" ht="12.75" customHeight="1"/>
    <row r="619" ht="12.75" customHeight="1"/>
    <row r="620" ht="12.75" customHeight="1"/>
    <row r="621" ht="12.75" customHeight="1"/>
    <row r="622" ht="12.75" customHeight="1"/>
    <row r="623" ht="12.75" customHeight="1"/>
    <row r="624" ht="12.75" customHeight="1"/>
    <row r="625" ht="12.75" customHeight="1"/>
    <row r="626" ht="12.75" customHeight="1"/>
    <row r="627" ht="12.75" customHeight="1"/>
    <row r="628" ht="12.75" customHeight="1"/>
    <row r="629" ht="12.75" customHeight="1"/>
    <row r="630" ht="12.75" customHeight="1"/>
    <row r="631" ht="12.75" customHeight="1"/>
    <row r="632" ht="12.75" customHeight="1"/>
    <row r="633" ht="12.75" customHeight="1"/>
    <row r="634" ht="12.75" customHeight="1"/>
    <row r="635" ht="12.75" customHeight="1"/>
    <row r="636" ht="12.75" customHeight="1"/>
    <row r="637" ht="12.75" customHeight="1"/>
    <row r="638" ht="12.75" customHeight="1"/>
    <row r="639" ht="12.75" customHeight="1"/>
    <row r="640" ht="12.75" customHeight="1"/>
    <row r="641" ht="12.75" customHeight="1"/>
    <row r="642" ht="12.75" customHeight="1"/>
    <row r="643" ht="12.75" customHeight="1"/>
    <row r="644" ht="12.75" customHeight="1"/>
    <row r="645" ht="12.75" customHeight="1"/>
    <row r="646" ht="12.75" customHeight="1"/>
    <row r="647" ht="12.75" customHeight="1"/>
    <row r="648" ht="12.75" customHeight="1"/>
    <row r="649" ht="12.75" customHeight="1"/>
    <row r="650" ht="12.75" customHeight="1"/>
    <row r="651" ht="12.75" customHeight="1"/>
    <row r="652" ht="12.75" customHeight="1"/>
    <row r="653" ht="12.75" customHeight="1"/>
    <row r="654" ht="12.75" customHeight="1"/>
    <row r="655" ht="12.75" customHeight="1"/>
    <row r="656" ht="12.75" customHeight="1"/>
    <row r="657" ht="12.75" customHeight="1"/>
    <row r="658" ht="12.75" customHeight="1"/>
    <row r="659" ht="12.75" customHeight="1"/>
    <row r="660" ht="12.75" customHeight="1"/>
    <row r="661" ht="12.75" customHeight="1"/>
    <row r="662" ht="12.75" customHeight="1"/>
    <row r="663" ht="12.75" customHeight="1"/>
    <row r="664" ht="12.75" customHeight="1"/>
    <row r="665" ht="12.75" customHeight="1"/>
    <row r="666" ht="12.75" customHeight="1"/>
    <row r="667" ht="12.75" customHeight="1"/>
    <row r="668" ht="12.75" customHeight="1"/>
    <row r="669" ht="12.75" customHeight="1"/>
    <row r="670" ht="12.75" customHeight="1"/>
    <row r="671" ht="12.75" customHeight="1"/>
    <row r="672" ht="12.75" customHeight="1"/>
    <row r="673" ht="12.75" customHeight="1"/>
    <row r="674" ht="12.75" customHeight="1"/>
    <row r="675" ht="12.75" customHeight="1"/>
    <row r="676" ht="12.75" customHeight="1"/>
    <row r="677" ht="12.75" customHeight="1"/>
    <row r="678" ht="12.75" customHeight="1"/>
    <row r="679" ht="12.75" customHeight="1"/>
    <row r="680" ht="12.75" customHeight="1"/>
    <row r="681" ht="12.75" customHeight="1"/>
    <row r="682" ht="12.75" customHeight="1"/>
    <row r="683" ht="12.75" customHeight="1"/>
    <row r="684" ht="12.75" customHeight="1"/>
    <row r="685" ht="12.75" customHeight="1"/>
    <row r="686" ht="12.75" customHeight="1"/>
    <row r="687" ht="12.75" customHeight="1"/>
    <row r="688" ht="12.75" customHeight="1"/>
    <row r="689" ht="12.75" customHeight="1"/>
    <row r="690" ht="12.75" customHeight="1"/>
    <row r="691" ht="12.75" customHeight="1"/>
    <row r="692" ht="12.75" customHeight="1"/>
    <row r="693" ht="12.75" customHeight="1"/>
    <row r="694" ht="12.75" customHeight="1"/>
    <row r="695" ht="12.75" customHeight="1"/>
    <row r="696" ht="12.75" customHeight="1"/>
    <row r="697" ht="12.75" customHeight="1"/>
    <row r="698" ht="12.75" customHeight="1"/>
    <row r="699" ht="12.75" customHeight="1"/>
    <row r="700" ht="12.75" customHeight="1"/>
    <row r="701" ht="12.75" customHeight="1"/>
    <row r="702" ht="12.75" customHeight="1"/>
    <row r="703" ht="12.75" customHeight="1"/>
    <row r="704" ht="12.75" customHeight="1"/>
    <row r="705" ht="12.75" customHeight="1"/>
    <row r="706" ht="12.75" customHeight="1"/>
    <row r="707" ht="12.75" customHeight="1"/>
    <row r="708" ht="12.75" customHeight="1"/>
    <row r="709" ht="12.75" customHeight="1"/>
    <row r="710" ht="12.75" customHeight="1"/>
    <row r="711" ht="12.75" customHeight="1"/>
    <row r="712" ht="12.75" customHeight="1"/>
    <row r="713" ht="12.75" customHeight="1"/>
    <row r="714" ht="12.75" customHeight="1"/>
    <row r="715" ht="12.75" customHeight="1"/>
    <row r="716" ht="12.75" customHeight="1"/>
    <row r="717" ht="12.75" customHeight="1"/>
    <row r="718" ht="12.75" customHeight="1"/>
    <row r="719" ht="12.75" customHeight="1"/>
    <row r="720" ht="12.75" customHeight="1"/>
    <row r="721" ht="12.75" customHeight="1"/>
    <row r="722" ht="12.75" customHeight="1"/>
    <row r="723" ht="12.75" customHeight="1"/>
    <row r="724" ht="12.75" customHeight="1"/>
    <row r="725" ht="12.75" customHeight="1"/>
    <row r="726" ht="12.75" customHeight="1"/>
    <row r="727" ht="12.75" customHeight="1"/>
    <row r="728" ht="12.75" customHeight="1"/>
    <row r="729" ht="12.75" customHeight="1"/>
    <row r="730" ht="12.75" customHeight="1"/>
    <row r="731" ht="12.75" customHeight="1"/>
    <row r="732" ht="12.75" customHeight="1"/>
    <row r="733" ht="12.75" customHeight="1"/>
    <row r="734" ht="12.75" customHeight="1"/>
    <row r="735" ht="12.75" customHeight="1"/>
    <row r="736" ht="12.75" customHeight="1"/>
    <row r="737" ht="12.75" customHeight="1"/>
    <row r="738" ht="12.75" customHeight="1"/>
    <row r="739" ht="12.75" customHeight="1"/>
    <row r="740" ht="12.75" customHeight="1"/>
    <row r="741" ht="12.75" customHeight="1"/>
    <row r="742" ht="12.75" customHeight="1"/>
    <row r="743" ht="12.75" customHeight="1"/>
    <row r="744" ht="12.75" customHeight="1"/>
    <row r="745" ht="12.75" customHeight="1"/>
    <row r="746" ht="12.75" customHeight="1"/>
    <row r="747" ht="12.75" customHeight="1"/>
    <row r="748" ht="12.75" customHeight="1"/>
    <row r="749" ht="12.75" customHeight="1"/>
    <row r="750" ht="12.75" customHeight="1"/>
    <row r="751" ht="12.75" customHeight="1"/>
    <row r="752" ht="12.75" customHeight="1"/>
    <row r="753" ht="12.75" customHeight="1"/>
    <row r="754" ht="12.75" customHeight="1"/>
    <row r="755" ht="12.75" customHeight="1"/>
    <row r="756" ht="12.75" customHeight="1"/>
    <row r="757" ht="12.75" customHeight="1"/>
    <row r="758" ht="12.75" customHeight="1"/>
    <row r="759" ht="12.75" customHeight="1"/>
    <row r="760" ht="12.75" customHeight="1"/>
    <row r="761" ht="12.75" customHeight="1"/>
    <row r="762" ht="12.75" customHeight="1"/>
    <row r="763" ht="12.75" customHeight="1"/>
    <row r="764" ht="12.75" customHeight="1"/>
    <row r="765" ht="12.75" customHeight="1"/>
    <row r="766" ht="12.75" customHeight="1"/>
    <row r="767" ht="12.75" customHeight="1"/>
    <row r="768" ht="12.75" customHeight="1"/>
    <row r="769" ht="12.75" customHeight="1"/>
    <row r="770" ht="12.75" customHeight="1"/>
    <row r="771" ht="12.75" customHeight="1"/>
    <row r="772" ht="12.75" customHeight="1"/>
    <row r="773" ht="12.75" customHeight="1"/>
    <row r="774" ht="12.75" customHeight="1"/>
    <row r="775" ht="12.75" customHeight="1"/>
    <row r="776" ht="12.75" customHeight="1"/>
    <row r="777" ht="12.75" customHeight="1"/>
    <row r="778" ht="12.75" customHeight="1"/>
    <row r="779" ht="12.75" customHeight="1"/>
    <row r="780" ht="12.75" customHeight="1"/>
    <row r="781" ht="12.75" customHeight="1"/>
    <row r="782" ht="12.75" customHeight="1"/>
    <row r="783" ht="12.75" customHeight="1"/>
    <row r="784" ht="12.75" customHeight="1"/>
    <row r="785" ht="12.75" customHeight="1"/>
    <row r="786" ht="12.75" customHeight="1"/>
    <row r="787" ht="12.75" customHeight="1"/>
    <row r="788" ht="12.75" customHeight="1"/>
    <row r="789" ht="12.75" customHeight="1"/>
    <row r="790" ht="12.75" customHeight="1"/>
    <row r="791" ht="12.75" customHeight="1"/>
    <row r="792" ht="12.75" customHeight="1"/>
    <row r="793" ht="12.75" customHeight="1"/>
    <row r="794" ht="12.75" customHeight="1"/>
    <row r="795" ht="12.75" customHeight="1"/>
    <row r="796" ht="12.75" customHeight="1"/>
    <row r="797" ht="12.75" customHeight="1"/>
    <row r="798" ht="12.75" customHeight="1"/>
    <row r="799" ht="12.75" customHeight="1"/>
    <row r="800" ht="12.75" customHeight="1"/>
    <row r="801" ht="12.75" customHeight="1"/>
    <row r="802" ht="12.75" customHeight="1"/>
    <row r="803" ht="12.75" customHeight="1"/>
    <row r="804" ht="12.75" customHeight="1"/>
    <row r="805" ht="12.75" customHeight="1"/>
    <row r="806" ht="12.75" customHeight="1"/>
    <row r="807" ht="12.75" customHeight="1"/>
    <row r="808" ht="12.75" customHeight="1"/>
    <row r="809" ht="12.75" customHeight="1"/>
    <row r="810" ht="12.75" customHeight="1"/>
    <row r="811" ht="12.75" customHeight="1"/>
    <row r="812" ht="12.75" customHeight="1"/>
    <row r="813" ht="12.75" customHeight="1"/>
    <row r="814" ht="12.75" customHeight="1"/>
    <row r="815" ht="12.75" customHeight="1"/>
    <row r="816" ht="12.75" customHeight="1"/>
    <row r="817" ht="12.75" customHeight="1"/>
    <row r="818" ht="12.75" customHeight="1"/>
    <row r="819" ht="12.75" customHeight="1"/>
    <row r="820" ht="12.75" customHeight="1"/>
    <row r="821" ht="12.75" customHeight="1"/>
    <row r="822" ht="12.75" customHeight="1"/>
    <row r="823" ht="12.75" customHeight="1"/>
    <row r="824" ht="12.75" customHeight="1"/>
    <row r="825" ht="12.75" customHeight="1"/>
    <row r="826" ht="12.75" customHeight="1"/>
    <row r="827" ht="12.75" customHeight="1"/>
    <row r="828" ht="12.75" customHeight="1"/>
    <row r="829" ht="12.75" customHeight="1"/>
    <row r="830" ht="12.75" customHeight="1"/>
    <row r="831" ht="12.75" customHeight="1"/>
    <row r="832" ht="12.75" customHeight="1"/>
    <row r="833" ht="12.75" customHeight="1"/>
    <row r="834" ht="12.75" customHeight="1"/>
    <row r="835" ht="12.75" customHeight="1"/>
    <row r="836" ht="12.75" customHeight="1"/>
    <row r="837" ht="12.75" customHeight="1"/>
    <row r="838" ht="12.75" customHeight="1"/>
    <row r="839" ht="12.75" customHeight="1"/>
    <row r="840" ht="12.75" customHeight="1"/>
    <row r="841" ht="12.75" customHeight="1"/>
    <row r="842" ht="12.75" customHeight="1"/>
    <row r="843" ht="12.75" customHeight="1"/>
    <row r="844" ht="12.75" customHeight="1"/>
    <row r="845" ht="12.75" customHeight="1"/>
    <row r="846" ht="12.75" customHeight="1"/>
    <row r="847" ht="12.75" customHeight="1"/>
    <row r="848" ht="12.75" customHeight="1"/>
    <row r="849" ht="12.75" customHeight="1"/>
    <row r="850" ht="12.75" customHeight="1"/>
    <row r="851" ht="12.75" customHeight="1"/>
    <row r="852" ht="12.75" customHeight="1"/>
    <row r="853" ht="12.75" customHeight="1"/>
    <row r="854" ht="12.75" customHeight="1"/>
    <row r="855" ht="12.75" customHeight="1"/>
    <row r="856" ht="12.75" customHeight="1"/>
    <row r="857" ht="12.75" customHeight="1"/>
    <row r="858" ht="12.75" customHeight="1"/>
    <row r="859" ht="12.75" customHeight="1"/>
    <row r="860" ht="12.75" customHeight="1"/>
    <row r="861" ht="12.75" customHeight="1"/>
    <row r="862" ht="12.75" customHeight="1"/>
    <row r="863" ht="12.75" customHeight="1"/>
    <row r="864" ht="12.75" customHeight="1"/>
    <row r="865" ht="12.75" customHeight="1"/>
    <row r="866" ht="12.75" customHeight="1"/>
    <row r="867" ht="12.75" customHeight="1"/>
    <row r="868" ht="12.75" customHeight="1"/>
    <row r="869" ht="12.75" customHeight="1"/>
    <row r="870" ht="12.75" customHeight="1"/>
    <row r="871" ht="12.75" customHeight="1"/>
    <row r="872" ht="12.75" customHeight="1"/>
    <row r="873" ht="12.75" customHeight="1"/>
    <row r="874" ht="12.75" customHeight="1"/>
    <row r="875" ht="12.75" customHeight="1"/>
    <row r="876" ht="12.75" customHeight="1"/>
    <row r="877" ht="12.75" customHeight="1"/>
    <row r="878" ht="12.75" customHeight="1"/>
    <row r="879" ht="12.75" customHeight="1"/>
    <row r="880" ht="12.75" customHeight="1"/>
    <row r="881" ht="12.75" customHeight="1"/>
    <row r="882" ht="12.75" customHeight="1"/>
    <row r="883" ht="12.75" customHeight="1"/>
    <row r="884" ht="12.75" customHeight="1"/>
    <row r="885" ht="12.75" customHeight="1"/>
    <row r="886" ht="12.75" customHeight="1"/>
    <row r="887" ht="12.75" customHeight="1"/>
    <row r="888" ht="12.75" customHeight="1"/>
    <row r="889" ht="12.75" customHeight="1"/>
    <row r="890" ht="12.75" customHeight="1"/>
    <row r="891" ht="12.75" customHeight="1"/>
    <row r="892" ht="12.75" customHeight="1"/>
    <row r="893" ht="12.75" customHeight="1"/>
    <row r="894" ht="12.75" customHeight="1"/>
    <row r="895" ht="12.75" customHeight="1"/>
    <row r="896" ht="12.75" customHeight="1"/>
    <row r="897" ht="12.75" customHeight="1"/>
    <row r="898" ht="12.75" customHeight="1"/>
    <row r="899" ht="12.75" customHeight="1"/>
    <row r="900" ht="12.75" customHeight="1"/>
    <row r="901" ht="12.75" customHeight="1"/>
    <row r="902" ht="12.75" customHeight="1"/>
    <row r="903" ht="12.75" customHeight="1"/>
    <row r="904" ht="12.75" customHeight="1"/>
    <row r="905" ht="12.75" customHeight="1"/>
    <row r="906" ht="12.75" customHeight="1"/>
    <row r="907" ht="12.75" customHeight="1"/>
    <row r="908" ht="12.75" customHeight="1"/>
    <row r="909" ht="12.75" customHeight="1"/>
    <row r="910" ht="12.75" customHeight="1"/>
    <row r="911" ht="12.75" customHeight="1"/>
    <row r="912" ht="12.75" customHeight="1"/>
    <row r="913" ht="12.75" customHeight="1"/>
    <row r="914" ht="12.75" customHeight="1"/>
    <row r="915" ht="12.75" customHeight="1"/>
    <row r="916" ht="12.75" customHeight="1"/>
    <row r="917" ht="12.75" customHeight="1"/>
    <row r="918" ht="12.75" customHeight="1"/>
    <row r="919" ht="12.75" customHeight="1"/>
    <row r="920" ht="12.75" customHeight="1"/>
    <row r="921" ht="12.75" customHeight="1"/>
    <row r="922" ht="12.75" customHeight="1"/>
    <row r="923" ht="12.75" customHeight="1"/>
    <row r="924" ht="12.75" customHeight="1"/>
    <row r="925" ht="12.75" customHeight="1"/>
    <row r="926" ht="12.75" customHeight="1"/>
    <row r="927" ht="12.75" customHeight="1"/>
    <row r="928" ht="12.75" customHeight="1"/>
    <row r="929" ht="12.75" customHeight="1"/>
    <row r="930" ht="12.75" customHeight="1"/>
    <row r="931" ht="12.75" customHeight="1"/>
    <row r="932" ht="12.75" customHeight="1"/>
    <row r="933" ht="12.75" customHeight="1"/>
    <row r="934" ht="12.75" customHeight="1"/>
    <row r="935" ht="12.75" customHeight="1"/>
    <row r="936" ht="12.75" customHeight="1"/>
    <row r="937" ht="12.75" customHeight="1"/>
    <row r="938" ht="12.75" customHeight="1"/>
    <row r="939" ht="12.75" customHeight="1"/>
    <row r="940" ht="12.75" customHeight="1"/>
    <row r="941" ht="12.75" customHeight="1"/>
    <row r="942" ht="12.75" customHeight="1"/>
    <row r="943" ht="12.75" customHeight="1"/>
    <row r="944" ht="12.75" customHeight="1"/>
    <row r="945" ht="12.75" customHeight="1"/>
    <row r="946" ht="12.75" customHeight="1"/>
    <row r="947" ht="12.75" customHeight="1"/>
    <row r="948" ht="12.75" customHeight="1"/>
    <row r="949" ht="12.75" customHeight="1"/>
    <row r="950" ht="12.75" customHeight="1"/>
    <row r="951" ht="12.75" customHeight="1"/>
    <row r="952" ht="12.75" customHeight="1"/>
    <row r="953" ht="12.75" customHeight="1"/>
    <row r="954" ht="12.75" customHeight="1"/>
    <row r="955" ht="12.75" customHeight="1"/>
    <row r="956" ht="12.75" customHeight="1"/>
    <row r="957" ht="12.75" customHeight="1"/>
    <row r="958" ht="12.75" customHeight="1"/>
    <row r="959" ht="12.75" customHeight="1"/>
    <row r="960" ht="12.75" customHeight="1"/>
    <row r="961" ht="12.75" customHeight="1"/>
    <row r="962" ht="12.75" customHeight="1"/>
    <row r="963" ht="12.75" customHeight="1"/>
    <row r="964" ht="12.75" customHeight="1"/>
    <row r="965" ht="12.75" customHeight="1"/>
    <row r="966" ht="12.75" customHeight="1"/>
    <row r="967" ht="12.75" customHeight="1"/>
    <row r="968" ht="12.75" customHeight="1"/>
    <row r="969" ht="12.75" customHeight="1"/>
    <row r="970" ht="12.75" customHeight="1"/>
    <row r="971" ht="12.75" customHeight="1"/>
    <row r="972" ht="12.75" customHeight="1"/>
    <row r="973" ht="12.75" customHeight="1"/>
    <row r="974" ht="12.75" customHeight="1"/>
    <row r="975" ht="12.75" customHeight="1"/>
    <row r="976" ht="12.75" customHeight="1"/>
    <row r="977" ht="12.75" customHeight="1"/>
    <row r="978" ht="12.75" customHeight="1"/>
    <row r="979" ht="12.75" customHeight="1"/>
    <row r="980" ht="12.75" customHeight="1"/>
    <row r="981" ht="12.75" customHeight="1"/>
    <row r="982" ht="12.75" customHeight="1"/>
    <row r="983" ht="12.75" customHeight="1"/>
    <row r="984" ht="12.75" customHeight="1"/>
    <row r="985" ht="12.75" customHeight="1"/>
    <row r="986" ht="12.75" customHeight="1"/>
    <row r="987" ht="12.75" customHeight="1"/>
    <row r="988" ht="12.75" customHeight="1"/>
    <row r="989" ht="12.75" customHeight="1"/>
    <row r="990" ht="12.75" customHeight="1"/>
    <row r="991" ht="12.75" customHeight="1"/>
    <row r="992" ht="12.75" customHeight="1"/>
    <row r="993" ht="12.75" customHeight="1"/>
    <row r="994" ht="12.75" customHeight="1"/>
    <row r="995" ht="12.75" customHeight="1"/>
    <row r="996" ht="12.75" customHeight="1"/>
    <row r="997" ht="12.75" customHeight="1"/>
    <row r="998" ht="12.75" customHeight="1"/>
    <row r="999" ht="12.75" customHeight="1"/>
    <row r="1000" ht="12.75" customHeight="1"/>
  </sheetData>
  <mergeCells count="4">
    <mergeCell ref="D2:H2"/>
    <mergeCell ref="A5:J5"/>
    <mergeCell ref="A13:J13"/>
    <mergeCell ref="A15:J15"/>
  </mergeCells>
  <hyperlinks>
    <hyperlink r:id="rId1" ref="D8"/>
    <hyperlink r:id="rId2" ref="D9"/>
  </hyperlinks>
  <printOptions/>
  <pageMargins bottom="0.75" footer="0.0" header="0.0" left="0.7" right="0.7" top="0.75"/>
  <pageSetup orientation="landscape"/>
  <drawing r:id="rId3"/>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19.13"/>
    <col customWidth="1" min="3" max="3" width="13.88"/>
  </cols>
  <sheetData>
    <row r="1">
      <c r="A1" s="254"/>
      <c r="B1" s="254"/>
      <c r="C1" s="254"/>
    </row>
    <row r="2">
      <c r="A2" s="254"/>
      <c r="B2" s="254"/>
      <c r="C2" s="254"/>
    </row>
    <row r="3">
      <c r="A3" s="254"/>
      <c r="B3" s="255" t="s">
        <v>554</v>
      </c>
      <c r="C3" s="256"/>
    </row>
    <row r="4">
      <c r="A4" s="254"/>
      <c r="B4" s="257" t="s">
        <v>555</v>
      </c>
      <c r="C4" s="258">
        <v>1750905.0</v>
      </c>
    </row>
    <row r="5">
      <c r="A5" s="254"/>
      <c r="B5" s="259" t="s">
        <v>556</v>
      </c>
      <c r="C5" s="260">
        <v>249095.0</v>
      </c>
    </row>
    <row r="6">
      <c r="A6" s="254"/>
      <c r="B6" s="261" t="s">
        <v>557</v>
      </c>
      <c r="C6" s="262">
        <v>2.2761765E7</v>
      </c>
    </row>
    <row r="7">
      <c r="A7" s="254"/>
      <c r="B7" s="255" t="s">
        <v>558</v>
      </c>
      <c r="C7" s="256"/>
    </row>
    <row r="8">
      <c r="A8" s="254"/>
      <c r="B8" s="257" t="s">
        <v>559</v>
      </c>
      <c r="C8" s="263">
        <v>0.02</v>
      </c>
    </row>
    <row r="9">
      <c r="A9" s="254"/>
      <c r="B9" s="259" t="s">
        <v>560</v>
      </c>
      <c r="C9" s="264">
        <v>0.03</v>
      </c>
    </row>
    <row r="10">
      <c r="A10" s="254"/>
      <c r="B10" s="265" t="s">
        <v>561</v>
      </c>
      <c r="C10" s="266">
        <v>0.04</v>
      </c>
    </row>
    <row r="11">
      <c r="A11" s="254"/>
      <c r="B11" s="267" t="s">
        <v>562</v>
      </c>
      <c r="C11" s="268">
        <f>SUM(C8:C10)</f>
        <v>0.09</v>
      </c>
    </row>
    <row r="12">
      <c r="A12" s="254"/>
      <c r="B12" s="255" t="s">
        <v>563</v>
      </c>
      <c r="C12" s="256"/>
    </row>
    <row r="13">
      <c r="A13" s="254"/>
      <c r="B13" s="257" t="s">
        <v>564</v>
      </c>
      <c r="C13" s="269">
        <v>0.0833</v>
      </c>
    </row>
    <row r="14">
      <c r="A14" s="254"/>
      <c r="B14" s="259" t="s">
        <v>565</v>
      </c>
      <c r="C14" s="270">
        <v>0.01</v>
      </c>
    </row>
    <row r="15">
      <c r="A15" s="254"/>
      <c r="B15" s="259" t="s">
        <v>566</v>
      </c>
      <c r="C15" s="270">
        <v>0.0833</v>
      </c>
    </row>
    <row r="16">
      <c r="A16" s="254"/>
      <c r="B16" s="265" t="s">
        <v>567</v>
      </c>
      <c r="C16" s="271">
        <v>0.0417</v>
      </c>
    </row>
    <row r="17">
      <c r="A17" s="254"/>
      <c r="B17" s="267" t="s">
        <v>562</v>
      </c>
      <c r="C17" s="272">
        <f>SUM(C13:C16)</f>
        <v>0.2183</v>
      </c>
    </row>
    <row r="18">
      <c r="A18" s="254"/>
      <c r="B18" s="255" t="s">
        <v>568</v>
      </c>
      <c r="C18" s="256"/>
    </row>
    <row r="19">
      <c r="A19" s="254"/>
      <c r="B19" s="273" t="s">
        <v>569</v>
      </c>
      <c r="C19" s="256"/>
    </row>
    <row r="20">
      <c r="A20" s="254"/>
      <c r="B20" s="257" t="s">
        <v>570</v>
      </c>
      <c r="C20" s="269">
        <v>0.085</v>
      </c>
    </row>
    <row r="21">
      <c r="A21" s="254"/>
      <c r="B21" s="261" t="s">
        <v>571</v>
      </c>
      <c r="C21" s="274">
        <v>0.04</v>
      </c>
    </row>
    <row r="22">
      <c r="A22" s="254"/>
      <c r="B22" s="273" t="s">
        <v>572</v>
      </c>
      <c r="C22" s="256"/>
    </row>
    <row r="23">
      <c r="A23" s="254"/>
      <c r="B23" s="257" t="s">
        <v>570</v>
      </c>
      <c r="C23" s="269">
        <v>0.12</v>
      </c>
    </row>
    <row r="24">
      <c r="A24" s="254"/>
      <c r="B24" s="259" t="s">
        <v>571</v>
      </c>
      <c r="C24" s="270">
        <v>0.04</v>
      </c>
    </row>
    <row r="25">
      <c r="A25" s="254"/>
      <c r="B25" s="275" t="s">
        <v>573</v>
      </c>
      <c r="C25" s="276">
        <f t="shared" ref="C25:C26" si="1">SUM(C20+C23)</f>
        <v>0.205</v>
      </c>
    </row>
    <row r="26">
      <c r="A26" s="254"/>
      <c r="B26" s="277" t="s">
        <v>574</v>
      </c>
      <c r="C26" s="278">
        <f t="shared" si="1"/>
        <v>0.08</v>
      </c>
    </row>
    <row r="27">
      <c r="A27" s="254"/>
      <c r="B27" s="279" t="s">
        <v>575</v>
      </c>
      <c r="C27" s="280">
        <f>SUM(C11+C17+C25)</f>
        <v>0.5133</v>
      </c>
    </row>
  </sheetData>
  <mergeCells count="6">
    <mergeCell ref="B3:C3"/>
    <mergeCell ref="B7:C7"/>
    <mergeCell ref="B12:C12"/>
    <mergeCell ref="B18:C18"/>
    <mergeCell ref="B19:C19"/>
    <mergeCell ref="B22:C22"/>
  </mergeCells>
  <drawing r:id="rId1"/>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2" max="2" width="22.38"/>
    <col customWidth="1" min="3" max="3" width="13.88"/>
    <col customWidth="1" min="4" max="4" width="12.63"/>
    <col customWidth="1" min="5" max="5" width="19.0"/>
    <col customWidth="1" min="6" max="7" width="13.0"/>
    <col customWidth="1" min="8" max="8" width="20.0"/>
    <col customWidth="1" min="9" max="10" width="13.0"/>
    <col customWidth="1" min="11" max="11" width="18.5"/>
    <col customWidth="1" min="12" max="12" width="16.63"/>
    <col customWidth="1" min="13" max="13" width="14.88"/>
    <col customWidth="1" min="14" max="14" width="11.63"/>
  </cols>
  <sheetData>
    <row r="1">
      <c r="A1" s="254"/>
      <c r="B1" s="254"/>
      <c r="C1" s="254"/>
      <c r="D1" s="254"/>
      <c r="E1" s="254"/>
      <c r="F1" s="254"/>
      <c r="G1" s="254"/>
      <c r="H1" s="254"/>
      <c r="I1" s="254"/>
      <c r="J1" s="254"/>
      <c r="K1" s="254"/>
      <c r="L1" s="254"/>
      <c r="M1" s="254"/>
      <c r="N1" s="254"/>
    </row>
    <row r="2">
      <c r="A2" s="254"/>
      <c r="B2" s="254"/>
      <c r="C2" s="254"/>
      <c r="D2" s="254"/>
      <c r="E2" s="254"/>
      <c r="F2" s="254"/>
      <c r="G2" s="254"/>
      <c r="H2" s="254"/>
      <c r="I2" s="254"/>
      <c r="J2" s="254"/>
      <c r="K2" s="254"/>
      <c r="L2" s="254"/>
      <c r="M2" s="254"/>
      <c r="N2" s="254"/>
    </row>
    <row r="3">
      <c r="A3" s="254"/>
      <c r="B3" s="281" t="s">
        <v>576</v>
      </c>
      <c r="C3" s="282"/>
      <c r="D3" s="256"/>
      <c r="E3" s="281" t="s">
        <v>569</v>
      </c>
      <c r="F3" s="282"/>
      <c r="G3" s="256"/>
      <c r="H3" s="281" t="s">
        <v>572</v>
      </c>
      <c r="I3" s="282"/>
      <c r="J3" s="283"/>
      <c r="K3" s="284" t="s">
        <v>577</v>
      </c>
      <c r="L3" s="285" t="s">
        <v>578</v>
      </c>
      <c r="M3" s="286" t="s">
        <v>579</v>
      </c>
      <c r="N3" s="286" t="s">
        <v>580</v>
      </c>
    </row>
    <row r="4">
      <c r="A4" s="254"/>
      <c r="B4" s="287" t="s">
        <v>581</v>
      </c>
      <c r="C4" s="287" t="s">
        <v>582</v>
      </c>
      <c r="D4" s="287" t="s">
        <v>583</v>
      </c>
      <c r="E4" s="287" t="s">
        <v>571</v>
      </c>
      <c r="F4" s="287" t="s">
        <v>570</v>
      </c>
      <c r="G4" s="287" t="s">
        <v>562</v>
      </c>
      <c r="H4" s="287" t="s">
        <v>571</v>
      </c>
      <c r="I4" s="287" t="s">
        <v>570</v>
      </c>
      <c r="J4" s="287" t="s">
        <v>562</v>
      </c>
      <c r="K4" s="287" t="s">
        <v>571</v>
      </c>
      <c r="L4" s="288" t="s">
        <v>562</v>
      </c>
      <c r="M4" s="289"/>
      <c r="N4" s="289"/>
    </row>
    <row r="5">
      <c r="A5" s="254"/>
      <c r="B5" s="290" t="s">
        <v>584</v>
      </c>
      <c r="C5" s="291">
        <v>1750905.0</v>
      </c>
      <c r="D5" s="292">
        <v>30.0</v>
      </c>
      <c r="E5" s="293">
        <f>C5*ParaFiscales!$C$21</f>
        <v>70036.2</v>
      </c>
      <c r="F5" s="294">
        <f>C5*ParaFiscales!$C$20</f>
        <v>148826.925</v>
      </c>
      <c r="G5" s="294">
        <f t="shared" ref="G5:G16" si="1">SUM(E5:F5)</f>
        <v>218863.125</v>
      </c>
      <c r="H5" s="294">
        <f>C5*ParaFiscales!$C$24</f>
        <v>70036.2</v>
      </c>
      <c r="I5" s="294">
        <f>C5*ParaFiscales!$C$23</f>
        <v>210108.6</v>
      </c>
      <c r="J5" s="294">
        <f t="shared" ref="J5:J16" si="2">SUM(H5:I5)</f>
        <v>280144.8</v>
      </c>
      <c r="K5" s="291">
        <v>249095.0</v>
      </c>
      <c r="L5" s="294">
        <f t="shared" ref="L5:L9" si="3">C5+K5</f>
        <v>2000000</v>
      </c>
      <c r="M5" s="295">
        <f t="shared" ref="M5:M16" si="4">C5*12</f>
        <v>21010860</v>
      </c>
      <c r="N5" s="295">
        <v>10489.51</v>
      </c>
    </row>
    <row r="6">
      <c r="A6" s="254"/>
      <c r="B6" s="296" t="s">
        <v>585</v>
      </c>
      <c r="C6" s="297">
        <v>2000000.0</v>
      </c>
      <c r="D6" s="298">
        <v>30.0</v>
      </c>
      <c r="E6" s="299">
        <f>C6*ParaFiscales!$C$21</f>
        <v>80000</v>
      </c>
      <c r="F6" s="300">
        <f>C6*ParaFiscales!$C$20</f>
        <v>170000</v>
      </c>
      <c r="G6" s="300">
        <f t="shared" si="1"/>
        <v>250000</v>
      </c>
      <c r="H6" s="300">
        <f>C6*ParaFiscales!$C$24</f>
        <v>80000</v>
      </c>
      <c r="I6" s="300">
        <f>C6*ParaFiscales!$C$23</f>
        <v>240000</v>
      </c>
      <c r="J6" s="300">
        <f t="shared" si="2"/>
        <v>320000</v>
      </c>
      <c r="K6" s="291">
        <v>249095.0</v>
      </c>
      <c r="L6" s="294">
        <f t="shared" si="3"/>
        <v>2249095</v>
      </c>
      <c r="M6" s="295">
        <f t="shared" si="4"/>
        <v>24000000</v>
      </c>
      <c r="N6" s="295">
        <v>11795.95</v>
      </c>
    </row>
    <row r="7">
      <c r="A7" s="254"/>
      <c r="B7" s="296" t="s">
        <v>586</v>
      </c>
      <c r="C7" s="297">
        <v>2900000.0</v>
      </c>
      <c r="D7" s="298">
        <v>30.0</v>
      </c>
      <c r="E7" s="299">
        <f>C7*ParaFiscales!$C$21</f>
        <v>116000</v>
      </c>
      <c r="F7" s="300">
        <f>C7*ParaFiscales!$C$20</f>
        <v>246500</v>
      </c>
      <c r="G7" s="300">
        <f t="shared" si="1"/>
        <v>362500</v>
      </c>
      <c r="H7" s="300">
        <f>C7*ParaFiscales!$C$24</f>
        <v>116000</v>
      </c>
      <c r="I7" s="300">
        <f>C7*ParaFiscales!$C$23</f>
        <v>348000</v>
      </c>
      <c r="J7" s="300">
        <f t="shared" si="2"/>
        <v>464000</v>
      </c>
      <c r="K7" s="291">
        <v>249095.0</v>
      </c>
      <c r="L7" s="294">
        <f t="shared" si="3"/>
        <v>3149095</v>
      </c>
      <c r="M7" s="295">
        <f t="shared" si="4"/>
        <v>34800000</v>
      </c>
      <c r="N7" s="295">
        <v>16516.23</v>
      </c>
    </row>
    <row r="8">
      <c r="A8" s="254"/>
      <c r="B8" s="296" t="s">
        <v>587</v>
      </c>
      <c r="C8" s="297">
        <v>6000000.0</v>
      </c>
      <c r="D8" s="298">
        <v>30.0</v>
      </c>
      <c r="E8" s="299">
        <f>C8*ParaFiscales!$C$21</f>
        <v>240000</v>
      </c>
      <c r="F8" s="300">
        <f>C8*ParaFiscales!$C$20</f>
        <v>510000</v>
      </c>
      <c r="G8" s="300">
        <f t="shared" si="1"/>
        <v>750000</v>
      </c>
      <c r="H8" s="300">
        <f>C8*ParaFiscales!$C$24</f>
        <v>240000</v>
      </c>
      <c r="I8" s="300">
        <f>C8*ParaFiscales!$C$23</f>
        <v>720000</v>
      </c>
      <c r="J8" s="300">
        <f t="shared" si="2"/>
        <v>960000</v>
      </c>
      <c r="K8" s="301"/>
      <c r="L8" s="294">
        <f t="shared" si="3"/>
        <v>6000000</v>
      </c>
      <c r="M8" s="295">
        <f t="shared" si="4"/>
        <v>72000000</v>
      </c>
      <c r="N8" s="295">
        <v>31468.53</v>
      </c>
    </row>
    <row r="9">
      <c r="A9" s="254"/>
      <c r="B9" s="296" t="s">
        <v>588</v>
      </c>
      <c r="C9" s="297">
        <v>9000000.0</v>
      </c>
      <c r="D9" s="298">
        <v>30.0</v>
      </c>
      <c r="E9" s="299">
        <f>C9*ParaFiscales!$C$21</f>
        <v>360000</v>
      </c>
      <c r="F9" s="300">
        <f>C9*ParaFiscales!$C$20</f>
        <v>765000</v>
      </c>
      <c r="G9" s="300">
        <f t="shared" si="1"/>
        <v>1125000</v>
      </c>
      <c r="H9" s="300">
        <f>C9*ParaFiscales!$C$24</f>
        <v>360000</v>
      </c>
      <c r="I9" s="300">
        <f>C9*ParaFiscales!$C$23</f>
        <v>1080000</v>
      </c>
      <c r="J9" s="300">
        <f t="shared" si="2"/>
        <v>1440000</v>
      </c>
      <c r="K9" s="301"/>
      <c r="L9" s="294">
        <f t="shared" si="3"/>
        <v>9000000</v>
      </c>
      <c r="M9" s="295">
        <f t="shared" si="4"/>
        <v>108000000</v>
      </c>
      <c r="N9" s="295">
        <v>47202.8</v>
      </c>
    </row>
    <row r="10">
      <c r="A10" s="254"/>
      <c r="B10" s="296"/>
      <c r="C10" s="301"/>
      <c r="D10" s="302"/>
      <c r="E10" s="299">
        <f>C10*ParaFiscales!$C$21</f>
        <v>0</v>
      </c>
      <c r="F10" s="300">
        <f>C10*ParaFiscales!$C$20</f>
        <v>0</v>
      </c>
      <c r="G10" s="300">
        <f t="shared" si="1"/>
        <v>0</v>
      </c>
      <c r="H10" s="300">
        <f>C10*ParaFiscales!$C$24</f>
        <v>0</v>
      </c>
      <c r="I10" s="300">
        <f>C10*ParaFiscales!$C$23</f>
        <v>0</v>
      </c>
      <c r="J10" s="300">
        <f t="shared" si="2"/>
        <v>0</v>
      </c>
      <c r="K10" s="301"/>
      <c r="L10" s="300">
        <f t="shared" ref="L10:L16" si="5">(C10-E10-H10+K10)</f>
        <v>0</v>
      </c>
      <c r="M10" s="295">
        <f t="shared" si="4"/>
        <v>0</v>
      </c>
      <c r="N10" s="295">
        <f t="shared" ref="N10:N16" si="6">D10*12</f>
        <v>0</v>
      </c>
    </row>
    <row r="11">
      <c r="A11" s="254"/>
      <c r="B11" s="296"/>
      <c r="C11" s="301"/>
      <c r="D11" s="302"/>
      <c r="E11" s="299">
        <f>C11*ParaFiscales!$C$21</f>
        <v>0</v>
      </c>
      <c r="F11" s="300">
        <f>C11*ParaFiscales!$C$20</f>
        <v>0</v>
      </c>
      <c r="G11" s="300">
        <f t="shared" si="1"/>
        <v>0</v>
      </c>
      <c r="H11" s="300">
        <f>C11*ParaFiscales!$C$24</f>
        <v>0</v>
      </c>
      <c r="I11" s="300">
        <f>C11*ParaFiscales!$C$23</f>
        <v>0</v>
      </c>
      <c r="J11" s="300">
        <f t="shared" si="2"/>
        <v>0</v>
      </c>
      <c r="K11" s="301"/>
      <c r="L11" s="300">
        <f t="shared" si="5"/>
        <v>0</v>
      </c>
      <c r="M11" s="295">
        <f t="shared" si="4"/>
        <v>0</v>
      </c>
      <c r="N11" s="295">
        <f t="shared" si="6"/>
        <v>0</v>
      </c>
    </row>
    <row r="12">
      <c r="A12" s="254"/>
      <c r="B12" s="296"/>
      <c r="C12" s="301"/>
      <c r="D12" s="302"/>
      <c r="E12" s="299">
        <f>C12*ParaFiscales!$C$21</f>
        <v>0</v>
      </c>
      <c r="F12" s="300">
        <f>C12*ParaFiscales!$C$20</f>
        <v>0</v>
      </c>
      <c r="G12" s="300">
        <f t="shared" si="1"/>
        <v>0</v>
      </c>
      <c r="H12" s="300">
        <f>C12*ParaFiscales!$C$24</f>
        <v>0</v>
      </c>
      <c r="I12" s="300">
        <f>C12*ParaFiscales!$C$23</f>
        <v>0</v>
      </c>
      <c r="J12" s="300">
        <f t="shared" si="2"/>
        <v>0</v>
      </c>
      <c r="K12" s="301"/>
      <c r="L12" s="300">
        <f t="shared" si="5"/>
        <v>0</v>
      </c>
      <c r="M12" s="295">
        <f t="shared" si="4"/>
        <v>0</v>
      </c>
      <c r="N12" s="295">
        <f t="shared" si="6"/>
        <v>0</v>
      </c>
    </row>
    <row r="13">
      <c r="A13" s="254"/>
      <c r="B13" s="296"/>
      <c r="C13" s="301"/>
      <c r="D13" s="302"/>
      <c r="E13" s="299">
        <f>C13*ParaFiscales!$C$21</f>
        <v>0</v>
      </c>
      <c r="F13" s="300">
        <f>C13*ParaFiscales!$C$20</f>
        <v>0</v>
      </c>
      <c r="G13" s="300">
        <f t="shared" si="1"/>
        <v>0</v>
      </c>
      <c r="H13" s="300">
        <f>C13*ParaFiscales!$C$24</f>
        <v>0</v>
      </c>
      <c r="I13" s="300">
        <f>C13*ParaFiscales!$C$23</f>
        <v>0</v>
      </c>
      <c r="J13" s="300">
        <f t="shared" si="2"/>
        <v>0</v>
      </c>
      <c r="K13" s="301"/>
      <c r="L13" s="300">
        <f t="shared" si="5"/>
        <v>0</v>
      </c>
      <c r="M13" s="295">
        <f t="shared" si="4"/>
        <v>0</v>
      </c>
      <c r="N13" s="295">
        <f t="shared" si="6"/>
        <v>0</v>
      </c>
    </row>
    <row r="14">
      <c r="A14" s="254"/>
      <c r="B14" s="296"/>
      <c r="C14" s="301"/>
      <c r="D14" s="302"/>
      <c r="E14" s="299">
        <f>C14*ParaFiscales!$C$21</f>
        <v>0</v>
      </c>
      <c r="F14" s="300">
        <f>C14*ParaFiscales!$C$20</f>
        <v>0</v>
      </c>
      <c r="G14" s="300">
        <f t="shared" si="1"/>
        <v>0</v>
      </c>
      <c r="H14" s="300">
        <f>C14*ParaFiscales!$C$24</f>
        <v>0</v>
      </c>
      <c r="I14" s="300">
        <f>C14*ParaFiscales!$C$23</f>
        <v>0</v>
      </c>
      <c r="J14" s="300">
        <f t="shared" si="2"/>
        <v>0</v>
      </c>
      <c r="K14" s="301"/>
      <c r="L14" s="300">
        <f t="shared" si="5"/>
        <v>0</v>
      </c>
      <c r="M14" s="295">
        <f t="shared" si="4"/>
        <v>0</v>
      </c>
      <c r="N14" s="295">
        <f t="shared" si="6"/>
        <v>0</v>
      </c>
    </row>
    <row r="15">
      <c r="A15" s="254"/>
      <c r="B15" s="296"/>
      <c r="C15" s="301"/>
      <c r="D15" s="302"/>
      <c r="E15" s="299">
        <f>C15*ParaFiscales!$C$21</f>
        <v>0</v>
      </c>
      <c r="F15" s="300">
        <f>C15*ParaFiscales!$C$20</f>
        <v>0</v>
      </c>
      <c r="G15" s="300">
        <f t="shared" si="1"/>
        <v>0</v>
      </c>
      <c r="H15" s="300">
        <f>C15*ParaFiscales!$C$24</f>
        <v>0</v>
      </c>
      <c r="I15" s="300">
        <f>C15*ParaFiscales!$C$23</f>
        <v>0</v>
      </c>
      <c r="J15" s="300">
        <f t="shared" si="2"/>
        <v>0</v>
      </c>
      <c r="K15" s="301"/>
      <c r="L15" s="300">
        <f t="shared" si="5"/>
        <v>0</v>
      </c>
      <c r="M15" s="295">
        <f t="shared" si="4"/>
        <v>0</v>
      </c>
      <c r="N15" s="295">
        <f t="shared" si="6"/>
        <v>0</v>
      </c>
    </row>
    <row r="16">
      <c r="A16" s="254"/>
      <c r="B16" s="303"/>
      <c r="C16" s="304"/>
      <c r="D16" s="305"/>
      <c r="E16" s="299">
        <f>C16*ParaFiscales!$C$21</f>
        <v>0</v>
      </c>
      <c r="F16" s="300">
        <f>C16*ParaFiscales!$C$20</f>
        <v>0</v>
      </c>
      <c r="G16" s="300">
        <f t="shared" si="1"/>
        <v>0</v>
      </c>
      <c r="H16" s="300">
        <f>C16*ParaFiscales!$C$24</f>
        <v>0</v>
      </c>
      <c r="I16" s="300">
        <f>C16*ParaFiscales!$C$23</f>
        <v>0</v>
      </c>
      <c r="J16" s="300">
        <f t="shared" si="2"/>
        <v>0</v>
      </c>
      <c r="K16" s="304"/>
      <c r="L16" s="300">
        <f t="shared" si="5"/>
        <v>0</v>
      </c>
      <c r="M16" s="295">
        <f t="shared" si="4"/>
        <v>0</v>
      </c>
      <c r="N16" s="295">
        <f t="shared" si="6"/>
        <v>0</v>
      </c>
    </row>
    <row r="17">
      <c r="A17" s="254"/>
      <c r="B17" s="279" t="s">
        <v>575</v>
      </c>
      <c r="C17" s="306">
        <f>SUM(C5:C16)</f>
        <v>21650905</v>
      </c>
      <c r="D17" s="307"/>
      <c r="E17" s="306">
        <f t="shared" ref="E17:N17" si="7">SUM(E5:E16)</f>
        <v>866036.2</v>
      </c>
      <c r="F17" s="306">
        <f t="shared" si="7"/>
        <v>1840326.925</v>
      </c>
      <c r="G17" s="306">
        <f t="shared" si="7"/>
        <v>2706363.125</v>
      </c>
      <c r="H17" s="306">
        <f t="shared" si="7"/>
        <v>866036.2</v>
      </c>
      <c r="I17" s="306">
        <f t="shared" si="7"/>
        <v>2598108.6</v>
      </c>
      <c r="J17" s="306">
        <f t="shared" si="7"/>
        <v>3464144.8</v>
      </c>
      <c r="K17" s="306">
        <f t="shared" si="7"/>
        <v>747285</v>
      </c>
      <c r="L17" s="308">
        <f t="shared" si="7"/>
        <v>22398190</v>
      </c>
      <c r="M17" s="306">
        <f t="shared" si="7"/>
        <v>259810860</v>
      </c>
      <c r="N17" s="306">
        <f t="shared" si="7"/>
        <v>117473.02</v>
      </c>
    </row>
    <row r="18">
      <c r="A18" s="254"/>
      <c r="B18" s="254"/>
      <c r="C18" s="309"/>
      <c r="D18" s="254"/>
      <c r="E18" s="309"/>
      <c r="F18" s="309"/>
      <c r="G18" s="309"/>
      <c r="H18" s="309"/>
      <c r="I18" s="309"/>
      <c r="J18" s="309"/>
      <c r="K18" s="309"/>
      <c r="L18" s="309"/>
      <c r="M18" s="254"/>
      <c r="N18" s="254"/>
    </row>
    <row r="19">
      <c r="A19" s="254"/>
      <c r="B19" s="254"/>
      <c r="C19" s="254"/>
      <c r="D19" s="254"/>
      <c r="E19" s="254"/>
      <c r="F19" s="254"/>
      <c r="G19" s="254"/>
      <c r="H19" s="254"/>
      <c r="I19" s="254"/>
      <c r="J19" s="254"/>
      <c r="K19" s="254"/>
      <c r="L19" s="254"/>
      <c r="M19" s="254"/>
      <c r="N19" s="254"/>
    </row>
    <row r="20">
      <c r="A20" s="254"/>
      <c r="B20" s="255" t="s">
        <v>589</v>
      </c>
      <c r="C20" s="256"/>
      <c r="D20" s="254"/>
      <c r="E20" s="255" t="s">
        <v>590</v>
      </c>
      <c r="F20" s="256"/>
      <c r="G20" s="254"/>
      <c r="H20" s="255" t="s">
        <v>591</v>
      </c>
      <c r="I20" s="256"/>
      <c r="J20" s="254"/>
      <c r="K20" s="254"/>
      <c r="L20" s="254"/>
      <c r="M20" s="254"/>
      <c r="N20" s="254"/>
    </row>
    <row r="21">
      <c r="A21" s="254"/>
      <c r="B21" s="257" t="s">
        <v>559</v>
      </c>
      <c r="C21" s="310">
        <f>$C$5*ParaFiscales!C8</f>
        <v>35018.1</v>
      </c>
      <c r="D21" s="254"/>
      <c r="E21" s="257" t="s">
        <v>559</v>
      </c>
      <c r="F21" s="310">
        <f>$C$6*ParaFiscales!$C$8</f>
        <v>40000</v>
      </c>
      <c r="G21" s="254"/>
      <c r="H21" s="257" t="s">
        <v>559</v>
      </c>
      <c r="I21" s="310">
        <f>$C$7*ParaFiscales!$C$8</f>
        <v>58000</v>
      </c>
      <c r="J21" s="254"/>
      <c r="K21" s="254"/>
      <c r="L21" s="254"/>
      <c r="M21" s="254"/>
      <c r="N21" s="254"/>
    </row>
    <row r="22">
      <c r="A22" s="254"/>
      <c r="B22" s="259" t="s">
        <v>560</v>
      </c>
      <c r="C22" s="310">
        <f>$C$5*ParaFiscales!C9</f>
        <v>52527.15</v>
      </c>
      <c r="D22" s="254"/>
      <c r="E22" s="259" t="s">
        <v>560</v>
      </c>
      <c r="F22" s="310">
        <f>$C$6*ParaFiscales!$C$9</f>
        <v>60000</v>
      </c>
      <c r="G22" s="254"/>
      <c r="H22" s="259" t="s">
        <v>560</v>
      </c>
      <c r="I22" s="310">
        <f>$C$7*ParaFiscales!$C$9</f>
        <v>87000</v>
      </c>
      <c r="J22" s="254"/>
      <c r="K22" s="254"/>
      <c r="L22" s="254"/>
      <c r="M22" s="254"/>
      <c r="N22" s="254"/>
    </row>
    <row r="23">
      <c r="A23" s="254"/>
      <c r="B23" s="265" t="s">
        <v>561</v>
      </c>
      <c r="C23" s="310">
        <f>$C$5*ParaFiscales!C10</f>
        <v>70036.2</v>
      </c>
      <c r="D23" s="254"/>
      <c r="E23" s="265" t="s">
        <v>561</v>
      </c>
      <c r="F23" s="310">
        <f>$C$6*ParaFiscales!$C$10</f>
        <v>80000</v>
      </c>
      <c r="G23" s="254"/>
      <c r="H23" s="265" t="s">
        <v>561</v>
      </c>
      <c r="I23" s="310">
        <f>$C$7*ParaFiscales!$C$10</f>
        <v>116000</v>
      </c>
      <c r="J23" s="254"/>
      <c r="K23" s="254"/>
      <c r="L23" s="254"/>
      <c r="M23" s="254"/>
      <c r="N23" s="254"/>
    </row>
    <row r="24">
      <c r="A24" s="254"/>
      <c r="B24" s="311" t="s">
        <v>562</v>
      </c>
      <c r="C24" s="312">
        <f>SUM(C21:C23)</f>
        <v>157581.45</v>
      </c>
      <c r="D24" s="254"/>
      <c r="E24" s="311" t="s">
        <v>562</v>
      </c>
      <c r="F24" s="312">
        <f>SUM(F21:F23)</f>
        <v>180000</v>
      </c>
      <c r="G24" s="254"/>
      <c r="H24" s="311" t="s">
        <v>562</v>
      </c>
      <c r="I24" s="312">
        <f>SUM(I21:I23)</f>
        <v>261000</v>
      </c>
      <c r="J24" s="254"/>
      <c r="K24" s="254"/>
      <c r="L24" s="254"/>
      <c r="M24" s="254"/>
      <c r="N24" s="254"/>
    </row>
    <row r="25">
      <c r="A25" s="254"/>
      <c r="B25" s="313" t="s">
        <v>563</v>
      </c>
      <c r="C25" s="314"/>
      <c r="D25" s="254"/>
      <c r="E25" s="313" t="s">
        <v>563</v>
      </c>
      <c r="F25" s="314"/>
      <c r="G25" s="254"/>
      <c r="H25" s="313" t="s">
        <v>563</v>
      </c>
      <c r="I25" s="314"/>
      <c r="J25" s="254"/>
      <c r="K25" s="254"/>
      <c r="L25" s="254"/>
      <c r="M25" s="254"/>
      <c r="N25" s="254"/>
    </row>
    <row r="26">
      <c r="A26" s="254"/>
      <c r="B26" s="315" t="s">
        <v>564</v>
      </c>
      <c r="C26" s="316">
        <f>$C$5*ParaFiscales!C13</f>
        <v>145850.3865</v>
      </c>
      <c r="D26" s="254"/>
      <c r="E26" s="315" t="s">
        <v>564</v>
      </c>
      <c r="F26" s="316">
        <f>$C$6*ParaFiscales!$C$13</f>
        <v>166600</v>
      </c>
      <c r="G26" s="254"/>
      <c r="H26" s="315" t="s">
        <v>564</v>
      </c>
      <c r="I26" s="316">
        <f>$C$7*ParaFiscales!$C$13</f>
        <v>241570</v>
      </c>
      <c r="J26" s="254"/>
      <c r="K26" s="254"/>
      <c r="L26" s="254"/>
      <c r="M26" s="254"/>
      <c r="N26" s="254"/>
    </row>
    <row r="27">
      <c r="A27" s="254"/>
      <c r="B27" s="317" t="s">
        <v>565</v>
      </c>
      <c r="C27" s="316">
        <f>$C$5*ParaFiscales!C14</f>
        <v>17509.05</v>
      </c>
      <c r="D27" s="254"/>
      <c r="E27" s="317" t="s">
        <v>565</v>
      </c>
      <c r="F27" s="316">
        <f>$C$6*ParaFiscales!$C$14</f>
        <v>20000</v>
      </c>
      <c r="G27" s="254"/>
      <c r="H27" s="317" t="s">
        <v>565</v>
      </c>
      <c r="I27" s="316">
        <f>$C$7*ParaFiscales!$C$14</f>
        <v>29000</v>
      </c>
      <c r="J27" s="254"/>
      <c r="K27" s="254"/>
      <c r="L27" s="254"/>
      <c r="M27" s="254"/>
      <c r="N27" s="254"/>
    </row>
    <row r="28">
      <c r="A28" s="254"/>
      <c r="B28" s="317" t="s">
        <v>566</v>
      </c>
      <c r="C28" s="316">
        <f>$C$5*ParaFiscales!C15</f>
        <v>145850.3865</v>
      </c>
      <c r="D28" s="254"/>
      <c r="E28" s="317" t="s">
        <v>566</v>
      </c>
      <c r="F28" s="316">
        <f>$C$6*ParaFiscales!$C$15</f>
        <v>166600</v>
      </c>
      <c r="G28" s="254"/>
      <c r="H28" s="317" t="s">
        <v>566</v>
      </c>
      <c r="I28" s="316">
        <f>$C$7*ParaFiscales!$C$15</f>
        <v>241570</v>
      </c>
      <c r="J28" s="254"/>
      <c r="K28" s="254"/>
      <c r="L28" s="254"/>
      <c r="M28" s="254"/>
      <c r="N28" s="254"/>
    </row>
    <row r="29">
      <c r="A29" s="254"/>
      <c r="B29" s="318" t="s">
        <v>567</v>
      </c>
      <c r="C29" s="316">
        <f>$C$5*ParaFiscales!C16</f>
        <v>73012.7385</v>
      </c>
      <c r="D29" s="254"/>
      <c r="E29" s="318" t="s">
        <v>567</v>
      </c>
      <c r="F29" s="316">
        <f>$C$6*ParaFiscales!$C$16</f>
        <v>83400</v>
      </c>
      <c r="G29" s="254"/>
      <c r="H29" s="318" t="s">
        <v>567</v>
      </c>
      <c r="I29" s="316">
        <f>$C$7*ParaFiscales!$C$16</f>
        <v>120930</v>
      </c>
      <c r="J29" s="254"/>
      <c r="K29" s="254"/>
      <c r="L29" s="254"/>
      <c r="M29" s="254"/>
      <c r="N29" s="254"/>
    </row>
    <row r="30">
      <c r="A30" s="254"/>
      <c r="B30" s="311" t="s">
        <v>562</v>
      </c>
      <c r="C30" s="319">
        <f>SUM(C26:C29)</f>
        <v>382222.5615</v>
      </c>
      <c r="D30" s="254"/>
      <c r="E30" s="311" t="s">
        <v>562</v>
      </c>
      <c r="F30" s="319">
        <f>SUM(F26:F29)</f>
        <v>436600</v>
      </c>
      <c r="G30" s="254"/>
      <c r="H30" s="311" t="s">
        <v>562</v>
      </c>
      <c r="I30" s="319">
        <f>SUM(I26:I29)</f>
        <v>633070</v>
      </c>
      <c r="J30" s="254"/>
      <c r="K30" s="254"/>
      <c r="L30" s="254"/>
      <c r="M30" s="254"/>
      <c r="N30" s="254"/>
    </row>
    <row r="31">
      <c r="A31" s="254"/>
      <c r="B31" s="255" t="s">
        <v>568</v>
      </c>
      <c r="C31" s="256"/>
      <c r="D31" s="254"/>
      <c r="E31" s="255" t="s">
        <v>568</v>
      </c>
      <c r="F31" s="256"/>
      <c r="G31" s="254"/>
      <c r="H31" s="255" t="s">
        <v>568</v>
      </c>
      <c r="I31" s="256"/>
      <c r="J31" s="254"/>
      <c r="K31" s="254"/>
      <c r="L31" s="254"/>
      <c r="M31" s="254"/>
      <c r="N31" s="254"/>
    </row>
    <row r="32">
      <c r="A32" s="254"/>
      <c r="B32" s="273" t="s">
        <v>569</v>
      </c>
      <c r="C32" s="256"/>
      <c r="D32" s="254"/>
      <c r="E32" s="273" t="s">
        <v>569</v>
      </c>
      <c r="F32" s="256"/>
      <c r="G32" s="254"/>
      <c r="H32" s="273" t="s">
        <v>569</v>
      </c>
      <c r="I32" s="256"/>
      <c r="J32" s="254"/>
      <c r="K32" s="254"/>
      <c r="L32" s="254"/>
      <c r="M32" s="254"/>
      <c r="N32" s="254"/>
    </row>
    <row r="33">
      <c r="A33" s="254"/>
      <c r="B33" s="257" t="s">
        <v>570</v>
      </c>
      <c r="C33" s="316">
        <f>C$5*ParaFiscales!C20</f>
        <v>148826.925</v>
      </c>
      <c r="D33" s="254"/>
      <c r="E33" s="257" t="s">
        <v>570</v>
      </c>
      <c r="F33" s="316">
        <f>C$6*ParaFiscales!$C$20</f>
        <v>170000</v>
      </c>
      <c r="G33" s="254"/>
      <c r="H33" s="257" t="s">
        <v>570</v>
      </c>
      <c r="I33" s="316">
        <f>$C$7*ParaFiscales!$C$20</f>
        <v>246500</v>
      </c>
      <c r="J33" s="254"/>
      <c r="K33" s="254"/>
      <c r="L33" s="254"/>
      <c r="M33" s="254"/>
      <c r="N33" s="254"/>
    </row>
    <row r="34">
      <c r="A34" s="254"/>
      <c r="B34" s="273" t="s">
        <v>572</v>
      </c>
      <c r="C34" s="256"/>
      <c r="D34" s="254"/>
      <c r="E34" s="273" t="s">
        <v>572</v>
      </c>
      <c r="F34" s="256"/>
      <c r="G34" s="254"/>
      <c r="H34" s="273" t="s">
        <v>572</v>
      </c>
      <c r="I34" s="256"/>
      <c r="J34" s="254"/>
      <c r="K34" s="254"/>
      <c r="L34" s="254"/>
      <c r="M34" s="254"/>
      <c r="N34" s="254"/>
    </row>
    <row r="35">
      <c r="A35" s="254"/>
      <c r="B35" s="257" t="s">
        <v>570</v>
      </c>
      <c r="C35" s="316">
        <f>C$5*ParaFiscales!C23</f>
        <v>210108.6</v>
      </c>
      <c r="D35" s="254"/>
      <c r="E35" s="257" t="s">
        <v>570</v>
      </c>
      <c r="F35" s="316">
        <f>C$6*ParaFiscales!$C$23</f>
        <v>240000</v>
      </c>
      <c r="G35" s="254"/>
      <c r="H35" s="257" t="s">
        <v>570</v>
      </c>
      <c r="I35" s="316">
        <f>$C$7*ParaFiscales!$C$23</f>
        <v>348000</v>
      </c>
      <c r="J35" s="254"/>
      <c r="K35" s="254"/>
      <c r="L35" s="254"/>
      <c r="M35" s="254"/>
      <c r="N35" s="254"/>
    </row>
    <row r="36">
      <c r="A36" s="254"/>
      <c r="B36" s="320" t="s">
        <v>575</v>
      </c>
      <c r="C36" s="321">
        <f>SUM(C24+C30+C33+C35)</f>
        <v>898739.5365</v>
      </c>
      <c r="D36" s="254"/>
      <c r="E36" s="320" t="s">
        <v>575</v>
      </c>
      <c r="F36" s="321">
        <f>SUM(F24+F30+F33+F35)</f>
        <v>1026600</v>
      </c>
      <c r="G36" s="254"/>
      <c r="H36" s="320" t="s">
        <v>575</v>
      </c>
      <c r="I36" s="321">
        <f>SUM(I24+I30+I33+I35)</f>
        <v>1488570</v>
      </c>
      <c r="J36" s="254"/>
      <c r="K36" s="254"/>
      <c r="L36" s="254"/>
      <c r="M36" s="254"/>
      <c r="N36" s="254"/>
    </row>
    <row r="37">
      <c r="A37" s="254"/>
      <c r="B37" s="254"/>
      <c r="C37" s="254"/>
      <c r="D37" s="254"/>
      <c r="E37" s="254"/>
      <c r="F37" s="254"/>
      <c r="G37" s="254"/>
      <c r="H37" s="254"/>
      <c r="I37" s="254"/>
      <c r="J37" s="254"/>
      <c r="K37" s="254"/>
      <c r="L37" s="254"/>
      <c r="M37" s="254"/>
      <c r="N37" s="254"/>
    </row>
    <row r="38">
      <c r="A38" s="254"/>
      <c r="B38" s="254"/>
      <c r="C38" s="254"/>
      <c r="D38" s="254"/>
      <c r="E38" s="255" t="s">
        <v>592</v>
      </c>
      <c r="F38" s="256"/>
      <c r="G38" s="254"/>
      <c r="H38" s="255" t="s">
        <v>593</v>
      </c>
      <c r="I38" s="256"/>
      <c r="J38" s="254"/>
      <c r="K38" s="254"/>
      <c r="L38" s="254"/>
      <c r="M38" s="254"/>
      <c r="N38" s="254"/>
    </row>
    <row r="39">
      <c r="A39" s="254"/>
      <c r="B39" s="254"/>
      <c r="C39" s="254"/>
      <c r="D39" s="254"/>
      <c r="E39" s="257" t="s">
        <v>559</v>
      </c>
      <c r="F39" s="310">
        <f>$C$8*ParaFiscales!$C$8</f>
        <v>120000</v>
      </c>
      <c r="G39" s="254"/>
      <c r="H39" s="257" t="s">
        <v>559</v>
      </c>
      <c r="I39" s="310">
        <f>$C$9*ParaFiscales!$C$8</f>
        <v>180000</v>
      </c>
      <c r="J39" s="254"/>
      <c r="K39" s="254"/>
      <c r="L39" s="254"/>
      <c r="M39" s="254"/>
      <c r="N39" s="254"/>
    </row>
    <row r="40">
      <c r="A40" s="254"/>
      <c r="B40" s="254"/>
      <c r="C40" s="254"/>
      <c r="D40" s="254"/>
      <c r="E40" s="259" t="s">
        <v>560</v>
      </c>
      <c r="F40" s="310">
        <f>$C$8*ParaFiscales!$C$9</f>
        <v>180000</v>
      </c>
      <c r="G40" s="254"/>
      <c r="H40" s="259" t="s">
        <v>560</v>
      </c>
      <c r="I40" s="310">
        <f>$C$9*ParaFiscales!$C$9</f>
        <v>270000</v>
      </c>
      <c r="J40" s="254"/>
      <c r="K40" s="254"/>
      <c r="L40" s="254"/>
      <c r="M40" s="254"/>
      <c r="N40" s="254"/>
    </row>
    <row r="41">
      <c r="A41" s="254"/>
      <c r="B41" s="254"/>
      <c r="C41" s="254"/>
      <c r="D41" s="254"/>
      <c r="E41" s="265" t="s">
        <v>561</v>
      </c>
      <c r="F41" s="310">
        <f>$C$8*ParaFiscales!$C$10</f>
        <v>240000</v>
      </c>
      <c r="G41" s="254"/>
      <c r="H41" s="265" t="s">
        <v>561</v>
      </c>
      <c r="I41" s="310">
        <f>$C$9*ParaFiscales!$C$10</f>
        <v>360000</v>
      </c>
      <c r="J41" s="254"/>
      <c r="K41" s="254"/>
      <c r="L41" s="254"/>
      <c r="M41" s="254"/>
      <c r="N41" s="254"/>
    </row>
    <row r="42">
      <c r="A42" s="254"/>
      <c r="B42" s="254"/>
      <c r="C42" s="254"/>
      <c r="D42" s="254"/>
      <c r="E42" s="311" t="s">
        <v>562</v>
      </c>
      <c r="F42" s="312">
        <f>SUM(F39:F41)</f>
        <v>540000</v>
      </c>
      <c r="G42" s="254"/>
      <c r="H42" s="311" t="s">
        <v>562</v>
      </c>
      <c r="I42" s="312">
        <f>SUM(I39:I41)</f>
        <v>810000</v>
      </c>
      <c r="J42" s="254"/>
      <c r="K42" s="254"/>
      <c r="L42" s="254"/>
      <c r="M42" s="254"/>
      <c r="N42" s="254"/>
    </row>
    <row r="43">
      <c r="A43" s="254"/>
      <c r="B43" s="254"/>
      <c r="C43" s="254"/>
      <c r="D43" s="254"/>
      <c r="E43" s="313" t="s">
        <v>563</v>
      </c>
      <c r="F43" s="314"/>
      <c r="G43" s="254"/>
      <c r="H43" s="313" t="s">
        <v>563</v>
      </c>
      <c r="I43" s="314"/>
      <c r="J43" s="254"/>
      <c r="K43" s="254"/>
      <c r="L43" s="254"/>
      <c r="M43" s="254"/>
      <c r="N43" s="254"/>
    </row>
    <row r="44">
      <c r="A44" s="254"/>
      <c r="B44" s="254"/>
      <c r="C44" s="254"/>
      <c r="D44" s="254"/>
      <c r="E44" s="315" t="s">
        <v>564</v>
      </c>
      <c r="F44" s="316">
        <f>$C$8*ParaFiscales!$C$13</f>
        <v>499800</v>
      </c>
      <c r="G44" s="254"/>
      <c r="H44" s="315" t="s">
        <v>564</v>
      </c>
      <c r="I44" s="316">
        <f>$C$9*ParaFiscales!$C$13</f>
        <v>749700</v>
      </c>
      <c r="J44" s="254"/>
      <c r="K44" s="254"/>
      <c r="L44" s="254"/>
      <c r="M44" s="254"/>
      <c r="N44" s="254"/>
    </row>
    <row r="45">
      <c r="A45" s="254"/>
      <c r="B45" s="254"/>
      <c r="C45" s="254"/>
      <c r="D45" s="254"/>
      <c r="E45" s="317" t="s">
        <v>565</v>
      </c>
      <c r="F45" s="316">
        <f>$C$8*ParaFiscales!$C$14</f>
        <v>60000</v>
      </c>
      <c r="G45" s="254"/>
      <c r="H45" s="317" t="s">
        <v>565</v>
      </c>
      <c r="I45" s="316">
        <f>$C$9*ParaFiscales!$C$14</f>
        <v>90000</v>
      </c>
      <c r="J45" s="254"/>
      <c r="K45" s="254"/>
      <c r="L45" s="254"/>
      <c r="M45" s="254"/>
      <c r="N45" s="254"/>
    </row>
    <row r="46">
      <c r="A46" s="254"/>
      <c r="B46" s="254"/>
      <c r="C46" s="254"/>
      <c r="D46" s="254"/>
      <c r="E46" s="317" t="s">
        <v>566</v>
      </c>
      <c r="F46" s="316">
        <f>$C$8*ParaFiscales!$C$15</f>
        <v>499800</v>
      </c>
      <c r="G46" s="254"/>
      <c r="H46" s="317" t="s">
        <v>566</v>
      </c>
      <c r="I46" s="316">
        <f>$C$9*ParaFiscales!$C$15</f>
        <v>749700</v>
      </c>
      <c r="J46" s="254"/>
      <c r="K46" s="254"/>
      <c r="L46" s="254"/>
      <c r="M46" s="254"/>
      <c r="N46" s="254"/>
    </row>
    <row r="47">
      <c r="A47" s="254"/>
      <c r="B47" s="254"/>
      <c r="C47" s="254"/>
      <c r="D47" s="254"/>
      <c r="E47" s="318" t="s">
        <v>567</v>
      </c>
      <c r="F47" s="316">
        <f>$C$8*ParaFiscales!$C$16</f>
        <v>250200</v>
      </c>
      <c r="G47" s="254"/>
      <c r="H47" s="318" t="s">
        <v>567</v>
      </c>
      <c r="I47" s="316">
        <f>$C$9*ParaFiscales!$C$16</f>
        <v>375300</v>
      </c>
      <c r="J47" s="254"/>
      <c r="K47" s="254"/>
      <c r="L47" s="254"/>
      <c r="M47" s="254"/>
      <c r="N47" s="254"/>
    </row>
    <row r="48">
      <c r="A48" s="254"/>
      <c r="B48" s="254"/>
      <c r="C48" s="254"/>
      <c r="D48" s="254"/>
      <c r="E48" s="311" t="s">
        <v>562</v>
      </c>
      <c r="F48" s="319">
        <f>SUM(F44:F47)</f>
        <v>1309800</v>
      </c>
      <c r="G48" s="254"/>
      <c r="H48" s="311" t="s">
        <v>562</v>
      </c>
      <c r="I48" s="319">
        <f>SUM(I44:I47)</f>
        <v>1964700</v>
      </c>
      <c r="J48" s="254"/>
      <c r="K48" s="254"/>
      <c r="L48" s="254"/>
      <c r="M48" s="254"/>
      <c r="N48" s="254"/>
    </row>
    <row r="49">
      <c r="A49" s="254"/>
      <c r="B49" s="254"/>
      <c r="C49" s="254"/>
      <c r="D49" s="254"/>
      <c r="E49" s="255" t="s">
        <v>568</v>
      </c>
      <c r="F49" s="256"/>
      <c r="G49" s="254"/>
      <c r="H49" s="255" t="s">
        <v>568</v>
      </c>
      <c r="I49" s="256"/>
      <c r="J49" s="254"/>
      <c r="K49" s="254"/>
      <c r="L49" s="254"/>
      <c r="M49" s="254"/>
      <c r="N49" s="254"/>
    </row>
    <row r="50">
      <c r="A50" s="254"/>
      <c r="B50" s="254"/>
      <c r="C50" s="254"/>
      <c r="D50" s="254"/>
      <c r="E50" s="273" t="s">
        <v>569</v>
      </c>
      <c r="F50" s="256"/>
      <c r="G50" s="254"/>
      <c r="H50" s="273" t="s">
        <v>569</v>
      </c>
      <c r="I50" s="256"/>
      <c r="J50" s="254"/>
      <c r="K50" s="254"/>
      <c r="L50" s="254"/>
      <c r="M50" s="254"/>
      <c r="N50" s="254"/>
    </row>
    <row r="51">
      <c r="A51" s="254"/>
      <c r="B51" s="254"/>
      <c r="C51" s="254"/>
      <c r="D51" s="254"/>
      <c r="E51" s="257" t="s">
        <v>570</v>
      </c>
      <c r="F51" s="316">
        <f>$C$8*ParaFiscales!$C$20</f>
        <v>510000</v>
      </c>
      <c r="G51" s="254"/>
      <c r="H51" s="257" t="s">
        <v>570</v>
      </c>
      <c r="I51" s="316">
        <f>$C$9*ParaFiscales!$C$20</f>
        <v>765000</v>
      </c>
      <c r="J51" s="254"/>
      <c r="K51" s="254"/>
      <c r="L51" s="254"/>
      <c r="M51" s="254"/>
      <c r="N51" s="254"/>
    </row>
    <row r="52">
      <c r="A52" s="254"/>
      <c r="B52" s="254"/>
      <c r="C52" s="254"/>
      <c r="D52" s="254"/>
      <c r="E52" s="273" t="s">
        <v>572</v>
      </c>
      <c r="F52" s="256"/>
      <c r="G52" s="254"/>
      <c r="H52" s="273" t="s">
        <v>572</v>
      </c>
      <c r="I52" s="256"/>
      <c r="J52" s="254"/>
      <c r="K52" s="254"/>
      <c r="L52" s="254"/>
      <c r="M52" s="254"/>
      <c r="N52" s="254"/>
    </row>
    <row r="53">
      <c r="A53" s="254"/>
      <c r="B53" s="254"/>
      <c r="C53" s="254"/>
      <c r="D53" s="254"/>
      <c r="E53" s="257" t="s">
        <v>570</v>
      </c>
      <c r="F53" s="316">
        <f>$C$8*ParaFiscales!$C$23</f>
        <v>720000</v>
      </c>
      <c r="G53" s="254"/>
      <c r="H53" s="257" t="s">
        <v>570</v>
      </c>
      <c r="I53" s="316">
        <f>$C$9*ParaFiscales!$C$23</f>
        <v>1080000</v>
      </c>
      <c r="J53" s="254"/>
      <c r="K53" s="254"/>
      <c r="L53" s="254"/>
      <c r="M53" s="254"/>
      <c r="N53" s="254"/>
    </row>
    <row r="54">
      <c r="A54" s="254"/>
      <c r="B54" s="254"/>
      <c r="C54" s="254"/>
      <c r="D54" s="254"/>
      <c r="E54" s="320" t="s">
        <v>575</v>
      </c>
      <c r="F54" s="321">
        <f>SUM(F42+F48+F51+F53)</f>
        <v>3079800</v>
      </c>
      <c r="G54" s="254"/>
      <c r="H54" s="320" t="s">
        <v>575</v>
      </c>
      <c r="I54" s="321">
        <f>SUM(I42+I48+I51+I53)</f>
        <v>4619700</v>
      </c>
      <c r="J54" s="254"/>
      <c r="K54" s="254"/>
      <c r="L54" s="254"/>
      <c r="M54" s="254"/>
      <c r="N54" s="254"/>
    </row>
  </sheetData>
  <mergeCells count="30">
    <mergeCell ref="B3:D3"/>
    <mergeCell ref="E3:G3"/>
    <mergeCell ref="H3:J3"/>
    <mergeCell ref="M3:M4"/>
    <mergeCell ref="N3:N4"/>
    <mergeCell ref="E20:F20"/>
    <mergeCell ref="H20:I20"/>
    <mergeCell ref="B32:C32"/>
    <mergeCell ref="B34:C34"/>
    <mergeCell ref="B20:C20"/>
    <mergeCell ref="B25:C25"/>
    <mergeCell ref="E25:F25"/>
    <mergeCell ref="H25:I25"/>
    <mergeCell ref="B31:C31"/>
    <mergeCell ref="H31:I31"/>
    <mergeCell ref="H32:I32"/>
    <mergeCell ref="E43:F43"/>
    <mergeCell ref="E49:F49"/>
    <mergeCell ref="H49:I49"/>
    <mergeCell ref="E50:F50"/>
    <mergeCell ref="H50:I50"/>
    <mergeCell ref="E52:F52"/>
    <mergeCell ref="H52:I52"/>
    <mergeCell ref="E31:F31"/>
    <mergeCell ref="E32:F32"/>
    <mergeCell ref="E34:F34"/>
    <mergeCell ref="H34:I34"/>
    <mergeCell ref="E38:F38"/>
    <mergeCell ref="H38:I38"/>
    <mergeCell ref="H43:I43"/>
  </mergeCells>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2010-11-08T17:12:41Z</dcterms:created>
  <dc:creator>Administrador</dc:creator>
</cp:coreProperties>
</file>