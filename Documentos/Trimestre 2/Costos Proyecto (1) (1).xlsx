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is de Mercado" sheetId="1" r:id="rId4"/>
    <sheet state="visible" name="Estructura de Mercado" sheetId="2" r:id="rId5"/>
    <sheet state="visible" name="Datos Economicos" sheetId="3" r:id="rId6"/>
    <sheet state="visible" name="ParaFiscales" sheetId="4" r:id="rId7"/>
    <sheet state="visible" name="Gastos de Constitución" sheetId="5" r:id="rId8"/>
    <sheet state="visible" name="Plan de Inversion" sheetId="6" r:id="rId9"/>
    <sheet state="visible" name="Gastos de Personal" sheetId="7" r:id="rId10"/>
    <sheet state="visible" name="Gastos Administrativos" sheetId="8" r:id="rId11"/>
    <sheet state="visible" name="Gastos de Marketing" sheetId="9" r:id="rId12"/>
    <sheet state="visible" name="Producto 1" sheetId="10" r:id="rId13"/>
    <sheet state="visible" name="Producto 2" sheetId="11" r:id="rId14"/>
    <sheet state="visible" name="Producto 3" sheetId="12" r:id="rId15"/>
    <sheet state="visible" name="Producto 4" sheetId="13" r:id="rId16"/>
    <sheet state="visible" name="Comportamiento de Ventas" sheetId="14" r:id="rId17"/>
    <sheet state="visible" name="Comportamiento de Compras" sheetId="15" r:id="rId18"/>
    <sheet state="visible" name="Costos del Proyecto" sheetId="16" r:id="rId19"/>
  </sheets>
  <definedNames/>
  <calcPr/>
  <extLst>
    <ext uri="GoogleSheetsCustomDataVersion2">
      <go:sheetsCustomData xmlns:go="http://customooxmlschemas.google.com/" r:id="rId20" roundtripDataChecksum="D9gP4RHAwYT/ohpfn/f+0lwhl8uO+TSkKqSi8IALOr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2">
      <text>
        <t xml:space="preserve">======
ID#AAAB3k6vjxQ
Julian Andres    (2026-03-20 15:17:35)
Producto Interno Bruto</t>
      </text>
    </comment>
    <comment authorId="0" ref="C21">
      <text>
        <t xml:space="preserve">======
ID#AAAB3k6vjxU
Julian Andres    (2026-03-20 15:17:35)
Indice del Precio al Productor</t>
      </text>
    </comment>
    <comment authorId="0" ref="C19">
      <text>
        <t xml:space="preserve">======
ID#AAAB3k6vjxI
Julian Andres    (2026-03-20 15:17:35)
Tasa de Interes Financiera</t>
      </text>
    </comment>
    <comment authorId="0" ref="C20">
      <text>
        <t xml:space="preserve">======
ID#AAAB3k6vjxM
Julian Andres    (2026-03-20 15:17:35)
Indice de Precio al Consumo</t>
      </text>
    </comment>
  </commentList>
  <extLst>
    <ext uri="GoogleSheetsCustomDataVersion2">
      <go:sheetsCustomData xmlns:go="http://customooxmlschemas.google.com/" r:id="rId1" roundtripDataSignature="AMtx7mjstVXbhNVzxY/iRROugE0hvKghQQ=="/>
    </ext>
  </extLst>
</comments>
</file>

<file path=xl/sharedStrings.xml><?xml version="1.0" encoding="utf-8"?>
<sst xmlns="http://schemas.openxmlformats.org/spreadsheetml/2006/main" count="465" uniqueCount="164">
  <si>
    <t>Analisis de Mercado</t>
  </si>
  <si>
    <t>Observación</t>
  </si>
  <si>
    <t>Mercado Potencial</t>
  </si>
  <si>
    <t>instituciones publicas y privadas</t>
  </si>
  <si>
    <t>Mercado Objetivo</t>
  </si>
  <si>
    <t>Colegios Privados</t>
  </si>
  <si>
    <t>Nicho</t>
  </si>
  <si>
    <t>Colegios Privados puente aranda</t>
  </si>
  <si>
    <t>Calculo de la Muestra</t>
  </si>
  <si>
    <t>Tamaño de Población</t>
  </si>
  <si>
    <t>Nivel de Confianza</t>
  </si>
  <si>
    <t>Probabilidad de Ejecucion</t>
  </si>
  <si>
    <t>Error</t>
  </si>
  <si>
    <t>Probabilidad de No Ejecucion</t>
  </si>
  <si>
    <t>Margen de Error</t>
  </si>
  <si>
    <t>Tamaño de la Muestra</t>
  </si>
  <si>
    <t>Nombre de la Empresa</t>
  </si>
  <si>
    <t>Asistente</t>
  </si>
  <si>
    <t>Estructura del Mercado por Unidades</t>
  </si>
  <si>
    <t>Producto</t>
  </si>
  <si>
    <t>Clientes Potenciales</t>
  </si>
  <si>
    <t>Habitos de Consumo Cliente</t>
  </si>
  <si>
    <t>Ventas Mensuales</t>
  </si>
  <si>
    <t>Participacion en el Mercado</t>
  </si>
  <si>
    <t>Ventas Anuales</t>
  </si>
  <si>
    <t>Asistnte</t>
  </si>
  <si>
    <t>Totales</t>
  </si>
  <si>
    <t>Ventas Anules por Producto</t>
  </si>
  <si>
    <t>Unidades a Vender en el Año</t>
  </si>
  <si>
    <t>Precio Unitario</t>
  </si>
  <si>
    <t>Ventas Totales año 1</t>
  </si>
  <si>
    <t>Datos Economicos</t>
  </si>
  <si>
    <t>Indicadores</t>
  </si>
  <si>
    <t>Año 1</t>
  </si>
  <si>
    <t>Año 2</t>
  </si>
  <si>
    <t>Año 3</t>
  </si>
  <si>
    <t>Año 4</t>
  </si>
  <si>
    <t>Año 5</t>
  </si>
  <si>
    <t>Inflación</t>
  </si>
  <si>
    <t>D.T.F</t>
  </si>
  <si>
    <t>I.P.C</t>
  </si>
  <si>
    <t>I.P.P</t>
  </si>
  <si>
    <t>P.I.B</t>
  </si>
  <si>
    <t>Nomina</t>
  </si>
  <si>
    <t>Salario Minimo</t>
  </si>
  <si>
    <t>Auxilio de Transporte</t>
  </si>
  <si>
    <t>Salario Minimo Integral</t>
  </si>
  <si>
    <t>Aportes Fiscales</t>
  </si>
  <si>
    <t>SENA</t>
  </si>
  <si>
    <t>ICBF</t>
  </si>
  <si>
    <t>Cajas</t>
  </si>
  <si>
    <t>Total</t>
  </si>
  <si>
    <t>Cargas Prestacionales</t>
  </si>
  <si>
    <t>Cesantias</t>
  </si>
  <si>
    <t>Intereses a las Cesantias</t>
  </si>
  <si>
    <t>Prima de Servicios</t>
  </si>
  <si>
    <t>Vacaciones</t>
  </si>
  <si>
    <t>Seguridad Social</t>
  </si>
  <si>
    <t>Salud</t>
  </si>
  <si>
    <t>Empresa</t>
  </si>
  <si>
    <t>Empleado</t>
  </si>
  <si>
    <t>Pension</t>
  </si>
  <si>
    <t>Total Empresa</t>
  </si>
  <si>
    <t>Total Empleado</t>
  </si>
  <si>
    <t>Registro Mercantil</t>
  </si>
  <si>
    <t>Concepto</t>
  </si>
  <si>
    <t>Unidad</t>
  </si>
  <si>
    <t>Valor</t>
  </si>
  <si>
    <t>Permisos y Licencias</t>
  </si>
  <si>
    <t>Activos Fijos</t>
  </si>
  <si>
    <t>Plan de Inversion</t>
  </si>
  <si>
    <t>Depreciaciones</t>
  </si>
  <si>
    <t>Descripcion</t>
  </si>
  <si>
    <t>Unidad Medida</t>
  </si>
  <si>
    <t>Cantidad</t>
  </si>
  <si>
    <t>Valor Unitario</t>
  </si>
  <si>
    <t>Valor total</t>
  </si>
  <si>
    <t>Vida Util</t>
  </si>
  <si>
    <t>Adecuaciones</t>
  </si>
  <si>
    <t>Muebles y Enseres</t>
  </si>
  <si>
    <t>Maquinaria y Equipo</t>
  </si>
  <si>
    <t>Silla Para Oficina Ergonomica</t>
  </si>
  <si>
    <t xml:space="preserve">Escritorio en L </t>
  </si>
  <si>
    <t>Computador Escritorio</t>
  </si>
  <si>
    <t>Portatil HP</t>
  </si>
  <si>
    <t>Salario Personal</t>
  </si>
  <si>
    <t>Subsidio de Transporte</t>
  </si>
  <si>
    <t>Total Sin Descuentos</t>
  </si>
  <si>
    <t>Sueldo Total Año</t>
  </si>
  <si>
    <t>Por Hora</t>
  </si>
  <si>
    <t>Cargo</t>
  </si>
  <si>
    <t>Sueldo Mensual</t>
  </si>
  <si>
    <t>Dias Laborados</t>
  </si>
  <si>
    <t>Salario minimo</t>
  </si>
  <si>
    <t>Programador Junior</t>
  </si>
  <si>
    <t>Programador Junior Bilingue</t>
  </si>
  <si>
    <t>Programador Senior</t>
  </si>
  <si>
    <t>Programador Senior Bilingue</t>
  </si>
  <si>
    <t>Aportes Fiscales Minimo</t>
  </si>
  <si>
    <t>Aportes Fiscales Junior</t>
  </si>
  <si>
    <t>Aportes Fiscales Junior B</t>
  </si>
  <si>
    <t>Aportes Fiscales Senior</t>
  </si>
  <si>
    <t>Aportes Fiscales Senior B</t>
  </si>
  <si>
    <t>Gastos Administrativos</t>
  </si>
  <si>
    <t>Mes 1</t>
  </si>
  <si>
    <t>Total Año</t>
  </si>
  <si>
    <t>Arrendamiento</t>
  </si>
  <si>
    <t>Servicios Publicos</t>
  </si>
  <si>
    <t>Suministros de Oficina</t>
  </si>
  <si>
    <t>Aseo e Higiene</t>
  </si>
  <si>
    <t>Telefonia</t>
  </si>
  <si>
    <t>Internet</t>
  </si>
  <si>
    <t>Gastos de Administración</t>
  </si>
  <si>
    <t>Gastos de Ventas</t>
  </si>
  <si>
    <t>Costo Unitario Total</t>
  </si>
  <si>
    <t>Costo Unitario Año Base</t>
  </si>
  <si>
    <t>Materia Prima e Insumos</t>
  </si>
  <si>
    <t>Insumos</t>
  </si>
  <si>
    <t>Materia Prima</t>
  </si>
  <si>
    <t>Unidad de Medida</t>
  </si>
  <si>
    <t>Cantidad Por unidad</t>
  </si>
  <si>
    <t>Total Costo Unitario</t>
  </si>
  <si>
    <t>MariaDb</t>
  </si>
  <si>
    <t>Xammpp</t>
  </si>
  <si>
    <t>Draw.io</t>
  </si>
  <si>
    <t>visual studio</t>
  </si>
  <si>
    <t>React</t>
  </si>
  <si>
    <t>Androdi Studio</t>
  </si>
  <si>
    <t>Sub Total</t>
  </si>
  <si>
    <t>Mano de Obra</t>
  </si>
  <si>
    <t>Unidades a Producir</t>
  </si>
  <si>
    <t>Calificación de Comportamiento</t>
  </si>
  <si>
    <t>Calificación</t>
  </si>
  <si>
    <t>Unidades en el Año</t>
  </si>
  <si>
    <t>Muy Alto</t>
  </si>
  <si>
    <t>Alto</t>
  </si>
  <si>
    <t>Normal</t>
  </si>
  <si>
    <t>Bajo</t>
  </si>
  <si>
    <t>Sin Ventas</t>
  </si>
  <si>
    <t>Meses</t>
  </si>
  <si>
    <t>Unidades</t>
  </si>
  <si>
    <t>Ventas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</si>
  <si>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</si>
  <si>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</si>
  <si>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</si>
  <si>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</si>
  <si>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</si>
  <si>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</si>
  <si>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</si>
  <si>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</si>
  <si>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</si>
  <si>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</si>
  <si>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</si>
  <si>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</si>
  <si>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Costos</t>
  </si>
  <si>
    <t>Costos Anuales</t>
  </si>
  <si>
    <t>Costo Inicial del Proyecto</t>
  </si>
  <si>
    <t>Gastos de Constitucion</t>
  </si>
  <si>
    <t>Plan de Inversión</t>
  </si>
  <si>
    <t>Gastos de Personal</t>
  </si>
  <si>
    <t>Parafiscales</t>
  </si>
  <si>
    <t>Gastos de Marketing</t>
  </si>
  <si>
    <t>Costos de Insumos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</si>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</sst>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\ * #,##0.00_-;\-&quot;$&quot;\ * #,##0.00_-;_-&quot;$&quot;\ * &quot;-&quot;??_-;_-@"/>
    <numFmt numFmtId="165" formatCode="_-&quot;$&quot;\ * #,##0_-;\-&quot;$&quot;\ * #,##0_-;_-&quot;$&quot;\ * &quot;-&quot;??_-;_-@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7E6E6"/>
        <bgColor rgb="FFE7E6E6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theme="6"/>
        <bgColor theme="6"/>
      </patternFill>
    </fill>
    <fill>
      <patternFill patternType="solid">
        <fgColor rgb="FFDADADA"/>
        <bgColor rgb="FFDADADA"/>
      </patternFill>
    </fill>
  </fills>
  <borders count="5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1" numFmtId="0" xfId="0" applyAlignment="1" applyBorder="1" applyFont="1">
      <alignment horizontal="center"/>
    </xf>
    <xf borderId="4" fillId="3" fontId="1" numFmtId="0" xfId="0" applyBorder="1" applyFill="1" applyFont="1"/>
    <xf borderId="4" fillId="0" fontId="3" numFmtId="3" xfId="0" applyBorder="1" applyFont="1" applyNumberFormat="1"/>
    <xf borderId="5" fillId="0" fontId="3" numFmtId="0" xfId="0" applyBorder="1" applyFont="1"/>
    <xf borderId="0" fillId="0" fontId="3" numFmtId="3" xfId="0" applyFont="1" applyNumberFormat="1"/>
    <xf borderId="6" fillId="3" fontId="1" numFmtId="0" xfId="0" applyBorder="1" applyFont="1"/>
    <xf borderId="6" fillId="0" fontId="3" numFmtId="3" xfId="0" applyBorder="1" applyFont="1" applyNumberFormat="1"/>
    <xf borderId="7" fillId="0" fontId="3" numFmtId="0" xfId="0" applyBorder="1" applyFont="1"/>
    <xf borderId="8" fillId="3" fontId="1" numFmtId="0" xfId="0" applyBorder="1" applyFont="1"/>
    <xf borderId="8" fillId="0" fontId="3" numFmtId="3" xfId="0" applyBorder="1" applyFont="1" applyNumberFormat="1"/>
    <xf borderId="9" fillId="0" fontId="3" numFmtId="0" xfId="0" applyBorder="1" applyFont="1"/>
    <xf borderId="10" fillId="2" fontId="1" numFmtId="0" xfId="0" applyAlignment="1" applyBorder="1" applyFont="1">
      <alignment horizontal="center"/>
    </xf>
    <xf borderId="11" fillId="0" fontId="2" numFmtId="0" xfId="0" applyBorder="1" applyFont="1"/>
    <xf borderId="4" fillId="4" fontId="3" numFmtId="3" xfId="0" applyBorder="1" applyFill="1" applyFont="1" applyNumberFormat="1"/>
    <xf borderId="6" fillId="4" fontId="3" numFmtId="4" xfId="0" applyBorder="1" applyFont="1" applyNumberFormat="1"/>
    <xf borderId="6" fillId="4" fontId="3" numFmtId="9" xfId="0" applyBorder="1" applyFont="1" applyNumberFormat="1"/>
    <xf borderId="12" fillId="2" fontId="1" numFmtId="0" xfId="0" applyAlignment="1" applyBorder="1" applyFont="1">
      <alignment horizontal="center"/>
    </xf>
    <xf borderId="4" fillId="5" fontId="3" numFmtId="9" xfId="0" applyBorder="1" applyFill="1" applyFont="1" applyNumberFormat="1"/>
    <xf borderId="4" fillId="5" fontId="3" numFmtId="0" xfId="0" applyBorder="1" applyFont="1"/>
    <xf borderId="13" fillId="5" fontId="3" numFmtId="9" xfId="0" applyBorder="1" applyFont="1" applyNumberFormat="1"/>
    <xf borderId="8" fillId="4" fontId="3" numFmtId="9" xfId="0" applyBorder="1" applyFont="1" applyNumberFormat="1"/>
    <xf borderId="8" fillId="5" fontId="3" numFmtId="9" xfId="0" applyBorder="1" applyFont="1" applyNumberFormat="1"/>
    <xf borderId="8" fillId="5" fontId="3" numFmtId="0" xfId="0" applyBorder="1" applyFont="1"/>
    <xf borderId="14" fillId="5" fontId="3" numFmtId="9" xfId="0" applyBorder="1" applyFont="1" applyNumberFormat="1"/>
    <xf borderId="15" fillId="2" fontId="1" numFmtId="0" xfId="0" applyBorder="1" applyFont="1"/>
    <xf borderId="16" fillId="4" fontId="3" numFmtId="3" xfId="0" applyBorder="1" applyFont="1" applyNumberFormat="1"/>
    <xf borderId="16" fillId="0" fontId="3" numFmtId="0" xfId="0" applyBorder="1" applyFont="1"/>
    <xf borderId="17" fillId="0" fontId="2" numFmtId="0" xfId="0" applyBorder="1" applyFont="1"/>
    <xf borderId="18" fillId="2" fontId="1" numFmtId="0" xfId="0" applyAlignment="1" applyBorder="1" applyFont="1">
      <alignment horizontal="center"/>
    </xf>
    <xf borderId="19" fillId="0" fontId="3" numFmtId="0" xfId="0" applyBorder="1" applyFont="1"/>
    <xf borderId="20" fillId="4" fontId="3" numFmtId="3" xfId="0" applyBorder="1" applyFont="1" applyNumberFormat="1"/>
    <xf borderId="20" fillId="4" fontId="1" numFmtId="10" xfId="0" applyBorder="1" applyFont="1" applyNumberFormat="1"/>
    <xf borderId="21" fillId="4" fontId="1" numFmtId="0" xfId="0" applyBorder="1" applyFont="1"/>
    <xf borderId="6" fillId="0" fontId="3" numFmtId="0" xfId="0" applyBorder="1" applyFont="1"/>
    <xf borderId="6" fillId="4" fontId="3" numFmtId="0" xfId="0" applyBorder="1" applyFont="1"/>
    <xf borderId="22" fillId="4" fontId="3" numFmtId="0" xfId="0" applyBorder="1" applyFont="1"/>
    <xf borderId="8" fillId="6" fontId="1" numFmtId="0" xfId="0" applyBorder="1" applyFill="1" applyFont="1"/>
    <xf borderId="8" fillId="6" fontId="1" numFmtId="3" xfId="0" applyBorder="1" applyFont="1" applyNumberFormat="1"/>
    <xf borderId="8" fillId="6" fontId="1" numFmtId="9" xfId="0" applyBorder="1" applyFont="1" applyNumberFormat="1"/>
    <xf borderId="14" fillId="6" fontId="1" numFmtId="3" xfId="0" applyBorder="1" applyFont="1" applyNumberFormat="1"/>
    <xf borderId="1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shrinkToFit="0" vertical="center" wrapText="1"/>
    </xf>
    <xf borderId="23" fillId="2" fontId="1" numFmtId="0" xfId="0" applyAlignment="1" applyBorder="1" applyFont="1">
      <alignment horizontal="center" vertical="center"/>
    </xf>
    <xf borderId="4" fillId="4" fontId="1" numFmtId="0" xfId="0" applyBorder="1" applyFont="1"/>
    <xf borderId="4" fillId="0" fontId="3" numFmtId="164" xfId="0" applyBorder="1" applyFont="1" applyNumberFormat="1"/>
    <xf borderId="4" fillId="4" fontId="1" numFmtId="164" xfId="0" applyBorder="1" applyFont="1" applyNumberFormat="1"/>
    <xf borderId="6" fillId="4" fontId="1" numFmtId="0" xfId="0" applyBorder="1" applyFont="1"/>
    <xf borderId="6" fillId="0" fontId="3" numFmtId="164" xfId="0" applyBorder="1" applyFont="1" applyNumberFormat="1"/>
    <xf borderId="6" fillId="4" fontId="1" numFmtId="164" xfId="0" applyBorder="1" applyFont="1" applyNumberFormat="1"/>
    <xf borderId="8" fillId="4" fontId="1" numFmtId="0" xfId="0" applyBorder="1" applyFont="1"/>
    <xf borderId="8" fillId="0" fontId="3" numFmtId="0" xfId="0" applyBorder="1" applyFont="1"/>
    <xf borderId="8" fillId="4" fontId="1" numFmtId="164" xfId="0" applyBorder="1" applyFont="1" applyNumberFormat="1"/>
    <xf borderId="23" fillId="2" fontId="1" numFmtId="0" xfId="0" applyBorder="1" applyFont="1"/>
    <xf borderId="4" fillId="7" fontId="1" numFmtId="0" xfId="0" applyBorder="1" applyFill="1" applyFont="1"/>
    <xf borderId="4" fillId="4" fontId="3" numFmtId="10" xfId="0" applyBorder="1" applyFont="1" applyNumberFormat="1"/>
    <xf borderId="6" fillId="7" fontId="1" numFmtId="0" xfId="0" applyBorder="1" applyFont="1"/>
    <xf borderId="8" fillId="7" fontId="1" numFmtId="0" xfId="0" applyBorder="1" applyFont="1"/>
    <xf borderId="3" fillId="4" fontId="3" numFmtId="10" xfId="0" applyBorder="1" applyFont="1" applyNumberFormat="1"/>
    <xf borderId="4" fillId="7" fontId="3" numFmtId="0" xfId="0" applyBorder="1" applyFont="1"/>
    <xf borderId="4" fillId="0" fontId="3" numFmtId="164" xfId="0" applyAlignment="1" applyBorder="1" applyFont="1" applyNumberFormat="1">
      <alignment readingOrder="0"/>
    </xf>
    <xf borderId="6" fillId="7" fontId="3" numFmtId="0" xfId="0" applyBorder="1" applyFont="1"/>
    <xf borderId="6" fillId="0" fontId="3" numFmtId="164" xfId="0" applyAlignment="1" applyBorder="1" applyFont="1" applyNumberFormat="1">
      <alignment readingOrder="0"/>
    </xf>
    <xf borderId="8" fillId="7" fontId="3" numFmtId="0" xfId="0" applyBorder="1" applyFont="1"/>
    <xf borderId="8" fillId="0" fontId="3" numFmtId="164" xfId="0" applyAlignment="1" applyBorder="1" applyFont="1" applyNumberFormat="1">
      <alignment readingOrder="0"/>
    </xf>
    <xf borderId="21" fillId="4" fontId="3" numFmtId="9" xfId="0" applyBorder="1" applyFont="1" applyNumberFormat="1"/>
    <xf borderId="22" fillId="4" fontId="3" numFmtId="9" xfId="0" applyBorder="1" applyFont="1" applyNumberFormat="1"/>
    <xf borderId="24" fillId="7" fontId="3" numFmtId="0" xfId="0" applyBorder="1" applyFont="1"/>
    <xf borderId="25" fillId="4" fontId="3" numFmtId="9" xfId="0" applyBorder="1" applyFont="1" applyNumberFormat="1"/>
    <xf borderId="12" fillId="2" fontId="1" numFmtId="9" xfId="0" applyBorder="1" applyFont="1" applyNumberFormat="1"/>
    <xf borderId="6" fillId="4" fontId="3" numFmtId="10" xfId="0" applyBorder="1" applyFont="1" applyNumberFormat="1"/>
    <xf borderId="24" fillId="4" fontId="3" numFmtId="10" xfId="0" applyBorder="1" applyFont="1" applyNumberFormat="1"/>
    <xf borderId="23" fillId="2" fontId="1" numFmtId="10" xfId="0" applyBorder="1" applyFont="1" applyNumberFormat="1"/>
    <xf borderId="1" fillId="7" fontId="3" numFmtId="0" xfId="0" applyAlignment="1" applyBorder="1" applyFont="1">
      <alignment horizontal="center"/>
    </xf>
    <xf borderId="8" fillId="4" fontId="3" numFmtId="10" xfId="0" applyBorder="1" applyFont="1" applyNumberFormat="1"/>
    <xf borderId="6" fillId="2" fontId="1" numFmtId="0" xfId="0" applyBorder="1" applyFont="1"/>
    <xf borderId="6" fillId="2" fontId="1" numFmtId="9" xfId="0" applyBorder="1" applyFont="1" applyNumberFormat="1"/>
    <xf borderId="24" fillId="2" fontId="1" numFmtId="0" xfId="0" applyBorder="1" applyFont="1"/>
    <xf borderId="24" fillId="2" fontId="1" numFmtId="9" xfId="0" applyBorder="1" applyFont="1" applyNumberFormat="1"/>
    <xf borderId="3" fillId="2" fontId="1" numFmtId="0" xfId="0" applyBorder="1" applyFont="1"/>
    <xf borderId="26" fillId="2" fontId="1" numFmtId="10" xfId="0" applyBorder="1" applyFont="1" applyNumberFormat="1"/>
    <xf borderId="27" fillId="2" fontId="1" numFmtId="0" xfId="0" applyAlignment="1" applyBorder="1" applyFont="1">
      <alignment horizontal="center" vertical="center"/>
    </xf>
    <xf borderId="4" fillId="0" fontId="3" numFmtId="0" xfId="0" applyBorder="1" applyFont="1"/>
    <xf borderId="13" fillId="4" fontId="1" numFmtId="164" xfId="0" applyBorder="1" applyFont="1" applyNumberFormat="1"/>
    <xf borderId="22" fillId="4" fontId="1" numFmtId="164" xfId="0" applyBorder="1" applyFont="1" applyNumberFormat="1"/>
    <xf borderId="8" fillId="2" fontId="1" numFmtId="0" xfId="0" applyBorder="1" applyFont="1"/>
    <xf borderId="8" fillId="2" fontId="1" numFmtId="164" xfId="0" applyBorder="1" applyFont="1" applyNumberFormat="1"/>
    <xf borderId="14" fillId="2" fontId="1" numFmtId="164" xfId="0" applyBorder="1" applyFont="1" applyNumberFormat="1"/>
    <xf borderId="28" fillId="2" fontId="1" numFmtId="0" xfId="0" applyAlignment="1" applyBorder="1" applyFont="1">
      <alignment horizontal="center"/>
    </xf>
    <xf borderId="29" fillId="0" fontId="2" numFmtId="0" xfId="0" applyBorder="1" applyFont="1"/>
    <xf borderId="30" fillId="0" fontId="2" numFmtId="0" xfId="0" applyBorder="1" applyFont="1"/>
    <xf borderId="4" fillId="7" fontId="1" numFmtId="0" xfId="0" applyAlignment="1" applyBorder="1" applyFont="1">
      <alignment horizontal="left" vertical="center"/>
    </xf>
    <xf borderId="4" fillId="4" fontId="3" numFmtId="164" xfId="0" applyBorder="1" applyFont="1" applyNumberFormat="1"/>
    <xf borderId="31" fillId="2" fontId="1" numFmtId="0" xfId="0" applyAlignment="1" applyBorder="1" applyFont="1">
      <alignment horizontal="center"/>
    </xf>
    <xf borderId="31" fillId="2" fontId="1" numFmtId="164" xfId="0" applyAlignment="1" applyBorder="1" applyFont="1" applyNumberFormat="1">
      <alignment horizontal="center"/>
    </xf>
    <xf borderId="31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32" fillId="0" fontId="3" numFmtId="0" xfId="0" applyAlignment="1" applyBorder="1" applyFont="1">
      <alignment horizontal="center" vertical="center"/>
    </xf>
    <xf borderId="4" fillId="0" fontId="3" numFmtId="1" xfId="0" applyAlignment="1" applyBorder="1" applyFont="1" applyNumberFormat="1">
      <alignment horizontal="center" vertical="center"/>
    </xf>
    <xf borderId="33" fillId="0" fontId="3" numFmtId="164" xfId="0" applyAlignment="1" applyBorder="1" applyFont="1" applyNumberFormat="1">
      <alignment horizontal="center" vertical="center"/>
    </xf>
    <xf borderId="4" fillId="4" fontId="3" numFmtId="164" xfId="0" applyAlignment="1" applyBorder="1" applyFont="1" applyNumberFormat="1">
      <alignment horizontal="center" vertical="center"/>
    </xf>
    <xf borderId="6" fillId="7" fontId="1" numFmtId="0" xfId="0" applyAlignment="1" applyBorder="1" applyFont="1">
      <alignment horizontal="left"/>
    </xf>
    <xf borderId="6" fillId="4" fontId="3" numFmtId="164" xfId="0" applyBorder="1" applyFont="1" applyNumberFormat="1"/>
    <xf borderId="31" fillId="7" fontId="1" numFmtId="0" xfId="0" applyAlignment="1" applyBorder="1" applyFont="1">
      <alignment horizontal="left"/>
    </xf>
    <xf borderId="31" fillId="4" fontId="3" numFmtId="164" xfId="0" applyBorder="1" applyFont="1" applyNumberFormat="1"/>
    <xf borderId="31" fillId="4" fontId="3" numFmtId="0" xfId="0" applyBorder="1" applyFont="1"/>
    <xf borderId="6" fillId="0" fontId="3" numFmtId="0" xfId="0" applyAlignment="1" applyBorder="1" applyFont="1">
      <alignment horizontal="left" vertical="center"/>
    </xf>
    <xf borderId="34" fillId="0" fontId="3" numFmtId="0" xfId="0" applyAlignment="1" applyBorder="1" applyFont="1">
      <alignment horizontal="center" vertical="center"/>
    </xf>
    <xf borderId="6" fillId="0" fontId="3" numFmtId="1" xfId="0" applyAlignment="1" applyBorder="1" applyFont="1" applyNumberFormat="1">
      <alignment horizontal="center" vertical="center"/>
    </xf>
    <xf borderId="7" fillId="0" fontId="3" numFmtId="164" xfId="0" applyAlignment="1" applyBorder="1" applyFont="1" applyNumberFormat="1">
      <alignment horizontal="center" vertical="center"/>
    </xf>
    <xf borderId="6" fillId="4" fontId="3" numFmtId="164" xfId="0" applyAlignment="1" applyBorder="1" applyFont="1" applyNumberFormat="1">
      <alignment horizontal="center" vertical="center"/>
    </xf>
    <xf borderId="35" fillId="0" fontId="3" numFmtId="0" xfId="0" applyAlignment="1" applyBorder="1" applyFont="1">
      <alignment horizontal="left" vertical="center"/>
    </xf>
    <xf borderId="36" fillId="0" fontId="3" numFmtId="0" xfId="0" applyAlignment="1" applyBorder="1" applyFont="1">
      <alignment horizontal="center" vertical="center"/>
    </xf>
    <xf borderId="35" fillId="0" fontId="3" numFmtId="1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vertical="center"/>
    </xf>
    <xf borderId="24" fillId="7" fontId="1" numFmtId="0" xfId="0" applyAlignment="1" applyBorder="1" applyFont="1">
      <alignment horizontal="left"/>
    </xf>
    <xf borderId="24" fillId="4" fontId="3" numFmtId="164" xfId="0" applyBorder="1" applyFont="1" applyNumberFormat="1"/>
    <xf borderId="8" fillId="0" fontId="3" numFmtId="1" xfId="0" applyAlignment="1" applyBorder="1" applyFont="1" applyNumberFormat="1">
      <alignment horizontal="center" vertical="center"/>
    </xf>
    <xf borderId="8" fillId="2" fontId="1" numFmtId="0" xfId="0" applyAlignment="1" applyBorder="1" applyFont="1">
      <alignment horizontal="left"/>
    </xf>
    <xf borderId="31" fillId="2" fontId="1" numFmtId="0" xfId="0" applyAlignment="1" applyBorder="1" applyFont="1">
      <alignment horizontal="left"/>
    </xf>
    <xf borderId="31" fillId="2" fontId="1" numFmtId="164" xfId="0" applyBorder="1" applyFont="1" applyNumberFormat="1"/>
    <xf borderId="31" fillId="2" fontId="1" numFmtId="0" xfId="0" applyBorder="1" applyFont="1"/>
    <xf borderId="38" fillId="2" fontId="1" numFmtId="0" xfId="0" applyBorder="1" applyFont="1"/>
    <xf borderId="3" fillId="2" fontId="1" numFmtId="164" xfId="0" applyBorder="1" applyFont="1" applyNumberFormat="1"/>
    <xf borderId="19" fillId="0" fontId="3" numFmtId="0" xfId="0" applyAlignment="1" applyBorder="1" applyFont="1">
      <alignment horizontal="left" vertical="center"/>
    </xf>
    <xf borderId="39" fillId="0" fontId="3" numFmtId="0" xfId="0" applyAlignment="1" applyBorder="1" applyFont="1">
      <alignment horizontal="center" vertical="center"/>
    </xf>
    <xf borderId="19" fillId="0" fontId="3" numFmtId="1" xfId="0" applyAlignment="1" applyBorder="1" applyFont="1" applyNumberForma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20" fillId="4" fontId="3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40" fillId="0" fontId="2" numFmtId="0" xfId="0" applyBorder="1" applyFont="1"/>
    <xf borderId="41" fillId="2" fontId="1" numFmtId="0" xfId="0" applyAlignment="1" applyBorder="1" applyFont="1">
      <alignment horizontal="center" readingOrder="0" vertical="center"/>
    </xf>
    <xf borderId="42" fillId="2" fontId="1" numFmtId="0" xfId="0" applyAlignment="1" applyBorder="1" applyFont="1">
      <alignment horizontal="center" vertical="center"/>
    </xf>
    <xf borderId="42" fillId="2" fontId="1" numFmtId="0" xfId="0" applyAlignment="1" applyBorder="1" applyFont="1">
      <alignment horizontal="center" readingOrder="0" vertical="center"/>
    </xf>
    <xf borderId="43" fillId="2" fontId="1" numFmtId="0" xfId="0" applyAlignment="1" applyBorder="1" applyFont="1">
      <alignment horizontal="center" vertical="center"/>
    </xf>
    <xf borderId="44" fillId="0" fontId="2" numFmtId="0" xfId="0" applyBorder="1" applyFont="1"/>
    <xf borderId="4" fillId="0" fontId="3" numFmtId="0" xfId="0" applyAlignment="1" applyBorder="1" applyFont="1">
      <alignment readingOrder="0"/>
    </xf>
    <xf borderId="32" fillId="0" fontId="3" numFmtId="164" xfId="0" applyAlignment="1" applyBorder="1" applyFont="1" applyNumberFormat="1">
      <alignment readingOrder="0"/>
    </xf>
    <xf borderId="4" fillId="0" fontId="3" numFmtId="1" xfId="0" applyBorder="1" applyFont="1" applyNumberFormat="1"/>
    <xf borderId="45" fillId="4" fontId="3" numFmtId="164" xfId="0" applyBorder="1" applyFont="1" applyNumberFormat="1"/>
    <xf borderId="46" fillId="4" fontId="3" numFmtId="164" xfId="0" applyBorder="1" applyFont="1" applyNumberFormat="1"/>
    <xf borderId="20" fillId="4" fontId="3" numFmtId="164" xfId="0" applyBorder="1" applyFont="1" applyNumberFormat="1"/>
    <xf borderId="20" fillId="4" fontId="3" numFmtId="164" xfId="0" applyAlignment="1" applyBorder="1" applyFont="1" applyNumberFormat="1">
      <alignment readingOrder="0"/>
    </xf>
    <xf borderId="6" fillId="0" fontId="3" numFmtId="0" xfId="0" applyAlignment="1" applyBorder="1" applyFont="1">
      <alignment readingOrder="0"/>
    </xf>
    <xf borderId="34" fillId="0" fontId="3" numFmtId="164" xfId="0" applyAlignment="1" applyBorder="1" applyFont="1" applyNumberFormat="1">
      <alignment readingOrder="0"/>
    </xf>
    <xf borderId="6" fillId="0" fontId="3" numFmtId="1" xfId="0" applyBorder="1" applyFont="1" applyNumberFormat="1"/>
    <xf borderId="47" fillId="4" fontId="3" numFmtId="164" xfId="0" applyBorder="1" applyFont="1" applyNumberFormat="1"/>
    <xf borderId="48" fillId="4" fontId="3" numFmtId="164" xfId="0" applyBorder="1" applyFont="1" applyNumberFormat="1"/>
    <xf borderId="34" fillId="0" fontId="3" numFmtId="164" xfId="0" applyBorder="1" applyFont="1" applyNumberFormat="1"/>
    <xf borderId="6" fillId="0" fontId="3" numFmtId="1" xfId="0" applyAlignment="1" applyBorder="1" applyFont="1" applyNumberFormat="1">
      <alignment readingOrder="0"/>
    </xf>
    <xf borderId="35" fillId="0" fontId="3" numFmtId="0" xfId="0" applyBorder="1" applyFont="1"/>
    <xf borderId="36" fillId="0" fontId="3" numFmtId="164" xfId="0" applyBorder="1" applyFont="1" applyNumberFormat="1"/>
    <xf borderId="35" fillId="0" fontId="3" numFmtId="164" xfId="0" applyBorder="1" applyFont="1" applyNumberFormat="1"/>
    <xf borderId="41" fillId="2" fontId="1" numFmtId="164" xfId="0" applyBorder="1" applyFont="1" applyNumberFormat="1"/>
    <xf borderId="0" fillId="0" fontId="3" numFmtId="164" xfId="0" applyFont="1" applyNumberFormat="1"/>
    <xf borderId="1" fillId="2" fontId="1" numFmtId="0" xfId="0" applyAlignment="1" applyBorder="1" applyFont="1">
      <alignment horizontal="center" readingOrder="0"/>
    </xf>
    <xf borderId="21" fillId="4" fontId="3" numFmtId="164" xfId="0" applyBorder="1" applyFont="1" applyNumberFormat="1"/>
    <xf borderId="23" fillId="4" fontId="1" numFmtId="0" xfId="0" applyBorder="1" applyFont="1"/>
    <xf borderId="12" fillId="4" fontId="1" numFmtId="164" xfId="0" applyBorder="1" applyFont="1" applyNumberFormat="1"/>
    <xf borderId="46" fillId="7" fontId="3" numFmtId="0" xfId="0" applyBorder="1" applyFont="1"/>
    <xf borderId="48" fillId="7" fontId="3" numFmtId="0" xfId="0" applyBorder="1" applyFont="1"/>
    <xf borderId="49" fillId="7" fontId="3" numFmtId="0" xfId="0" applyBorder="1" applyFont="1"/>
    <xf borderId="50" fillId="4" fontId="1" numFmtId="164" xfId="0" applyBorder="1" applyFont="1" applyNumberFormat="1"/>
    <xf borderId="3" fillId="4" fontId="1" numFmtId="0" xfId="0" applyBorder="1" applyFont="1"/>
    <xf borderId="26" fillId="4" fontId="1" numFmtId="164" xfId="0" applyBorder="1" applyFont="1" applyNumberFormat="1"/>
    <xf borderId="1" fillId="2" fontId="1" numFmtId="0" xfId="0" applyAlignment="1" applyBorder="1" applyFont="1">
      <alignment horizontal="center" readingOrder="0" vertical="bottom"/>
    </xf>
    <xf borderId="46" fillId="4" fontId="3" numFmtId="0" xfId="0" applyBorder="1" applyFont="1"/>
    <xf borderId="48" fillId="4" fontId="3" numFmtId="0" xfId="0" applyBorder="1" applyFont="1"/>
    <xf borderId="51" fillId="4" fontId="3" numFmtId="0" xfId="0" applyBorder="1" applyFont="1"/>
    <xf borderId="8" fillId="4" fontId="3" numFmtId="164" xfId="0" applyBorder="1" applyFont="1" applyNumberFormat="1"/>
    <xf borderId="52" fillId="4" fontId="3" numFmtId="164" xfId="0" applyBorder="1" applyFont="1" applyNumberFormat="1"/>
    <xf borderId="51" fillId="4" fontId="3" numFmtId="164" xfId="0" applyBorder="1" applyFont="1" applyNumberFormat="1"/>
    <xf borderId="38" fillId="2" fontId="1" numFmtId="164" xfId="0" applyBorder="1" applyFont="1" applyNumberFormat="1"/>
    <xf borderId="1" fillId="4" fontId="3" numFmtId="0" xfId="0" applyAlignment="1" applyBorder="1" applyFont="1">
      <alignment horizontal="center"/>
    </xf>
    <xf borderId="4" fillId="4" fontId="3" numFmtId="0" xfId="0" applyBorder="1" applyFont="1"/>
    <xf borderId="8" fillId="4" fontId="3" numFmtId="0" xfId="0" applyBorder="1" applyFont="1"/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4" fillId="4" fontId="3" numFmtId="0" xfId="0" applyBorder="1" applyFont="1"/>
    <xf borderId="3" fillId="4" fontId="3" numFmtId="0" xfId="0" applyBorder="1" applyFont="1"/>
    <xf borderId="3" fillId="4" fontId="3" numFmtId="164" xfId="0" applyBorder="1" applyFont="1" applyNumberFormat="1"/>
    <xf borderId="23" fillId="2" fontId="1" numFmtId="0" xfId="0" applyAlignment="1" applyBorder="1" applyFont="1">
      <alignment horizontal="center"/>
    </xf>
    <xf borderId="32" fillId="0" fontId="3" numFmtId="0" xfId="0" applyBorder="1" applyFont="1"/>
    <xf borderId="4" fillId="4" fontId="3" numFmtId="1" xfId="0" applyBorder="1" applyFont="1" applyNumberFormat="1"/>
    <xf borderId="4" fillId="4" fontId="3" numFmtId="165" xfId="0" applyBorder="1" applyFont="1" applyNumberFormat="1"/>
    <xf borderId="34" fillId="0" fontId="3" numFmtId="0" xfId="0" applyBorder="1" applyFont="1"/>
    <xf borderId="6" fillId="4" fontId="3" numFmtId="1" xfId="0" applyBorder="1" applyFont="1" applyNumberFormat="1"/>
    <xf borderId="6" fillId="4" fontId="3" numFmtId="165" xfId="0" applyBorder="1" applyFont="1" applyNumberFormat="1"/>
    <xf borderId="36" fillId="0" fontId="3" numFmtId="0" xfId="0" applyBorder="1" applyFont="1"/>
    <xf borderId="8" fillId="4" fontId="3" numFmtId="1" xfId="0" applyBorder="1" applyFont="1" applyNumberFormat="1"/>
    <xf borderId="8" fillId="4" fontId="3" numFmtId="165" xfId="0" applyBorder="1" applyFont="1" applyNumberFormat="1"/>
    <xf borderId="41" fillId="2" fontId="1" numFmtId="0" xfId="0" applyBorder="1" applyFont="1"/>
    <xf borderId="38" fillId="2" fontId="1" numFmtId="1" xfId="0" applyBorder="1" applyFont="1" applyNumberFormat="1"/>
    <xf borderId="4" fillId="4" fontId="3" numFmtId="0" xfId="0" applyAlignment="1" applyBorder="1" applyFont="1">
      <alignment horizontal="left" vertical="center"/>
    </xf>
    <xf borderId="4" fillId="4" fontId="3" numFmtId="164" xfId="0" applyAlignment="1" applyBorder="1" applyFont="1" applyNumberFormat="1">
      <alignment horizontal="right" vertical="center"/>
    </xf>
    <xf borderId="6" fillId="4" fontId="3" numFmtId="0" xfId="0" applyAlignment="1" applyBorder="1" applyFont="1">
      <alignment horizontal="left" vertical="center"/>
    </xf>
    <xf borderId="6" fillId="4" fontId="3" numFmtId="164" xfId="0" applyAlignment="1" applyBorder="1" applyFont="1" applyNumberFormat="1">
      <alignment horizontal="right" vertical="center"/>
    </xf>
    <xf borderId="8" fillId="4" fontId="3" numFmtId="0" xfId="0" applyAlignment="1" applyBorder="1" applyFont="1">
      <alignment horizontal="left" vertical="center"/>
    </xf>
    <xf borderId="8" fillId="4" fontId="3" numFmtId="164" xfId="0" applyAlignment="1" applyBorder="1" applyFont="1" applyNumberFormat="1">
      <alignment horizontal="right" vertical="center"/>
    </xf>
    <xf borderId="3" fillId="2" fontId="1" numFmtId="0" xfId="0" applyAlignment="1" applyBorder="1" applyFont="1">
      <alignment horizontal="left" vertical="center"/>
    </xf>
    <xf borderId="3" fillId="2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'Estructura de Mercado'!$C$7</c:f>
            </c:strRef>
          </c:cat>
          <c:val>
            <c:numRef>
              <c:f>'Estructura de Mercado'!$F$7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Plan de Inversión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Activos Fijos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'Plan de Inversion'!$I$4</c:f>
              <c:numCache/>
            </c:numRef>
          </c:val>
        </c:ser>
        <c:ser>
          <c:idx val="1"/>
          <c:order val="1"/>
          <c:tx>
            <c:v>Adecuaciones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'Plan de Inversion'!$I$5</c:f>
              <c:numCache/>
            </c:numRef>
          </c:val>
        </c:ser>
        <c:ser>
          <c:idx val="2"/>
          <c:order val="2"/>
          <c:tx>
            <c:v>Muebles y Enseres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'Plan de Inversion'!$I$6</c:f>
              <c:numCache/>
            </c:numRef>
          </c:val>
        </c:ser>
        <c:ser>
          <c:idx val="3"/>
          <c:order val="3"/>
          <c:tx>
            <c:v>Maquinaria y Equipo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'Plan de Inversion'!$I$7</c:f>
              <c:numCache/>
            </c:numRef>
          </c:val>
        </c:ser>
        <c:axId val="919963920"/>
        <c:axId val="100758236"/>
      </c:barChart>
      <c:catAx>
        <c:axId val="919963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58236"/>
      </c:catAx>
      <c:valAx>
        <c:axId val="100758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996392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Gastos Administrativos</a:t>
            </a:r>
          </a:p>
        </c:rich>
      </c:tx>
      <c:layout>
        <c:manualLayout>
          <c:xMode val="edge"/>
          <c:yMode val="edge"/>
          <c:x val="0.4002630836457096"/>
          <c:y val="0.0550569351907934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Año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Administrativos'!$C$20:$C$26</c:f>
            </c:strRef>
          </c:cat>
          <c:val>
            <c:numRef>
              <c:f>'Gastos Administrativos'!$D$20:$D$26</c:f>
              <c:numCache/>
            </c:numRef>
          </c:val>
        </c:ser>
        <c:ser>
          <c:idx val="1"/>
          <c:order val="1"/>
          <c:tx>
            <c:v>Año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Administrativos'!$C$20:$C$26</c:f>
            </c:strRef>
          </c:cat>
          <c:val>
            <c:numRef>
              <c:f>'Gastos Administrativos'!$E$20:$E$26</c:f>
              <c:numCache/>
            </c:numRef>
          </c:val>
        </c:ser>
        <c:ser>
          <c:idx val="2"/>
          <c:order val="2"/>
          <c:tx>
            <c:v>Año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Administrativos'!$C$20:$C$26</c:f>
            </c:strRef>
          </c:cat>
          <c:val>
            <c:numRef>
              <c:f>'Gastos Administrativos'!$F$20:$F$26</c:f>
              <c:numCache/>
            </c:numRef>
          </c:val>
        </c:ser>
        <c:ser>
          <c:idx val="3"/>
          <c:order val="3"/>
          <c:tx>
            <c:v>Año 4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Administrativos'!$C$20:$C$26</c:f>
            </c:strRef>
          </c:cat>
          <c:val>
            <c:numRef>
              <c:f>'Gastos Administrativos'!$G$20:$G$26</c:f>
              <c:numCache/>
            </c:numRef>
          </c:val>
        </c:ser>
        <c:ser>
          <c:idx val="4"/>
          <c:order val="4"/>
          <c:tx>
            <c:v>Año 5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Administrativos'!$C$20:$C$26</c:f>
            </c:strRef>
          </c:cat>
          <c:val>
            <c:numRef>
              <c:f>'Gastos Administrativos'!$H$20:$H$26</c:f>
              <c:numCache/>
            </c:numRef>
          </c:val>
        </c:ser>
        <c:axId val="1195013583"/>
        <c:axId val="1691327758"/>
      </c:barChart>
      <c:catAx>
        <c:axId val="1195013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1327758"/>
      </c:catAx>
      <c:valAx>
        <c:axId val="1691327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501358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Gastos de Venta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Concepto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'Gastos de Marketing'!$C$20:$C$30</c:f>
            </c:strRef>
          </c:cat>
          <c:val>
            <c:numRef>
              <c:f>'Gastos de Marketing'!$D$20:$D$30</c:f>
              <c:numCache/>
            </c:numRef>
          </c:val>
        </c:ser>
        <c:ser>
          <c:idx val="1"/>
          <c:order val="1"/>
          <c:tx>
            <c:v>Año 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'Gastos de Marketing'!$C$20:$C$30</c:f>
            </c:strRef>
          </c:cat>
          <c:val>
            <c:numRef>
              <c:f>'Gastos de Marketing'!$E$20:$E$30</c:f>
              <c:numCache/>
            </c:numRef>
          </c:val>
        </c:ser>
        <c:ser>
          <c:idx val="2"/>
          <c:order val="2"/>
          <c:tx>
            <c:v>Año 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'Gastos de Marketing'!$C$20:$C$30</c:f>
            </c:strRef>
          </c:cat>
          <c:val>
            <c:numRef>
              <c:f>'Gastos de Marketing'!$F$20:$F$30</c:f>
              <c:numCache/>
            </c:numRef>
          </c:val>
        </c:ser>
        <c:ser>
          <c:idx val="3"/>
          <c:order val="3"/>
          <c:tx>
            <c:v>Año 3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'Gastos de Marketing'!$C$20:$C$30</c:f>
            </c:strRef>
          </c:cat>
          <c:val>
            <c:numRef>
              <c:f>'Gastos de Marketing'!$G$20:$G$30</c:f>
              <c:numCache/>
            </c:numRef>
          </c:val>
        </c:ser>
        <c:ser>
          <c:idx val="4"/>
          <c:order val="4"/>
          <c:tx>
            <c:v>Año 4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'Gastos de Marketing'!$C$20:$C$30</c:f>
            </c:strRef>
          </c:cat>
          <c:val>
            <c:numRef>
              <c:f>'Gastos de Marketing'!$H$20:$H$30</c:f>
              <c:numCache/>
            </c:numRef>
          </c:val>
        </c:ser>
        <c:axId val="755373670"/>
        <c:axId val="1557662200"/>
      </c:barChart>
      <c:catAx>
        <c:axId val="755373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7662200"/>
      </c:catAx>
      <c:valAx>
        <c:axId val="1557662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537367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76200</xdr:rowOff>
    </xdr:from>
    <xdr:ext cx="10115550" cy="3095625"/>
    <xdr:graphicFrame>
      <xdr:nvGraphicFramePr>
        <xdr:cNvPr id="82659670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695325</xdr:colOff>
      <xdr:row>9</xdr:row>
      <xdr:rowOff>180975</xdr:rowOff>
    </xdr:from>
    <xdr:ext cx="7724775" cy="3762375"/>
    <xdr:graphicFrame>
      <xdr:nvGraphicFramePr>
        <xdr:cNvPr id="212475802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752475</xdr:colOff>
      <xdr:row>32</xdr:row>
      <xdr:rowOff>0</xdr:rowOff>
    </xdr:from>
    <xdr:ext cx="10544175" cy="5200650"/>
    <xdr:graphicFrame>
      <xdr:nvGraphicFramePr>
        <xdr:cNvPr id="134587323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742950</xdr:colOff>
      <xdr:row>31</xdr:row>
      <xdr:rowOff>180975</xdr:rowOff>
    </xdr:from>
    <xdr:ext cx="8181975" cy="3781425"/>
    <xdr:graphicFrame>
      <xdr:nvGraphicFramePr>
        <xdr:cNvPr id="191568421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7.43"/>
    <col customWidth="1" min="3" max="3" width="28.86"/>
    <col customWidth="1" min="4" max="4" width="30.57"/>
    <col customWidth="1" min="5" max="9" width="11.43"/>
    <col customWidth="1" min="10" max="10" width="12.71"/>
    <col customWidth="1" min="11" max="26" width="11.43"/>
  </cols>
  <sheetData>
    <row r="4">
      <c r="B4" s="1" t="s">
        <v>0</v>
      </c>
      <c r="C4" s="2"/>
      <c r="D4" s="3" t="s">
        <v>1</v>
      </c>
    </row>
    <row r="5">
      <c r="B5" s="4" t="s">
        <v>2</v>
      </c>
      <c r="C5" s="5">
        <v>2242.0</v>
      </c>
      <c r="D5" s="6" t="s">
        <v>3</v>
      </c>
      <c r="J5" s="7">
        <f>C12*(C13*C13)*C14*C15</f>
        <v>618.75</v>
      </c>
    </row>
    <row r="6">
      <c r="B6" s="8" t="s">
        <v>4</v>
      </c>
      <c r="C6" s="9">
        <v>1846.0</v>
      </c>
      <c r="D6" s="10" t="s">
        <v>5</v>
      </c>
      <c r="J6" s="7">
        <f>((C16*C16)*(C12-1))+((C13*C13)*C14*C15)</f>
        <v>14.1012</v>
      </c>
    </row>
    <row r="7">
      <c r="B7" s="11" t="s">
        <v>6</v>
      </c>
      <c r="C7" s="12">
        <v>44.0</v>
      </c>
      <c r="D7" s="13" t="s">
        <v>7</v>
      </c>
    </row>
    <row r="11">
      <c r="B11" s="14" t="s">
        <v>8</v>
      </c>
      <c r="C11" s="15"/>
    </row>
    <row r="12">
      <c r="B12" s="4" t="s">
        <v>9</v>
      </c>
      <c r="C12" s="16">
        <f>C7</f>
        <v>44</v>
      </c>
    </row>
    <row r="13">
      <c r="B13" s="8" t="s">
        <v>10</v>
      </c>
      <c r="C13" s="17">
        <v>7.5</v>
      </c>
    </row>
    <row r="14">
      <c r="B14" s="8" t="s">
        <v>11</v>
      </c>
      <c r="C14" s="18">
        <v>0.5</v>
      </c>
      <c r="G14" s="1" t="s">
        <v>10</v>
      </c>
      <c r="H14" s="2"/>
      <c r="I14" s="19" t="s">
        <v>12</v>
      </c>
    </row>
    <row r="15">
      <c r="B15" s="8" t="s">
        <v>13</v>
      </c>
      <c r="C15" s="18">
        <v>0.5</v>
      </c>
      <c r="G15" s="20">
        <v>0.95</v>
      </c>
      <c r="H15" s="21">
        <v>7.5</v>
      </c>
      <c r="I15" s="22">
        <v>0.03</v>
      </c>
    </row>
    <row r="16">
      <c r="B16" s="11" t="s">
        <v>14</v>
      </c>
      <c r="C16" s="23">
        <v>0.03</v>
      </c>
      <c r="G16" s="24">
        <v>0.99</v>
      </c>
      <c r="H16" s="25">
        <v>9.5</v>
      </c>
      <c r="I16" s="26">
        <v>0.01</v>
      </c>
    </row>
    <row r="18">
      <c r="B18" s="27" t="s">
        <v>15</v>
      </c>
      <c r="C18" s="28">
        <f>J5/J6</f>
        <v>43.87924432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C4"/>
    <mergeCell ref="B11:C11"/>
    <mergeCell ref="G14:H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3.29"/>
    <col customWidth="1" min="3" max="3" width="25.57"/>
    <col customWidth="1" min="4" max="4" width="28.43"/>
    <col customWidth="1" min="5" max="5" width="26.43"/>
    <col customWidth="1" min="6" max="6" width="28.0"/>
    <col customWidth="1" min="7" max="7" width="20.43"/>
    <col customWidth="1" min="8" max="26" width="11.43"/>
  </cols>
  <sheetData>
    <row r="4">
      <c r="B4" s="27" t="s">
        <v>16</v>
      </c>
      <c r="C4" s="29" t="s">
        <v>17</v>
      </c>
    </row>
    <row r="6">
      <c r="B6" s="1" t="s">
        <v>18</v>
      </c>
      <c r="C6" s="30"/>
      <c r="D6" s="30"/>
      <c r="E6" s="30"/>
      <c r="F6" s="30"/>
      <c r="G6" s="2"/>
    </row>
    <row r="7"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G7" s="31" t="s">
        <v>24</v>
      </c>
    </row>
    <row r="8">
      <c r="B8" s="32" t="s">
        <v>25</v>
      </c>
      <c r="C8" s="33">
        <f>'Analisis de Mercado'!C7</f>
        <v>44</v>
      </c>
      <c r="D8" s="32">
        <v>1.0</v>
      </c>
      <c r="E8" s="32">
        <v>1.0</v>
      </c>
      <c r="F8" s="34">
        <f>G8/(C8*D8)</f>
        <v>0.2727272727</v>
      </c>
      <c r="G8" s="35">
        <f>E8*12</f>
        <v>12</v>
      </c>
    </row>
    <row r="9">
      <c r="B9" s="36"/>
      <c r="C9" s="37"/>
      <c r="D9" s="36"/>
      <c r="E9" s="36"/>
      <c r="F9" s="37"/>
      <c r="G9" s="38"/>
    </row>
    <row r="10">
      <c r="B10" s="36"/>
      <c r="C10" s="37"/>
      <c r="D10" s="36"/>
      <c r="E10" s="36"/>
      <c r="F10" s="37"/>
      <c r="G10" s="38"/>
    </row>
    <row r="11">
      <c r="B11" s="36"/>
      <c r="C11" s="37"/>
      <c r="D11" s="36"/>
      <c r="E11" s="36"/>
      <c r="F11" s="37"/>
      <c r="G11" s="38"/>
    </row>
    <row r="12">
      <c r="B12" s="39" t="s">
        <v>26</v>
      </c>
      <c r="C12" s="40">
        <f t="shared" ref="C12:G12" si="1">SUM(C8:C11)</f>
        <v>44</v>
      </c>
      <c r="D12" s="40">
        <f t="shared" si="1"/>
        <v>1</v>
      </c>
      <c r="E12" s="40">
        <f t="shared" si="1"/>
        <v>1</v>
      </c>
      <c r="F12" s="41">
        <f t="shared" si="1"/>
        <v>0.2727272727</v>
      </c>
      <c r="G12" s="42">
        <f t="shared" si="1"/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6:G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20.43"/>
    <col customWidth="1" min="4" max="4" width="21.0"/>
    <col customWidth="1" min="5" max="5" width="21.57"/>
    <col customWidth="1" min="6" max="6" width="22.71"/>
    <col customWidth="1" min="7" max="7" width="20.86"/>
    <col customWidth="1" min="8" max="8" width="19.14"/>
    <col customWidth="1" min="9" max="26" width="11.43"/>
  </cols>
  <sheetData>
    <row r="4">
      <c r="C4" s="43" t="s">
        <v>27</v>
      </c>
      <c r="D4" s="30"/>
      <c r="E4" s="30"/>
      <c r="F4" s="2"/>
    </row>
    <row r="5">
      <c r="C5" s="44" t="s">
        <v>19</v>
      </c>
      <c r="D5" s="45" t="s">
        <v>28</v>
      </c>
      <c r="E5" s="44" t="s">
        <v>29</v>
      </c>
      <c r="F5" s="46" t="s">
        <v>30</v>
      </c>
    </row>
    <row r="6">
      <c r="C6" s="47" t="str">
        <f>'Estructura de Mercado'!B8</f>
        <v>Asistnte</v>
      </c>
      <c r="D6" s="47">
        <v>22.0</v>
      </c>
      <c r="E6" s="48">
        <v>2000000.0</v>
      </c>
      <c r="F6" s="49">
        <f t="shared" ref="F6:F9" si="1">E6*D6</f>
        <v>44000000</v>
      </c>
    </row>
    <row r="7">
      <c r="C7" s="50" t="str">
        <f>'Estructura de Mercado'!B9</f>
        <v/>
      </c>
      <c r="D7" s="50" t="str">
        <f>'Estructura de Mercado'!G9</f>
        <v/>
      </c>
      <c r="E7" s="51"/>
      <c r="F7" s="52">
        <f t="shared" si="1"/>
        <v>0</v>
      </c>
    </row>
    <row r="8">
      <c r="C8" s="50" t="str">
        <f>'Estructura de Mercado'!B10</f>
        <v/>
      </c>
      <c r="D8" s="50" t="str">
        <f>'Estructura de Mercado'!G10</f>
        <v/>
      </c>
      <c r="E8" s="36"/>
      <c r="F8" s="52">
        <f t="shared" si="1"/>
        <v>0</v>
      </c>
    </row>
    <row r="9">
      <c r="C9" s="53" t="str">
        <f>'Estructura de Mercado'!B11</f>
        <v/>
      </c>
      <c r="D9" s="53" t="str">
        <f>'Estructura de Mercado'!G11</f>
        <v/>
      </c>
      <c r="E9" s="54"/>
      <c r="F9" s="55">
        <f t="shared" si="1"/>
        <v>0</v>
      </c>
    </row>
    <row r="16">
      <c r="C16" s="1" t="s">
        <v>31</v>
      </c>
      <c r="D16" s="30"/>
      <c r="E16" s="30"/>
      <c r="F16" s="30"/>
      <c r="G16" s="30"/>
      <c r="H16" s="2"/>
    </row>
    <row r="17">
      <c r="C17" s="56" t="s">
        <v>32</v>
      </c>
      <c r="D17" s="46" t="s">
        <v>33</v>
      </c>
      <c r="E17" s="46" t="s">
        <v>34</v>
      </c>
      <c r="F17" s="46" t="s">
        <v>35</v>
      </c>
      <c r="G17" s="46" t="s">
        <v>36</v>
      </c>
      <c r="H17" s="46" t="s">
        <v>37</v>
      </c>
    </row>
    <row r="18">
      <c r="C18" s="57" t="s">
        <v>38</v>
      </c>
      <c r="D18" s="58">
        <v>0.035</v>
      </c>
      <c r="E18" s="58">
        <v>0.037</v>
      </c>
      <c r="F18" s="58">
        <v>0.031</v>
      </c>
      <c r="G18" s="58">
        <v>0.037</v>
      </c>
      <c r="H18" s="58">
        <v>0.031</v>
      </c>
    </row>
    <row r="19">
      <c r="C19" s="59" t="s">
        <v>39</v>
      </c>
      <c r="D19" s="58">
        <v>0.0229</v>
      </c>
      <c r="E19" s="58">
        <v>0.0316</v>
      </c>
      <c r="F19" s="58">
        <v>0.0405</v>
      </c>
      <c r="G19" s="58">
        <v>0.0463</v>
      </c>
      <c r="H19" s="58">
        <v>0.0514</v>
      </c>
    </row>
    <row r="20">
      <c r="C20" s="59" t="s">
        <v>40</v>
      </c>
      <c r="D20" s="58">
        <v>0.035</v>
      </c>
      <c r="E20" s="58">
        <v>0.035</v>
      </c>
      <c r="F20" s="58">
        <v>0.037</v>
      </c>
      <c r="G20" s="58">
        <v>0.032</v>
      </c>
      <c r="H20" s="58">
        <v>0.031</v>
      </c>
    </row>
    <row r="21" ht="15.75" customHeight="1">
      <c r="C21" s="59" t="s">
        <v>41</v>
      </c>
      <c r="D21" s="58">
        <v>0.035</v>
      </c>
      <c r="E21" s="58">
        <v>0.035</v>
      </c>
      <c r="F21" s="58">
        <v>0.037</v>
      </c>
      <c r="G21" s="58">
        <v>0.032</v>
      </c>
      <c r="H21" s="58">
        <v>0.031</v>
      </c>
    </row>
    <row r="22" ht="15.75" customHeight="1">
      <c r="C22" s="60" t="s">
        <v>42</v>
      </c>
      <c r="D22" s="61">
        <v>0.036</v>
      </c>
      <c r="E22" s="61">
        <v>0.034</v>
      </c>
      <c r="F22" s="61">
        <v>0.032</v>
      </c>
      <c r="G22" s="61">
        <v>0.032</v>
      </c>
      <c r="H22" s="61">
        <v>0.031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F4"/>
    <mergeCell ref="C16:H16"/>
  </mergeCell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3.0"/>
    <col customWidth="1" min="3" max="3" width="15.57"/>
    <col customWidth="1" min="4" max="26" width="11.43"/>
  </cols>
  <sheetData>
    <row r="3">
      <c r="B3" s="1" t="s">
        <v>43</v>
      </c>
      <c r="C3" s="2"/>
    </row>
    <row r="4">
      <c r="B4" s="62" t="s">
        <v>44</v>
      </c>
      <c r="C4" s="63">
        <v>1750905.0</v>
      </c>
    </row>
    <row r="5">
      <c r="B5" s="64" t="s">
        <v>45</v>
      </c>
      <c r="C5" s="65">
        <v>249095.0</v>
      </c>
    </row>
    <row r="6">
      <c r="B6" s="66" t="s">
        <v>46</v>
      </c>
      <c r="C6" s="67">
        <v>2.2761765E7</v>
      </c>
    </row>
    <row r="7">
      <c r="B7" s="1" t="s">
        <v>47</v>
      </c>
      <c r="C7" s="2"/>
    </row>
    <row r="8">
      <c r="B8" s="62" t="s">
        <v>48</v>
      </c>
      <c r="C8" s="68">
        <v>0.02</v>
      </c>
    </row>
    <row r="9">
      <c r="B9" s="64" t="s">
        <v>49</v>
      </c>
      <c r="C9" s="69">
        <v>0.03</v>
      </c>
    </row>
    <row r="10">
      <c r="B10" s="70" t="s">
        <v>50</v>
      </c>
      <c r="C10" s="71">
        <v>0.04</v>
      </c>
    </row>
    <row r="11">
      <c r="B11" s="56" t="s">
        <v>51</v>
      </c>
      <c r="C11" s="72">
        <f>SUM(C8:C10)</f>
        <v>0.09</v>
      </c>
    </row>
    <row r="12">
      <c r="B12" s="1" t="s">
        <v>52</v>
      </c>
      <c r="C12" s="2"/>
    </row>
    <row r="13">
      <c r="B13" s="62" t="s">
        <v>53</v>
      </c>
      <c r="C13" s="58">
        <v>0.0833</v>
      </c>
    </row>
    <row r="14">
      <c r="B14" s="64" t="s">
        <v>54</v>
      </c>
      <c r="C14" s="73">
        <v>0.01</v>
      </c>
    </row>
    <row r="15">
      <c r="B15" s="64" t="s">
        <v>55</v>
      </c>
      <c r="C15" s="73">
        <v>0.0833</v>
      </c>
    </row>
    <row r="16">
      <c r="B16" s="70" t="s">
        <v>56</v>
      </c>
      <c r="C16" s="74">
        <v>0.0417</v>
      </c>
    </row>
    <row r="17">
      <c r="B17" s="56" t="s">
        <v>51</v>
      </c>
      <c r="C17" s="75">
        <f>SUM(C13:C16)</f>
        <v>0.2183</v>
      </c>
    </row>
    <row r="18">
      <c r="B18" s="1" t="s">
        <v>57</v>
      </c>
      <c r="C18" s="2"/>
    </row>
    <row r="19">
      <c r="B19" s="76" t="s">
        <v>58</v>
      </c>
      <c r="C19" s="2"/>
    </row>
    <row r="20">
      <c r="B20" s="62" t="s">
        <v>59</v>
      </c>
      <c r="C20" s="58">
        <v>0.085</v>
      </c>
    </row>
    <row r="21" ht="15.75" customHeight="1">
      <c r="B21" s="66" t="s">
        <v>60</v>
      </c>
      <c r="C21" s="77">
        <v>0.04</v>
      </c>
    </row>
    <row r="22" ht="15.75" customHeight="1">
      <c r="B22" s="76" t="s">
        <v>61</v>
      </c>
      <c r="C22" s="2"/>
    </row>
    <row r="23" ht="15.75" customHeight="1">
      <c r="B23" s="62" t="s">
        <v>59</v>
      </c>
      <c r="C23" s="58">
        <v>0.12</v>
      </c>
    </row>
    <row r="24" ht="15.75" customHeight="1">
      <c r="B24" s="64" t="s">
        <v>60</v>
      </c>
      <c r="C24" s="73">
        <v>0.04</v>
      </c>
    </row>
    <row r="25" ht="15.75" customHeight="1">
      <c r="B25" s="78" t="s">
        <v>62</v>
      </c>
      <c r="C25" s="79">
        <f t="shared" ref="C25:C26" si="1">SUM(C20+C23)</f>
        <v>0.205</v>
      </c>
    </row>
    <row r="26" ht="15.75" customHeight="1">
      <c r="B26" s="80" t="s">
        <v>63</v>
      </c>
      <c r="C26" s="81">
        <f t="shared" si="1"/>
        <v>0.08</v>
      </c>
    </row>
    <row r="27" ht="15.75" customHeight="1">
      <c r="B27" s="82" t="s">
        <v>26</v>
      </c>
      <c r="C27" s="83">
        <f>SUM(C11+C17+C25)</f>
        <v>0.5133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C3"/>
    <mergeCell ref="B7:C7"/>
    <mergeCell ref="B12:C12"/>
    <mergeCell ref="B18:C18"/>
    <mergeCell ref="B19:C19"/>
    <mergeCell ref="B22:C2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7.86"/>
    <col customWidth="1" min="3" max="3" width="19.43"/>
    <col customWidth="1" min="4" max="4" width="18.0"/>
    <col customWidth="1" min="5" max="5" width="23.57"/>
    <col customWidth="1" min="6" max="26" width="11.43"/>
  </cols>
  <sheetData>
    <row r="4">
      <c r="B4" s="43" t="s">
        <v>64</v>
      </c>
      <c r="C4" s="30"/>
      <c r="D4" s="30"/>
      <c r="E4" s="2"/>
    </row>
    <row r="5">
      <c r="B5" s="44" t="s">
        <v>65</v>
      </c>
      <c r="C5" s="44" t="s">
        <v>66</v>
      </c>
      <c r="D5" s="84" t="s">
        <v>67</v>
      </c>
      <c r="E5" s="44" t="s">
        <v>51</v>
      </c>
    </row>
    <row r="6">
      <c r="B6" s="85"/>
      <c r="C6" s="85"/>
      <c r="D6" s="48"/>
      <c r="E6" s="86">
        <f t="shared" ref="E6:E10" si="1">C6*D6</f>
        <v>0</v>
      </c>
    </row>
    <row r="7">
      <c r="B7" s="36"/>
      <c r="C7" s="36"/>
      <c r="D7" s="51"/>
      <c r="E7" s="87">
        <f t="shared" si="1"/>
        <v>0</v>
      </c>
    </row>
    <row r="8">
      <c r="B8" s="36"/>
      <c r="C8" s="36"/>
      <c r="D8" s="51"/>
      <c r="E8" s="87">
        <f t="shared" si="1"/>
        <v>0</v>
      </c>
    </row>
    <row r="9">
      <c r="B9" s="36"/>
      <c r="C9" s="36"/>
      <c r="D9" s="51"/>
      <c r="E9" s="87">
        <f t="shared" si="1"/>
        <v>0</v>
      </c>
    </row>
    <row r="10">
      <c r="B10" s="36"/>
      <c r="C10" s="36"/>
      <c r="D10" s="51"/>
      <c r="E10" s="87">
        <f t="shared" si="1"/>
        <v>0</v>
      </c>
    </row>
    <row r="11">
      <c r="B11" s="88" t="s">
        <v>51</v>
      </c>
      <c r="C11" s="88"/>
      <c r="D11" s="89">
        <f t="shared" ref="D11:E11" si="2">SUM(D6:D10)</f>
        <v>0</v>
      </c>
      <c r="E11" s="90">
        <f t="shared" si="2"/>
        <v>0</v>
      </c>
    </row>
    <row r="14">
      <c r="B14" s="43" t="s">
        <v>68</v>
      </c>
      <c r="C14" s="30"/>
      <c r="D14" s="30"/>
      <c r="E14" s="2"/>
    </row>
    <row r="15">
      <c r="B15" s="44" t="s">
        <v>65</v>
      </c>
      <c r="C15" s="44" t="s">
        <v>66</v>
      </c>
      <c r="D15" s="84" t="s">
        <v>67</v>
      </c>
      <c r="E15" s="44" t="s">
        <v>51</v>
      </c>
    </row>
    <row r="16">
      <c r="B16" s="85"/>
      <c r="C16" s="85"/>
      <c r="D16" s="48"/>
      <c r="E16" s="86">
        <f t="shared" ref="E16:E20" si="3">C16*D16</f>
        <v>0</v>
      </c>
    </row>
    <row r="17">
      <c r="B17" s="36"/>
      <c r="C17" s="36"/>
      <c r="D17" s="51"/>
      <c r="E17" s="87">
        <f t="shared" si="3"/>
        <v>0</v>
      </c>
    </row>
    <row r="18">
      <c r="B18" s="36"/>
      <c r="C18" s="36"/>
      <c r="D18" s="51"/>
      <c r="E18" s="87">
        <f t="shared" si="3"/>
        <v>0</v>
      </c>
    </row>
    <row r="19">
      <c r="B19" s="36"/>
      <c r="C19" s="36"/>
      <c r="D19" s="51"/>
      <c r="E19" s="87">
        <f t="shared" si="3"/>
        <v>0</v>
      </c>
    </row>
    <row r="20">
      <c r="B20" s="36"/>
      <c r="C20" s="36"/>
      <c r="D20" s="51"/>
      <c r="E20" s="87">
        <f t="shared" si="3"/>
        <v>0</v>
      </c>
    </row>
    <row r="21" ht="15.75" customHeight="1">
      <c r="B21" s="88" t="s">
        <v>51</v>
      </c>
      <c r="C21" s="88"/>
      <c r="D21" s="89">
        <f t="shared" ref="D21:E21" si="4">SUM(D16:D20)</f>
        <v>0</v>
      </c>
      <c r="E21" s="90">
        <f t="shared" si="4"/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E4"/>
    <mergeCell ref="B14:E1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6.43"/>
    <col customWidth="1" min="3" max="3" width="15.43"/>
    <col customWidth="1" min="4" max="4" width="11.43"/>
    <col customWidth="1" min="5" max="5" width="18.29"/>
    <col customWidth="1" min="6" max="6" width="15.57"/>
    <col customWidth="1" min="7" max="7" width="11.43"/>
    <col customWidth="1" min="8" max="8" width="26.57"/>
    <col customWidth="1" min="9" max="9" width="24.57"/>
    <col customWidth="1" min="10" max="10" width="11.43"/>
    <col customWidth="1" min="11" max="11" width="19.29"/>
    <col customWidth="1" min="12" max="12" width="22.14"/>
    <col customWidth="1" min="13" max="13" width="11.43"/>
    <col customWidth="1" min="14" max="18" width="14.57"/>
    <col customWidth="1" min="19" max="26" width="11.43"/>
  </cols>
  <sheetData>
    <row r="3">
      <c r="B3" s="43" t="s">
        <v>69</v>
      </c>
      <c r="C3" s="30"/>
      <c r="D3" s="30"/>
      <c r="E3" s="30"/>
      <c r="F3" s="2"/>
      <c r="H3" s="14" t="s">
        <v>70</v>
      </c>
      <c r="I3" s="15"/>
      <c r="K3" s="91" t="s">
        <v>71</v>
      </c>
      <c r="L3" s="92"/>
      <c r="M3" s="92"/>
      <c r="N3" s="92"/>
      <c r="O3" s="92"/>
      <c r="P3" s="92"/>
      <c r="Q3" s="92"/>
      <c r="R3" s="93"/>
    </row>
    <row r="4">
      <c r="B4" s="44" t="s">
        <v>72</v>
      </c>
      <c r="C4" s="44" t="s">
        <v>73</v>
      </c>
      <c r="D4" s="46" t="s">
        <v>74</v>
      </c>
      <c r="E4" s="44" t="s">
        <v>75</v>
      </c>
      <c r="F4" s="44" t="s">
        <v>51</v>
      </c>
      <c r="H4" s="94" t="s">
        <v>69</v>
      </c>
      <c r="I4" s="95">
        <f>F9</f>
        <v>0</v>
      </c>
      <c r="K4" s="96" t="s">
        <v>65</v>
      </c>
      <c r="L4" s="97" t="s">
        <v>76</v>
      </c>
      <c r="M4" s="96" t="s">
        <v>77</v>
      </c>
      <c r="N4" s="98" t="s">
        <v>33</v>
      </c>
      <c r="O4" s="98" t="s">
        <v>34</v>
      </c>
      <c r="P4" s="98" t="s">
        <v>35</v>
      </c>
      <c r="Q4" s="98" t="s">
        <v>36</v>
      </c>
      <c r="R4" s="98" t="s">
        <v>37</v>
      </c>
    </row>
    <row r="5">
      <c r="B5" s="99"/>
      <c r="C5" s="100"/>
      <c r="D5" s="101"/>
      <c r="E5" s="102"/>
      <c r="F5" s="103">
        <f t="shared" ref="F5:F8" si="2">D5*E5</f>
        <v>0</v>
      </c>
      <c r="H5" s="104" t="s">
        <v>78</v>
      </c>
      <c r="I5" s="105">
        <f>F18</f>
        <v>0</v>
      </c>
      <c r="K5" s="106" t="s">
        <v>78</v>
      </c>
      <c r="L5" s="107">
        <f t="shared" ref="L5:L7" si="3">I5</f>
        <v>0</v>
      </c>
      <c r="M5" s="108">
        <v>20.0</v>
      </c>
      <c r="N5" s="107">
        <f t="shared" ref="N5:R5" si="1">$L$5/$M$5</f>
        <v>0</v>
      </c>
      <c r="O5" s="107">
        <f t="shared" si="1"/>
        <v>0</v>
      </c>
      <c r="P5" s="107">
        <f t="shared" si="1"/>
        <v>0</v>
      </c>
      <c r="Q5" s="107">
        <f t="shared" si="1"/>
        <v>0</v>
      </c>
      <c r="R5" s="107">
        <f t="shared" si="1"/>
        <v>0</v>
      </c>
    </row>
    <row r="6">
      <c r="B6" s="109"/>
      <c r="C6" s="110"/>
      <c r="D6" s="111"/>
      <c r="E6" s="112"/>
      <c r="F6" s="113">
        <f t="shared" si="2"/>
        <v>0</v>
      </c>
      <c r="H6" s="104" t="s">
        <v>79</v>
      </c>
      <c r="I6" s="105">
        <f>F35</f>
        <v>1520232</v>
      </c>
      <c r="K6" s="106" t="s">
        <v>79</v>
      </c>
      <c r="L6" s="107">
        <f t="shared" si="3"/>
        <v>1520232</v>
      </c>
      <c r="M6" s="108">
        <v>10.0</v>
      </c>
      <c r="N6" s="107">
        <f t="shared" ref="N6:R6" si="4">$L$6/$M$6</f>
        <v>152023.2</v>
      </c>
      <c r="O6" s="107">
        <f t="shared" si="4"/>
        <v>152023.2</v>
      </c>
      <c r="P6" s="107">
        <f t="shared" si="4"/>
        <v>152023.2</v>
      </c>
      <c r="Q6" s="107">
        <f t="shared" si="4"/>
        <v>152023.2</v>
      </c>
      <c r="R6" s="107">
        <f t="shared" si="4"/>
        <v>152023.2</v>
      </c>
    </row>
    <row r="7">
      <c r="B7" s="114"/>
      <c r="C7" s="115"/>
      <c r="D7" s="116"/>
      <c r="E7" s="117"/>
      <c r="F7" s="113">
        <f t="shared" si="2"/>
        <v>0</v>
      </c>
      <c r="H7" s="118" t="s">
        <v>80</v>
      </c>
      <c r="I7" s="119">
        <f>F52</f>
        <v>6500000</v>
      </c>
      <c r="K7" s="106" t="s">
        <v>80</v>
      </c>
      <c r="L7" s="107">
        <f t="shared" si="3"/>
        <v>6500000</v>
      </c>
      <c r="M7" s="108">
        <v>5.0</v>
      </c>
      <c r="N7" s="107">
        <f t="shared" ref="N7:R7" si="5">$L$7/$M$7</f>
        <v>1300000</v>
      </c>
      <c r="O7" s="107">
        <f t="shared" si="5"/>
        <v>1300000</v>
      </c>
      <c r="P7" s="107">
        <f t="shared" si="5"/>
        <v>1300000</v>
      </c>
      <c r="Q7" s="107">
        <f t="shared" si="5"/>
        <v>1300000</v>
      </c>
      <c r="R7" s="107">
        <f t="shared" si="5"/>
        <v>1300000</v>
      </c>
    </row>
    <row r="8">
      <c r="B8" s="114"/>
      <c r="C8" s="115"/>
      <c r="D8" s="120"/>
      <c r="E8" s="117"/>
      <c r="F8" s="113">
        <f t="shared" si="2"/>
        <v>0</v>
      </c>
      <c r="H8" s="121" t="s">
        <v>51</v>
      </c>
      <c r="I8" s="89">
        <f>SUM(I4:I7)</f>
        <v>8020232</v>
      </c>
      <c r="K8" s="122" t="s">
        <v>51</v>
      </c>
      <c r="L8" s="123">
        <f>SUM(L4:L7)</f>
        <v>8020232</v>
      </c>
      <c r="M8" s="124"/>
      <c r="N8" s="123">
        <f t="shared" ref="N8:R8" si="6">SUM(N5:N7)</f>
        <v>1452023.2</v>
      </c>
      <c r="O8" s="123">
        <f t="shared" si="6"/>
        <v>1452023.2</v>
      </c>
      <c r="P8" s="123">
        <f t="shared" si="6"/>
        <v>1452023.2</v>
      </c>
      <c r="Q8" s="123">
        <f t="shared" si="6"/>
        <v>1452023.2</v>
      </c>
      <c r="R8" s="123">
        <f t="shared" si="6"/>
        <v>1452023.2</v>
      </c>
    </row>
    <row r="9">
      <c r="B9" s="82" t="s">
        <v>51</v>
      </c>
      <c r="C9" s="82"/>
      <c r="D9" s="125"/>
      <c r="E9" s="82"/>
      <c r="F9" s="126">
        <f>SUM(F5:F8)</f>
        <v>0</v>
      </c>
    </row>
    <row r="12">
      <c r="B12" s="43" t="s">
        <v>78</v>
      </c>
      <c r="C12" s="30"/>
      <c r="D12" s="30"/>
      <c r="E12" s="30"/>
      <c r="F12" s="2"/>
    </row>
    <row r="13">
      <c r="B13" s="44" t="s">
        <v>72</v>
      </c>
      <c r="C13" s="44" t="s">
        <v>73</v>
      </c>
      <c r="D13" s="46" t="s">
        <v>74</v>
      </c>
      <c r="E13" s="44" t="s">
        <v>75</v>
      </c>
      <c r="F13" s="44" t="s">
        <v>51</v>
      </c>
    </row>
    <row r="14">
      <c r="B14" s="99"/>
      <c r="C14" s="100"/>
      <c r="D14" s="101"/>
      <c r="E14" s="102"/>
      <c r="F14" s="103">
        <f>D14*E14</f>
        <v>0</v>
      </c>
    </row>
    <row r="15">
      <c r="B15" s="109"/>
      <c r="C15" s="110"/>
      <c r="D15" s="111"/>
      <c r="E15" s="112"/>
      <c r="F15" s="113">
        <f t="shared" ref="F15:F17" si="7">(D15*E15)</f>
        <v>0</v>
      </c>
    </row>
    <row r="16">
      <c r="B16" s="114"/>
      <c r="C16" s="115"/>
      <c r="D16" s="116"/>
      <c r="E16" s="117"/>
      <c r="F16" s="113">
        <f t="shared" si="7"/>
        <v>0</v>
      </c>
    </row>
    <row r="17">
      <c r="B17" s="114"/>
      <c r="C17" s="115"/>
      <c r="D17" s="120"/>
      <c r="E17" s="117"/>
      <c r="F17" s="113">
        <f t="shared" si="7"/>
        <v>0</v>
      </c>
    </row>
    <row r="18">
      <c r="B18" s="82" t="s">
        <v>51</v>
      </c>
      <c r="C18" s="82"/>
      <c r="D18" s="125"/>
      <c r="E18" s="82"/>
      <c r="F18" s="126">
        <f>SUM(F14:F17)</f>
        <v>0</v>
      </c>
    </row>
    <row r="21" ht="15.75" customHeight="1">
      <c r="B21" s="43" t="s">
        <v>79</v>
      </c>
      <c r="C21" s="30"/>
      <c r="D21" s="30"/>
      <c r="E21" s="30"/>
      <c r="F21" s="2"/>
    </row>
    <row r="22" ht="15.75" customHeight="1">
      <c r="B22" s="44" t="s">
        <v>72</v>
      </c>
      <c r="C22" s="44" t="s">
        <v>73</v>
      </c>
      <c r="D22" s="46" t="s">
        <v>74</v>
      </c>
      <c r="E22" s="44" t="s">
        <v>75</v>
      </c>
      <c r="F22" s="44" t="s">
        <v>51</v>
      </c>
    </row>
    <row r="23" ht="15.75" customHeight="1">
      <c r="B23" s="99" t="s">
        <v>81</v>
      </c>
      <c r="C23" s="100" t="s">
        <v>66</v>
      </c>
      <c r="D23" s="101">
        <v>3.0</v>
      </c>
      <c r="E23" s="102">
        <v>138900.0</v>
      </c>
      <c r="F23" s="103">
        <f t="shared" ref="F23:F31" si="8">D23*E23</f>
        <v>416700</v>
      </c>
    </row>
    <row r="24" ht="15.75" customHeight="1">
      <c r="B24" s="127" t="s">
        <v>82</v>
      </c>
      <c r="C24" s="128" t="s">
        <v>66</v>
      </c>
      <c r="D24" s="129">
        <v>3.0</v>
      </c>
      <c r="E24" s="130">
        <v>367844.0</v>
      </c>
      <c r="F24" s="131">
        <f t="shared" si="8"/>
        <v>1103532</v>
      </c>
    </row>
    <row r="25" ht="15.75" customHeight="1">
      <c r="B25" s="127"/>
      <c r="C25" s="128"/>
      <c r="D25" s="129"/>
      <c r="E25" s="130"/>
      <c r="F25" s="131">
        <f t="shared" si="8"/>
        <v>0</v>
      </c>
    </row>
    <row r="26" ht="15.75" customHeight="1">
      <c r="B26" s="127"/>
      <c r="C26" s="128"/>
      <c r="D26" s="129"/>
      <c r="E26" s="130"/>
      <c r="F26" s="131">
        <f t="shared" si="8"/>
        <v>0</v>
      </c>
    </row>
    <row r="27" ht="15.75" customHeight="1">
      <c r="B27" s="127"/>
      <c r="C27" s="128"/>
      <c r="D27" s="129"/>
      <c r="E27" s="130"/>
      <c r="F27" s="131">
        <f t="shared" si="8"/>
        <v>0</v>
      </c>
    </row>
    <row r="28" ht="15.75" customHeight="1">
      <c r="B28" s="127"/>
      <c r="C28" s="128"/>
      <c r="D28" s="129"/>
      <c r="E28" s="130"/>
      <c r="F28" s="131">
        <f t="shared" si="8"/>
        <v>0</v>
      </c>
    </row>
    <row r="29" ht="15.75" customHeight="1">
      <c r="B29" s="127"/>
      <c r="C29" s="128"/>
      <c r="D29" s="129"/>
      <c r="E29" s="130"/>
      <c r="F29" s="131">
        <f t="shared" si="8"/>
        <v>0</v>
      </c>
    </row>
    <row r="30" ht="15.75" customHeight="1">
      <c r="B30" s="127"/>
      <c r="C30" s="128"/>
      <c r="D30" s="129"/>
      <c r="E30" s="130"/>
      <c r="F30" s="131">
        <f t="shared" si="8"/>
        <v>0</v>
      </c>
    </row>
    <row r="31" ht="15.75" customHeight="1">
      <c r="B31" s="127"/>
      <c r="C31" s="128"/>
      <c r="D31" s="129"/>
      <c r="E31" s="130"/>
      <c r="F31" s="131">
        <f t="shared" si="8"/>
        <v>0</v>
      </c>
    </row>
    <row r="32" ht="15.75" customHeight="1">
      <c r="B32" s="109"/>
      <c r="C32" s="110"/>
      <c r="D32" s="111"/>
      <c r="E32" s="112"/>
      <c r="F32" s="113">
        <f t="shared" ref="F32:F34" si="9">(D32*E32)</f>
        <v>0</v>
      </c>
    </row>
    <row r="33" ht="15.75" customHeight="1">
      <c r="B33" s="114"/>
      <c r="C33" s="115"/>
      <c r="D33" s="116"/>
      <c r="E33" s="117"/>
      <c r="F33" s="113">
        <f t="shared" si="9"/>
        <v>0</v>
      </c>
    </row>
    <row r="34" ht="15.75" customHeight="1">
      <c r="B34" s="114"/>
      <c r="C34" s="115"/>
      <c r="D34" s="120"/>
      <c r="E34" s="117"/>
      <c r="F34" s="113">
        <f t="shared" si="9"/>
        <v>0</v>
      </c>
    </row>
    <row r="35" ht="15.75" customHeight="1">
      <c r="B35" s="82" t="s">
        <v>51</v>
      </c>
      <c r="C35" s="82"/>
      <c r="D35" s="125"/>
      <c r="E35" s="82"/>
      <c r="F35" s="126">
        <f>SUM(F23:F34)</f>
        <v>1520232</v>
      </c>
    </row>
    <row r="36" ht="15.75" customHeight="1"/>
    <row r="37" ht="15.75" customHeight="1"/>
    <row r="38" ht="15.75" customHeight="1">
      <c r="B38" s="43" t="s">
        <v>80</v>
      </c>
      <c r="C38" s="30"/>
      <c r="D38" s="30"/>
      <c r="E38" s="30"/>
      <c r="F38" s="2"/>
    </row>
    <row r="39" ht="15.75" customHeight="1">
      <c r="B39" s="44" t="s">
        <v>72</v>
      </c>
      <c r="C39" s="44" t="s">
        <v>73</v>
      </c>
      <c r="D39" s="46" t="s">
        <v>74</v>
      </c>
      <c r="E39" s="44" t="s">
        <v>75</v>
      </c>
      <c r="F39" s="44" t="s">
        <v>51</v>
      </c>
    </row>
    <row r="40" ht="15.75" customHeight="1">
      <c r="B40" s="99" t="s">
        <v>83</v>
      </c>
      <c r="C40" s="100" t="s">
        <v>66</v>
      </c>
      <c r="D40" s="101">
        <v>2.0</v>
      </c>
      <c r="E40" s="102">
        <v>2000000.0</v>
      </c>
      <c r="F40" s="103">
        <f t="shared" ref="F40:F48" si="10">D40*E40</f>
        <v>4000000</v>
      </c>
    </row>
    <row r="41" ht="15.75" customHeight="1">
      <c r="B41" s="127" t="s">
        <v>84</v>
      </c>
      <c r="C41" s="128" t="s">
        <v>66</v>
      </c>
      <c r="D41" s="129">
        <v>1.0</v>
      </c>
      <c r="E41" s="130">
        <v>2500000.0</v>
      </c>
      <c r="F41" s="131">
        <f t="shared" si="10"/>
        <v>2500000</v>
      </c>
    </row>
    <row r="42" ht="15.75" customHeight="1">
      <c r="B42" s="127"/>
      <c r="C42" s="128"/>
      <c r="D42" s="129"/>
      <c r="E42" s="130"/>
      <c r="F42" s="131">
        <f t="shared" si="10"/>
        <v>0</v>
      </c>
    </row>
    <row r="43" ht="15.75" customHeight="1">
      <c r="B43" s="127"/>
      <c r="C43" s="128"/>
      <c r="D43" s="129"/>
      <c r="E43" s="130"/>
      <c r="F43" s="131">
        <f t="shared" si="10"/>
        <v>0</v>
      </c>
    </row>
    <row r="44" ht="15.75" customHeight="1">
      <c r="B44" s="127"/>
      <c r="C44" s="128"/>
      <c r="D44" s="129"/>
      <c r="E44" s="130"/>
      <c r="F44" s="131">
        <f t="shared" si="10"/>
        <v>0</v>
      </c>
    </row>
    <row r="45" ht="15.75" customHeight="1">
      <c r="B45" s="127"/>
      <c r="C45" s="128"/>
      <c r="D45" s="129"/>
      <c r="E45" s="130"/>
      <c r="F45" s="131">
        <f t="shared" si="10"/>
        <v>0</v>
      </c>
    </row>
    <row r="46" ht="15.75" customHeight="1">
      <c r="B46" s="127"/>
      <c r="C46" s="128"/>
      <c r="D46" s="129"/>
      <c r="E46" s="130"/>
      <c r="F46" s="131">
        <f t="shared" si="10"/>
        <v>0</v>
      </c>
    </row>
    <row r="47" ht="15.75" customHeight="1">
      <c r="B47" s="127"/>
      <c r="C47" s="128"/>
      <c r="D47" s="129"/>
      <c r="E47" s="130"/>
      <c r="F47" s="131">
        <f t="shared" si="10"/>
        <v>0</v>
      </c>
    </row>
    <row r="48" ht="15.75" customHeight="1">
      <c r="B48" s="127"/>
      <c r="C48" s="128"/>
      <c r="D48" s="129"/>
      <c r="E48" s="130"/>
      <c r="F48" s="131">
        <f t="shared" si="10"/>
        <v>0</v>
      </c>
    </row>
    <row r="49" ht="15.75" customHeight="1">
      <c r="B49" s="109"/>
      <c r="C49" s="110"/>
      <c r="D49" s="111"/>
      <c r="E49" s="112"/>
      <c r="F49" s="113">
        <f t="shared" ref="F49:F51" si="11">(D49*E49)</f>
        <v>0</v>
      </c>
    </row>
    <row r="50" ht="15.75" customHeight="1">
      <c r="B50" s="114"/>
      <c r="C50" s="115"/>
      <c r="D50" s="116"/>
      <c r="E50" s="117"/>
      <c r="F50" s="113">
        <f t="shared" si="11"/>
        <v>0</v>
      </c>
    </row>
    <row r="51" ht="15.75" customHeight="1">
      <c r="B51" s="114"/>
      <c r="C51" s="115"/>
      <c r="D51" s="120"/>
      <c r="E51" s="117"/>
      <c r="F51" s="113">
        <f t="shared" si="11"/>
        <v>0</v>
      </c>
    </row>
    <row r="52" ht="15.75" customHeight="1">
      <c r="B52" s="82" t="s">
        <v>51</v>
      </c>
      <c r="C52" s="82"/>
      <c r="D52" s="125"/>
      <c r="E52" s="82"/>
      <c r="F52" s="126">
        <f>SUM(F40:F51)</f>
        <v>6500000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F3"/>
    <mergeCell ref="H3:I3"/>
    <mergeCell ref="K3:R3"/>
    <mergeCell ref="B12:F12"/>
    <mergeCell ref="B21:F21"/>
    <mergeCell ref="B38:F3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6.71"/>
    <col customWidth="1" min="3" max="3" width="24.0"/>
    <col customWidth="1" min="4" max="4" width="19.0"/>
    <col customWidth="1" min="5" max="5" width="21.71"/>
    <col customWidth="1" min="6" max="6" width="18.57"/>
    <col customWidth="1" min="7" max="7" width="18.86"/>
    <col customWidth="1" min="8" max="8" width="21.71"/>
    <col customWidth="1" min="9" max="9" width="17.57"/>
    <col customWidth="1" min="10" max="10" width="18.43"/>
    <col customWidth="1" min="11" max="11" width="23.0"/>
    <col customWidth="1" min="12" max="12" width="22.71"/>
    <col customWidth="1" min="13" max="13" width="18.29"/>
    <col customWidth="1" min="14" max="15" width="15.71"/>
    <col customWidth="1" min="16" max="16" width="14.57"/>
    <col customWidth="1" min="17" max="17" width="14.71"/>
    <col customWidth="1" min="18" max="26" width="11.43"/>
  </cols>
  <sheetData>
    <row r="3">
      <c r="B3" s="132" t="s">
        <v>85</v>
      </c>
      <c r="C3" s="30"/>
      <c r="D3" s="2"/>
      <c r="E3" s="43" t="s">
        <v>58</v>
      </c>
      <c r="F3" s="30"/>
      <c r="G3" s="2"/>
      <c r="H3" s="43" t="s">
        <v>61</v>
      </c>
      <c r="I3" s="30"/>
      <c r="J3" s="133"/>
      <c r="K3" s="44" t="s">
        <v>86</v>
      </c>
      <c r="L3" s="134" t="s">
        <v>87</v>
      </c>
      <c r="M3" s="135" t="s">
        <v>88</v>
      </c>
      <c r="N3" s="136" t="s">
        <v>89</v>
      </c>
    </row>
    <row r="4">
      <c r="B4" s="46" t="s">
        <v>90</v>
      </c>
      <c r="C4" s="46" t="s">
        <v>91</v>
      </c>
      <c r="D4" s="46" t="s">
        <v>92</v>
      </c>
      <c r="E4" s="46" t="s">
        <v>60</v>
      </c>
      <c r="F4" s="46" t="s">
        <v>59</v>
      </c>
      <c r="G4" s="46" t="s">
        <v>51</v>
      </c>
      <c r="H4" s="46" t="s">
        <v>60</v>
      </c>
      <c r="I4" s="46" t="s">
        <v>59</v>
      </c>
      <c r="J4" s="46" t="s">
        <v>51</v>
      </c>
      <c r="K4" s="46" t="s">
        <v>60</v>
      </c>
      <c r="L4" s="137" t="s">
        <v>51</v>
      </c>
      <c r="M4" s="138"/>
      <c r="N4" s="138"/>
    </row>
    <row r="5">
      <c r="B5" s="139" t="s">
        <v>93</v>
      </c>
      <c r="C5" s="140">
        <v>1750905.0</v>
      </c>
      <c r="D5" s="141">
        <v>30.0</v>
      </c>
      <c r="E5" s="142">
        <f>C5*ParaFiscales!$C$21</f>
        <v>70036.2</v>
      </c>
      <c r="F5" s="143">
        <f>C5*ParaFiscales!$C$20</f>
        <v>148826.925</v>
      </c>
      <c r="G5" s="143">
        <f t="shared" ref="G5:G16" si="1">SUM(E5:F5)</f>
        <v>218863.125</v>
      </c>
      <c r="H5" s="143">
        <f>C5*ParaFiscales!$C$24</f>
        <v>70036.2</v>
      </c>
      <c r="I5" s="143">
        <f>C5*ParaFiscales!$C$23</f>
        <v>210108.6</v>
      </c>
      <c r="J5" s="143">
        <f t="shared" ref="J5:J16" si="2">SUM(H5:I5)</f>
        <v>280144.8</v>
      </c>
      <c r="K5" s="140">
        <v>249095.0</v>
      </c>
      <c r="L5" s="143">
        <f t="shared" ref="L5:L9" si="3">C5+K5</f>
        <v>2000000</v>
      </c>
      <c r="M5" s="144">
        <f t="shared" ref="M5:M16" si="4">C5*12</f>
        <v>21010860</v>
      </c>
      <c r="N5" s="145">
        <v>10489.51</v>
      </c>
    </row>
    <row r="6">
      <c r="B6" s="146" t="s">
        <v>94</v>
      </c>
      <c r="C6" s="147">
        <v>2000000.0</v>
      </c>
      <c r="D6" s="148">
        <v>30.0</v>
      </c>
      <c r="E6" s="149">
        <f>C6*ParaFiscales!$C$21</f>
        <v>80000</v>
      </c>
      <c r="F6" s="150">
        <f>C6*ParaFiscales!$C$20</f>
        <v>170000</v>
      </c>
      <c r="G6" s="150">
        <f t="shared" si="1"/>
        <v>250000</v>
      </c>
      <c r="H6" s="150">
        <f>C6*ParaFiscales!$C$24</f>
        <v>80000</v>
      </c>
      <c r="I6" s="150">
        <f>C6*ParaFiscales!$C$23</f>
        <v>240000</v>
      </c>
      <c r="J6" s="150">
        <f t="shared" si="2"/>
        <v>320000</v>
      </c>
      <c r="K6" s="140">
        <v>249095.0</v>
      </c>
      <c r="L6" s="143">
        <f t="shared" si="3"/>
        <v>2249095</v>
      </c>
      <c r="M6" s="144">
        <f t="shared" si="4"/>
        <v>24000000</v>
      </c>
      <c r="N6" s="145">
        <v>11795.95</v>
      </c>
    </row>
    <row r="7">
      <c r="B7" s="146" t="s">
        <v>95</v>
      </c>
      <c r="C7" s="147">
        <v>2900000.0</v>
      </c>
      <c r="D7" s="148">
        <v>30.0</v>
      </c>
      <c r="E7" s="149">
        <f>C7*ParaFiscales!$C$21</f>
        <v>116000</v>
      </c>
      <c r="F7" s="150">
        <f>C7*ParaFiscales!$C$20</f>
        <v>246500</v>
      </c>
      <c r="G7" s="150">
        <f t="shared" si="1"/>
        <v>362500</v>
      </c>
      <c r="H7" s="150">
        <f>C7*ParaFiscales!$C$24</f>
        <v>116000</v>
      </c>
      <c r="I7" s="150">
        <f>C7*ParaFiscales!$C$23</f>
        <v>348000</v>
      </c>
      <c r="J7" s="150">
        <f t="shared" si="2"/>
        <v>464000</v>
      </c>
      <c r="K7" s="140">
        <v>249095.0</v>
      </c>
      <c r="L7" s="143">
        <f t="shared" si="3"/>
        <v>3149095</v>
      </c>
      <c r="M7" s="144">
        <f t="shared" si="4"/>
        <v>34800000</v>
      </c>
      <c r="N7" s="145">
        <v>16516.23</v>
      </c>
    </row>
    <row r="8">
      <c r="B8" s="146" t="s">
        <v>96</v>
      </c>
      <c r="C8" s="147">
        <v>6000000.0</v>
      </c>
      <c r="D8" s="148">
        <v>30.0</v>
      </c>
      <c r="E8" s="149">
        <f>C8*ParaFiscales!$C$21</f>
        <v>240000</v>
      </c>
      <c r="F8" s="150">
        <f>C8*ParaFiscales!$C$20</f>
        <v>510000</v>
      </c>
      <c r="G8" s="150">
        <f t="shared" si="1"/>
        <v>750000</v>
      </c>
      <c r="H8" s="150">
        <f>C8*ParaFiscales!$C$24</f>
        <v>240000</v>
      </c>
      <c r="I8" s="150">
        <f>C8*ParaFiscales!$C$23</f>
        <v>720000</v>
      </c>
      <c r="J8" s="150">
        <f t="shared" si="2"/>
        <v>960000</v>
      </c>
      <c r="K8" s="151"/>
      <c r="L8" s="143">
        <f t="shared" si="3"/>
        <v>6000000</v>
      </c>
      <c r="M8" s="144">
        <f t="shared" si="4"/>
        <v>72000000</v>
      </c>
      <c r="N8" s="145">
        <v>31468.53</v>
      </c>
    </row>
    <row r="9">
      <c r="B9" s="146" t="s">
        <v>97</v>
      </c>
      <c r="C9" s="147">
        <v>9000000.0</v>
      </c>
      <c r="D9" s="152">
        <v>30.0</v>
      </c>
      <c r="E9" s="149">
        <f>C9*ParaFiscales!$C$21</f>
        <v>360000</v>
      </c>
      <c r="F9" s="150">
        <f>C9*ParaFiscales!$C$20</f>
        <v>765000</v>
      </c>
      <c r="G9" s="150">
        <f t="shared" si="1"/>
        <v>1125000</v>
      </c>
      <c r="H9" s="150">
        <f>C9*ParaFiscales!$C$24</f>
        <v>360000</v>
      </c>
      <c r="I9" s="150">
        <f>C9*ParaFiscales!$C$23</f>
        <v>1080000</v>
      </c>
      <c r="J9" s="150">
        <f t="shared" si="2"/>
        <v>1440000</v>
      </c>
      <c r="K9" s="151"/>
      <c r="L9" s="143">
        <f t="shared" si="3"/>
        <v>9000000</v>
      </c>
      <c r="M9" s="144">
        <f t="shared" si="4"/>
        <v>108000000</v>
      </c>
      <c r="N9" s="145">
        <v>47202.8</v>
      </c>
    </row>
    <row r="10">
      <c r="B10" s="36"/>
      <c r="C10" s="151"/>
      <c r="D10" s="51"/>
      <c r="E10" s="149">
        <f>C10*ParaFiscales!$C$21</f>
        <v>0</v>
      </c>
      <c r="F10" s="150">
        <f>C10*ParaFiscales!$C$20</f>
        <v>0</v>
      </c>
      <c r="G10" s="150">
        <f t="shared" si="1"/>
        <v>0</v>
      </c>
      <c r="H10" s="150">
        <f>C10*ParaFiscales!$C$24</f>
        <v>0</v>
      </c>
      <c r="I10" s="150">
        <f>C10*ParaFiscales!$C$23</f>
        <v>0</v>
      </c>
      <c r="J10" s="150">
        <f t="shared" si="2"/>
        <v>0</v>
      </c>
      <c r="K10" s="151"/>
      <c r="L10" s="150">
        <f t="shared" ref="L10:L16" si="5">(C10-E10-H10+K10)</f>
        <v>0</v>
      </c>
      <c r="M10" s="144">
        <f t="shared" si="4"/>
        <v>0</v>
      </c>
      <c r="N10" s="144">
        <f t="shared" ref="N10:N16" si="6">D10*12</f>
        <v>0</v>
      </c>
    </row>
    <row r="11">
      <c r="B11" s="36"/>
      <c r="C11" s="151"/>
      <c r="D11" s="51"/>
      <c r="E11" s="149">
        <f>C11*ParaFiscales!$C$21</f>
        <v>0</v>
      </c>
      <c r="F11" s="150">
        <f>C11*ParaFiscales!$C$20</f>
        <v>0</v>
      </c>
      <c r="G11" s="150">
        <f t="shared" si="1"/>
        <v>0</v>
      </c>
      <c r="H11" s="150">
        <f>C11*ParaFiscales!$C$24</f>
        <v>0</v>
      </c>
      <c r="I11" s="150">
        <f>C11*ParaFiscales!$C$23</f>
        <v>0</v>
      </c>
      <c r="J11" s="150">
        <f t="shared" si="2"/>
        <v>0</v>
      </c>
      <c r="K11" s="151"/>
      <c r="L11" s="150">
        <f t="shared" si="5"/>
        <v>0</v>
      </c>
      <c r="M11" s="144">
        <f t="shared" si="4"/>
        <v>0</v>
      </c>
      <c r="N11" s="144">
        <f t="shared" si="6"/>
        <v>0</v>
      </c>
    </row>
    <row r="12">
      <c r="B12" s="36"/>
      <c r="C12" s="151"/>
      <c r="D12" s="51"/>
      <c r="E12" s="149">
        <f>C12*ParaFiscales!$C$21</f>
        <v>0</v>
      </c>
      <c r="F12" s="150">
        <f>C12*ParaFiscales!$C$20</f>
        <v>0</v>
      </c>
      <c r="G12" s="150">
        <f t="shared" si="1"/>
        <v>0</v>
      </c>
      <c r="H12" s="150">
        <f>C12*ParaFiscales!$C$24</f>
        <v>0</v>
      </c>
      <c r="I12" s="150">
        <f>C12*ParaFiscales!$C$23</f>
        <v>0</v>
      </c>
      <c r="J12" s="150">
        <f t="shared" si="2"/>
        <v>0</v>
      </c>
      <c r="K12" s="151"/>
      <c r="L12" s="150">
        <f t="shared" si="5"/>
        <v>0</v>
      </c>
      <c r="M12" s="144">
        <f t="shared" si="4"/>
        <v>0</v>
      </c>
      <c r="N12" s="144">
        <f t="shared" si="6"/>
        <v>0</v>
      </c>
    </row>
    <row r="13">
      <c r="B13" s="36"/>
      <c r="C13" s="151"/>
      <c r="D13" s="51"/>
      <c r="E13" s="149">
        <f>C13*ParaFiscales!$C$21</f>
        <v>0</v>
      </c>
      <c r="F13" s="150">
        <f>C13*ParaFiscales!$C$20</f>
        <v>0</v>
      </c>
      <c r="G13" s="150">
        <f t="shared" si="1"/>
        <v>0</v>
      </c>
      <c r="H13" s="150">
        <f>C13*ParaFiscales!$C$24</f>
        <v>0</v>
      </c>
      <c r="I13" s="150">
        <f>C13*ParaFiscales!$C$23</f>
        <v>0</v>
      </c>
      <c r="J13" s="150">
        <f t="shared" si="2"/>
        <v>0</v>
      </c>
      <c r="K13" s="151"/>
      <c r="L13" s="150">
        <f t="shared" si="5"/>
        <v>0</v>
      </c>
      <c r="M13" s="144">
        <f t="shared" si="4"/>
        <v>0</v>
      </c>
      <c r="N13" s="144">
        <f t="shared" si="6"/>
        <v>0</v>
      </c>
    </row>
    <row r="14">
      <c r="B14" s="36"/>
      <c r="C14" s="151"/>
      <c r="D14" s="51"/>
      <c r="E14" s="149">
        <f>C14*ParaFiscales!$C$21</f>
        <v>0</v>
      </c>
      <c r="F14" s="150">
        <f>C14*ParaFiscales!$C$20</f>
        <v>0</v>
      </c>
      <c r="G14" s="150">
        <f t="shared" si="1"/>
        <v>0</v>
      </c>
      <c r="H14" s="150">
        <f>C14*ParaFiscales!$C$24</f>
        <v>0</v>
      </c>
      <c r="I14" s="150">
        <f>C14*ParaFiscales!$C$23</f>
        <v>0</v>
      </c>
      <c r="J14" s="150">
        <f t="shared" si="2"/>
        <v>0</v>
      </c>
      <c r="K14" s="151"/>
      <c r="L14" s="150">
        <f t="shared" si="5"/>
        <v>0</v>
      </c>
      <c r="M14" s="144">
        <f t="shared" si="4"/>
        <v>0</v>
      </c>
      <c r="N14" s="144">
        <f t="shared" si="6"/>
        <v>0</v>
      </c>
    </row>
    <row r="15">
      <c r="B15" s="36"/>
      <c r="C15" s="151"/>
      <c r="D15" s="51"/>
      <c r="E15" s="149">
        <f>C15*ParaFiscales!$C$21</f>
        <v>0</v>
      </c>
      <c r="F15" s="150">
        <f>C15*ParaFiscales!$C$20</f>
        <v>0</v>
      </c>
      <c r="G15" s="150">
        <f t="shared" si="1"/>
        <v>0</v>
      </c>
      <c r="H15" s="150">
        <f>C15*ParaFiscales!$C$24</f>
        <v>0</v>
      </c>
      <c r="I15" s="150">
        <f>C15*ParaFiscales!$C$23</f>
        <v>0</v>
      </c>
      <c r="J15" s="150">
        <f t="shared" si="2"/>
        <v>0</v>
      </c>
      <c r="K15" s="151"/>
      <c r="L15" s="150">
        <f t="shared" si="5"/>
        <v>0</v>
      </c>
      <c r="M15" s="144">
        <f t="shared" si="4"/>
        <v>0</v>
      </c>
      <c r="N15" s="144">
        <f t="shared" si="6"/>
        <v>0</v>
      </c>
    </row>
    <row r="16">
      <c r="B16" s="153"/>
      <c r="C16" s="154"/>
      <c r="D16" s="155"/>
      <c r="E16" s="149">
        <f>C16*ParaFiscales!$C$21</f>
        <v>0</v>
      </c>
      <c r="F16" s="150">
        <f>C16*ParaFiscales!$C$20</f>
        <v>0</v>
      </c>
      <c r="G16" s="150">
        <f t="shared" si="1"/>
        <v>0</v>
      </c>
      <c r="H16" s="150">
        <f>C16*ParaFiscales!$C$24</f>
        <v>0</v>
      </c>
      <c r="I16" s="150">
        <f>C16*ParaFiscales!$C$23</f>
        <v>0</v>
      </c>
      <c r="J16" s="150">
        <f t="shared" si="2"/>
        <v>0</v>
      </c>
      <c r="K16" s="154"/>
      <c r="L16" s="150">
        <f t="shared" si="5"/>
        <v>0</v>
      </c>
      <c r="M16" s="144">
        <f t="shared" si="4"/>
        <v>0</v>
      </c>
      <c r="N16" s="144">
        <f t="shared" si="6"/>
        <v>0</v>
      </c>
    </row>
    <row r="17">
      <c r="B17" s="82" t="s">
        <v>26</v>
      </c>
      <c r="C17" s="126">
        <f>SUM(C5:C16)</f>
        <v>21650905</v>
      </c>
      <c r="D17" s="82"/>
      <c r="E17" s="126">
        <f t="shared" ref="E17:N17" si="7">SUM(E5:E16)</f>
        <v>866036.2</v>
      </c>
      <c r="F17" s="126">
        <f t="shared" si="7"/>
        <v>1840326.925</v>
      </c>
      <c r="G17" s="126">
        <f t="shared" si="7"/>
        <v>2706363.125</v>
      </c>
      <c r="H17" s="126">
        <f t="shared" si="7"/>
        <v>866036.2</v>
      </c>
      <c r="I17" s="126">
        <f t="shared" si="7"/>
        <v>2598108.6</v>
      </c>
      <c r="J17" s="126">
        <f t="shared" si="7"/>
        <v>3464144.8</v>
      </c>
      <c r="K17" s="126">
        <f t="shared" si="7"/>
        <v>747285</v>
      </c>
      <c r="L17" s="156">
        <f t="shared" si="7"/>
        <v>22398190</v>
      </c>
      <c r="M17" s="126">
        <f t="shared" si="7"/>
        <v>259810860</v>
      </c>
      <c r="N17" s="126">
        <f t="shared" si="7"/>
        <v>117473.02</v>
      </c>
    </row>
    <row r="18">
      <c r="C18" s="157"/>
      <c r="E18" s="157"/>
      <c r="F18" s="157"/>
      <c r="G18" s="157"/>
      <c r="H18" s="157"/>
      <c r="I18" s="157"/>
      <c r="J18" s="157"/>
      <c r="K18" s="157"/>
      <c r="L18" s="157"/>
    </row>
    <row r="20">
      <c r="B20" s="158" t="s">
        <v>98</v>
      </c>
      <c r="C20" s="2"/>
      <c r="E20" s="158" t="s">
        <v>99</v>
      </c>
      <c r="F20" s="2"/>
      <c r="H20" s="158" t="s">
        <v>100</v>
      </c>
      <c r="I20" s="2"/>
    </row>
    <row r="21" ht="15.75" customHeight="1">
      <c r="B21" s="62" t="s">
        <v>48</v>
      </c>
      <c r="C21" s="159">
        <f>$C$5*ParaFiscales!C8</f>
        <v>35018.1</v>
      </c>
      <c r="E21" s="62" t="s">
        <v>48</v>
      </c>
      <c r="F21" s="159">
        <f>$C$6*ParaFiscales!$C$8</f>
        <v>40000</v>
      </c>
      <c r="H21" s="62" t="s">
        <v>48</v>
      </c>
      <c r="I21" s="159">
        <f>$C$7*ParaFiscales!$C$8</f>
        <v>58000</v>
      </c>
    </row>
    <row r="22" ht="15.75" customHeight="1">
      <c r="B22" s="64" t="s">
        <v>49</v>
      </c>
      <c r="C22" s="159">
        <f>$C$5*ParaFiscales!C9</f>
        <v>52527.15</v>
      </c>
      <c r="E22" s="64" t="s">
        <v>49</v>
      </c>
      <c r="F22" s="159">
        <f>$C$6*ParaFiscales!$C$9</f>
        <v>60000</v>
      </c>
      <c r="H22" s="64" t="s">
        <v>49</v>
      </c>
      <c r="I22" s="159">
        <f>$C$7*ParaFiscales!$C$9</f>
        <v>87000</v>
      </c>
    </row>
    <row r="23" ht="15.75" customHeight="1">
      <c r="B23" s="70" t="s">
        <v>50</v>
      </c>
      <c r="C23" s="159">
        <f>$C$5*ParaFiscales!C10</f>
        <v>70036.2</v>
      </c>
      <c r="E23" s="70" t="s">
        <v>50</v>
      </c>
      <c r="F23" s="159">
        <f>$C$6*ParaFiscales!$C$10</f>
        <v>80000</v>
      </c>
      <c r="H23" s="70" t="s">
        <v>50</v>
      </c>
      <c r="I23" s="159">
        <f>$C$7*ParaFiscales!$C$10</f>
        <v>116000</v>
      </c>
    </row>
    <row r="24" ht="15.75" customHeight="1">
      <c r="B24" s="160" t="s">
        <v>51</v>
      </c>
      <c r="C24" s="161">
        <f>SUM(C21:C23)</f>
        <v>157581.45</v>
      </c>
      <c r="E24" s="160" t="s">
        <v>51</v>
      </c>
      <c r="F24" s="161">
        <f>SUM(F21:F23)</f>
        <v>180000</v>
      </c>
      <c r="H24" s="160" t="s">
        <v>51</v>
      </c>
      <c r="I24" s="161">
        <f>SUM(I21:I23)</f>
        <v>261000</v>
      </c>
    </row>
    <row r="25" ht="15.75" customHeight="1">
      <c r="B25" s="14" t="s">
        <v>52</v>
      </c>
      <c r="C25" s="15"/>
      <c r="E25" s="14" t="s">
        <v>52</v>
      </c>
      <c r="F25" s="15"/>
      <c r="H25" s="14" t="s">
        <v>52</v>
      </c>
      <c r="I25" s="15"/>
    </row>
    <row r="26" ht="15.75" customHeight="1">
      <c r="B26" s="162" t="s">
        <v>53</v>
      </c>
      <c r="C26" s="95">
        <f>$C$5*ParaFiscales!C13</f>
        <v>145850.3865</v>
      </c>
      <c r="E26" s="162" t="s">
        <v>53</v>
      </c>
      <c r="F26" s="95">
        <f>$C$6*ParaFiscales!$C$13</f>
        <v>166600</v>
      </c>
      <c r="H26" s="162" t="s">
        <v>53</v>
      </c>
      <c r="I26" s="95">
        <f>$C$7*ParaFiscales!$C$13</f>
        <v>241570</v>
      </c>
    </row>
    <row r="27" ht="15.75" customHeight="1">
      <c r="B27" s="163" t="s">
        <v>54</v>
      </c>
      <c r="C27" s="95">
        <f>$C$5*ParaFiscales!C14</f>
        <v>17509.05</v>
      </c>
      <c r="E27" s="163" t="s">
        <v>54</v>
      </c>
      <c r="F27" s="95">
        <f>$C$6*ParaFiscales!$C$14</f>
        <v>20000</v>
      </c>
      <c r="H27" s="163" t="s">
        <v>54</v>
      </c>
      <c r="I27" s="95">
        <f>$C$7*ParaFiscales!$C$14</f>
        <v>29000</v>
      </c>
    </row>
    <row r="28" ht="15.75" customHeight="1">
      <c r="B28" s="163" t="s">
        <v>55</v>
      </c>
      <c r="C28" s="95">
        <f>$C$5*ParaFiscales!C15</f>
        <v>145850.3865</v>
      </c>
      <c r="E28" s="163" t="s">
        <v>55</v>
      </c>
      <c r="F28" s="95">
        <f>$C$6*ParaFiscales!$C$15</f>
        <v>166600</v>
      </c>
      <c r="H28" s="163" t="s">
        <v>55</v>
      </c>
      <c r="I28" s="95">
        <f>$C$7*ParaFiscales!$C$15</f>
        <v>241570</v>
      </c>
    </row>
    <row r="29" ht="15.75" customHeight="1">
      <c r="B29" s="164" t="s">
        <v>56</v>
      </c>
      <c r="C29" s="95">
        <f>$C$5*ParaFiscales!C16</f>
        <v>73012.7385</v>
      </c>
      <c r="E29" s="164" t="s">
        <v>56</v>
      </c>
      <c r="F29" s="95">
        <f>$C$6*ParaFiscales!$C$16</f>
        <v>83400</v>
      </c>
      <c r="H29" s="164" t="s">
        <v>56</v>
      </c>
      <c r="I29" s="95">
        <f>$C$7*ParaFiscales!$C$16</f>
        <v>120930</v>
      </c>
    </row>
    <row r="30" ht="15.75" customHeight="1">
      <c r="B30" s="160" t="s">
        <v>51</v>
      </c>
      <c r="C30" s="165">
        <f>SUM(C26:C29)</f>
        <v>382222.5615</v>
      </c>
      <c r="E30" s="160" t="s">
        <v>51</v>
      </c>
      <c r="F30" s="165">
        <f>SUM(F26:F29)</f>
        <v>436600</v>
      </c>
      <c r="H30" s="160" t="s">
        <v>51</v>
      </c>
      <c r="I30" s="165">
        <f>SUM(I26:I29)</f>
        <v>633070</v>
      </c>
    </row>
    <row r="31" ht="15.75" customHeight="1">
      <c r="B31" s="1" t="s">
        <v>57</v>
      </c>
      <c r="C31" s="2"/>
      <c r="E31" s="1" t="s">
        <v>57</v>
      </c>
      <c r="F31" s="2"/>
      <c r="H31" s="1" t="s">
        <v>57</v>
      </c>
      <c r="I31" s="2"/>
    </row>
    <row r="32" ht="15.75" customHeight="1">
      <c r="B32" s="76" t="s">
        <v>58</v>
      </c>
      <c r="C32" s="2"/>
      <c r="E32" s="76" t="s">
        <v>58</v>
      </c>
      <c r="F32" s="2"/>
      <c r="H32" s="76" t="s">
        <v>58</v>
      </c>
      <c r="I32" s="2"/>
    </row>
    <row r="33" ht="15.75" customHeight="1">
      <c r="B33" s="62" t="s">
        <v>59</v>
      </c>
      <c r="C33" s="95">
        <f>C$5*ParaFiscales!C20</f>
        <v>148826.925</v>
      </c>
      <c r="E33" s="62" t="s">
        <v>59</v>
      </c>
      <c r="F33" s="95">
        <f>C$6*ParaFiscales!$C$20</f>
        <v>170000</v>
      </c>
      <c r="H33" s="62" t="s">
        <v>59</v>
      </c>
      <c r="I33" s="95">
        <f>$C$7*ParaFiscales!$C$20</f>
        <v>246500</v>
      </c>
    </row>
    <row r="34" ht="15.75" customHeight="1">
      <c r="B34" s="76" t="s">
        <v>61</v>
      </c>
      <c r="C34" s="2"/>
      <c r="E34" s="76" t="s">
        <v>61</v>
      </c>
      <c r="F34" s="2"/>
      <c r="H34" s="76" t="s">
        <v>61</v>
      </c>
      <c r="I34" s="2"/>
    </row>
    <row r="35" ht="15.75" customHeight="1">
      <c r="B35" s="62" t="s">
        <v>59</v>
      </c>
      <c r="C35" s="95">
        <f>C$5*ParaFiscales!C23</f>
        <v>210108.6</v>
      </c>
      <c r="E35" s="62" t="s">
        <v>59</v>
      </c>
      <c r="F35" s="95">
        <f>C$6*ParaFiscales!$C$23</f>
        <v>240000</v>
      </c>
      <c r="H35" s="62" t="s">
        <v>59</v>
      </c>
      <c r="I35" s="95">
        <f>$C$7*ParaFiscales!$C$23</f>
        <v>348000</v>
      </c>
    </row>
    <row r="36" ht="15.75" customHeight="1">
      <c r="B36" s="166" t="s">
        <v>26</v>
      </c>
      <c r="C36" s="167">
        <f>SUM(C24+C30+C33+C35)</f>
        <v>898739.5365</v>
      </c>
      <c r="E36" s="166" t="s">
        <v>26</v>
      </c>
      <c r="F36" s="167">
        <f>SUM(F24+F30+F33+F35)</f>
        <v>1026600</v>
      </c>
      <c r="H36" s="166" t="s">
        <v>26</v>
      </c>
      <c r="I36" s="167">
        <f>SUM(I24+I30+I33+I35)</f>
        <v>1488570</v>
      </c>
    </row>
    <row r="37" ht="15.75" customHeight="1"/>
    <row r="38" ht="15.75" customHeight="1">
      <c r="E38" s="158" t="s">
        <v>101</v>
      </c>
      <c r="F38" s="2"/>
      <c r="H38" s="168" t="s">
        <v>102</v>
      </c>
      <c r="I38" s="2"/>
    </row>
    <row r="39" ht="15.75" customHeight="1">
      <c r="E39" s="62" t="s">
        <v>48</v>
      </c>
      <c r="F39" s="159">
        <f>$C$8*ParaFiscales!$C$8</f>
        <v>120000</v>
      </c>
      <c r="H39" s="62" t="s">
        <v>48</v>
      </c>
      <c r="I39" s="159">
        <f>$C$9*ParaFiscales!$C$8</f>
        <v>180000</v>
      </c>
    </row>
    <row r="40" ht="15.75" customHeight="1">
      <c r="E40" s="64" t="s">
        <v>49</v>
      </c>
      <c r="F40" s="159">
        <f>$C$8*ParaFiscales!$C$9</f>
        <v>180000</v>
      </c>
      <c r="H40" s="64" t="s">
        <v>49</v>
      </c>
      <c r="I40" s="159">
        <f>$C$9*ParaFiscales!$C$9</f>
        <v>270000</v>
      </c>
    </row>
    <row r="41" ht="15.75" customHeight="1">
      <c r="E41" s="70" t="s">
        <v>50</v>
      </c>
      <c r="F41" s="159">
        <f>$C$8*ParaFiscales!$C$10</f>
        <v>240000</v>
      </c>
      <c r="H41" s="70" t="s">
        <v>50</v>
      </c>
      <c r="I41" s="159">
        <f>$C$9*ParaFiscales!$C$10</f>
        <v>360000</v>
      </c>
    </row>
    <row r="42" ht="15.75" customHeight="1">
      <c r="E42" s="160" t="s">
        <v>51</v>
      </c>
      <c r="F42" s="161">
        <f>SUM(F39:F41)</f>
        <v>540000</v>
      </c>
      <c r="H42" s="160" t="s">
        <v>51</v>
      </c>
      <c r="I42" s="161">
        <f>SUM(I39:I41)</f>
        <v>810000</v>
      </c>
    </row>
    <row r="43" ht="15.75" customHeight="1">
      <c r="E43" s="14" t="s">
        <v>52</v>
      </c>
      <c r="F43" s="15"/>
      <c r="H43" s="14" t="s">
        <v>52</v>
      </c>
      <c r="I43" s="15"/>
    </row>
    <row r="44" ht="15.75" customHeight="1">
      <c r="E44" s="162" t="s">
        <v>53</v>
      </c>
      <c r="F44" s="95">
        <f>$C$8*ParaFiscales!$C$13</f>
        <v>499800</v>
      </c>
      <c r="H44" s="162" t="s">
        <v>53</v>
      </c>
      <c r="I44" s="95">
        <f>$C$9*ParaFiscales!$C$13</f>
        <v>749700</v>
      </c>
    </row>
    <row r="45" ht="15.75" customHeight="1">
      <c r="E45" s="163" t="s">
        <v>54</v>
      </c>
      <c r="F45" s="95">
        <f>$C$8*ParaFiscales!$C$14</f>
        <v>60000</v>
      </c>
      <c r="H45" s="163" t="s">
        <v>54</v>
      </c>
      <c r="I45" s="95">
        <f>$C$9*ParaFiscales!$C$14</f>
        <v>90000</v>
      </c>
    </row>
    <row r="46" ht="15.75" customHeight="1">
      <c r="E46" s="163" t="s">
        <v>55</v>
      </c>
      <c r="F46" s="95">
        <f>$C$8*ParaFiscales!$C$15</f>
        <v>499800</v>
      </c>
      <c r="H46" s="163" t="s">
        <v>55</v>
      </c>
      <c r="I46" s="95">
        <f>$C$9*ParaFiscales!$C$15</f>
        <v>749700</v>
      </c>
    </row>
    <row r="47" ht="15.75" customHeight="1">
      <c r="E47" s="164" t="s">
        <v>56</v>
      </c>
      <c r="F47" s="95">
        <f>$C$8*ParaFiscales!$C$16</f>
        <v>250200</v>
      </c>
      <c r="H47" s="164" t="s">
        <v>56</v>
      </c>
      <c r="I47" s="95">
        <f>$C$9*ParaFiscales!$C$16</f>
        <v>375300</v>
      </c>
    </row>
    <row r="48" ht="15.75" customHeight="1">
      <c r="E48" s="160" t="s">
        <v>51</v>
      </c>
      <c r="F48" s="165">
        <f>SUM(F44:F47)</f>
        <v>1309800</v>
      </c>
      <c r="H48" s="160" t="s">
        <v>51</v>
      </c>
      <c r="I48" s="165">
        <f>SUM(I44:I47)</f>
        <v>1964700</v>
      </c>
    </row>
    <row r="49" ht="15.75" customHeight="1">
      <c r="E49" s="1" t="s">
        <v>57</v>
      </c>
      <c r="F49" s="2"/>
      <c r="H49" s="1" t="s">
        <v>57</v>
      </c>
      <c r="I49" s="2"/>
    </row>
    <row r="50" ht="15.75" customHeight="1">
      <c r="E50" s="76" t="s">
        <v>58</v>
      </c>
      <c r="F50" s="2"/>
      <c r="H50" s="76" t="s">
        <v>58</v>
      </c>
      <c r="I50" s="2"/>
    </row>
    <row r="51" ht="15.75" customHeight="1">
      <c r="E51" s="62" t="s">
        <v>59</v>
      </c>
      <c r="F51" s="95">
        <f>$C$8*ParaFiscales!$C$20</f>
        <v>510000</v>
      </c>
      <c r="H51" s="62" t="s">
        <v>59</v>
      </c>
      <c r="I51" s="95">
        <f>$C$9*ParaFiscales!$C$20</f>
        <v>765000</v>
      </c>
    </row>
    <row r="52" ht="15.75" customHeight="1">
      <c r="E52" s="76" t="s">
        <v>61</v>
      </c>
      <c r="F52" s="2"/>
      <c r="H52" s="76" t="s">
        <v>61</v>
      </c>
      <c r="I52" s="2"/>
    </row>
    <row r="53" ht="15.75" customHeight="1">
      <c r="E53" s="62" t="s">
        <v>59</v>
      </c>
      <c r="F53" s="95">
        <f>$C$8*ParaFiscales!$C$23</f>
        <v>720000</v>
      </c>
      <c r="H53" s="62" t="s">
        <v>59</v>
      </c>
      <c r="I53" s="95">
        <f>$C$9*ParaFiscales!$C$23</f>
        <v>1080000</v>
      </c>
    </row>
    <row r="54" ht="15.75" customHeight="1">
      <c r="E54" s="166" t="s">
        <v>26</v>
      </c>
      <c r="F54" s="167">
        <f>SUM(F42+F48+F51+F53)</f>
        <v>3079800</v>
      </c>
      <c r="H54" s="166" t="s">
        <v>26</v>
      </c>
      <c r="I54" s="167">
        <f>SUM(I42+I48+I51+I53)</f>
        <v>4619700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20:C20"/>
    <mergeCell ref="B25:C25"/>
    <mergeCell ref="B31:C31"/>
    <mergeCell ref="B32:C32"/>
    <mergeCell ref="B34:C34"/>
    <mergeCell ref="E31:F31"/>
    <mergeCell ref="E32:F32"/>
    <mergeCell ref="E34:F34"/>
    <mergeCell ref="E49:F49"/>
    <mergeCell ref="E50:F50"/>
    <mergeCell ref="E52:F52"/>
    <mergeCell ref="H49:I49"/>
    <mergeCell ref="H50:I50"/>
    <mergeCell ref="H52:I52"/>
    <mergeCell ref="E25:F25"/>
    <mergeCell ref="H31:I31"/>
    <mergeCell ref="H32:I32"/>
    <mergeCell ref="H34:I34"/>
    <mergeCell ref="H25:I25"/>
    <mergeCell ref="E38:F38"/>
    <mergeCell ref="H38:I38"/>
    <mergeCell ref="E43:F43"/>
    <mergeCell ref="H43:I43"/>
    <mergeCell ref="B3:D3"/>
    <mergeCell ref="E3:G3"/>
    <mergeCell ref="H3:J3"/>
    <mergeCell ref="M3:M4"/>
    <mergeCell ref="E20:F20"/>
    <mergeCell ref="H20:I20"/>
    <mergeCell ref="N3:N4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32.29"/>
    <col customWidth="1" min="4" max="4" width="23.0"/>
    <col customWidth="1" min="5" max="5" width="30.29"/>
    <col customWidth="1" min="6" max="6" width="25.0"/>
    <col customWidth="1" min="7" max="7" width="24.71"/>
    <col customWidth="1" min="8" max="8" width="22.71"/>
    <col customWidth="1" min="9" max="26" width="11.43"/>
  </cols>
  <sheetData>
    <row r="3">
      <c r="C3" s="43" t="s">
        <v>103</v>
      </c>
      <c r="D3" s="30"/>
      <c r="E3" s="30"/>
      <c r="F3" s="2"/>
    </row>
    <row r="4">
      <c r="C4" s="46" t="s">
        <v>65</v>
      </c>
      <c r="D4" s="46" t="s">
        <v>67</v>
      </c>
      <c r="E4" s="46" t="s">
        <v>104</v>
      </c>
      <c r="F4" s="46" t="s">
        <v>105</v>
      </c>
    </row>
    <row r="5">
      <c r="C5" s="85" t="s">
        <v>106</v>
      </c>
      <c r="D5" s="48">
        <v>800000.0</v>
      </c>
      <c r="E5" s="95">
        <f t="shared" ref="E5:E15" si="1">D5</f>
        <v>800000</v>
      </c>
      <c r="F5" s="95">
        <f t="shared" ref="F5:F15" si="2">E5*12</f>
        <v>9600000</v>
      </c>
    </row>
    <row r="6">
      <c r="C6" s="36" t="s">
        <v>107</v>
      </c>
      <c r="D6" s="51">
        <v>200000.0</v>
      </c>
      <c r="E6" s="105">
        <f t="shared" si="1"/>
        <v>200000</v>
      </c>
      <c r="F6" s="105">
        <f t="shared" si="2"/>
        <v>2400000</v>
      </c>
    </row>
    <row r="7">
      <c r="C7" s="36" t="s">
        <v>108</v>
      </c>
      <c r="D7" s="51">
        <v>80000.0</v>
      </c>
      <c r="E7" s="105">
        <f t="shared" si="1"/>
        <v>80000</v>
      </c>
      <c r="F7" s="105">
        <f t="shared" si="2"/>
        <v>960000</v>
      </c>
    </row>
    <row r="8">
      <c r="C8" s="36" t="s">
        <v>109</v>
      </c>
      <c r="D8" s="51">
        <v>50000.0</v>
      </c>
      <c r="E8" s="105">
        <f t="shared" si="1"/>
        <v>50000</v>
      </c>
      <c r="F8" s="105">
        <f t="shared" si="2"/>
        <v>600000</v>
      </c>
    </row>
    <row r="9">
      <c r="C9" s="36" t="s">
        <v>110</v>
      </c>
      <c r="D9" s="51">
        <v>90000.0</v>
      </c>
      <c r="E9" s="105">
        <f t="shared" si="1"/>
        <v>90000</v>
      </c>
      <c r="F9" s="105">
        <f t="shared" si="2"/>
        <v>1080000</v>
      </c>
    </row>
    <row r="10">
      <c r="C10" s="36" t="s">
        <v>111</v>
      </c>
      <c r="D10" s="51">
        <v>120000.0</v>
      </c>
      <c r="E10" s="105">
        <f t="shared" si="1"/>
        <v>120000</v>
      </c>
      <c r="F10" s="105">
        <f t="shared" si="2"/>
        <v>1440000</v>
      </c>
    </row>
    <row r="11">
      <c r="C11" s="36"/>
      <c r="D11" s="51"/>
      <c r="E11" s="105" t="str">
        <f t="shared" si="1"/>
        <v/>
      </c>
      <c r="F11" s="105">
        <f t="shared" si="2"/>
        <v>0</v>
      </c>
    </row>
    <row r="12">
      <c r="C12" s="36"/>
      <c r="D12" s="51"/>
      <c r="E12" s="105" t="str">
        <f t="shared" si="1"/>
        <v/>
      </c>
      <c r="F12" s="105">
        <f t="shared" si="2"/>
        <v>0</v>
      </c>
    </row>
    <row r="13">
      <c r="C13" s="36"/>
      <c r="D13" s="51"/>
      <c r="E13" s="105" t="str">
        <f t="shared" si="1"/>
        <v/>
      </c>
      <c r="F13" s="105">
        <f t="shared" si="2"/>
        <v>0</v>
      </c>
    </row>
    <row r="14">
      <c r="C14" s="36"/>
      <c r="D14" s="51"/>
      <c r="E14" s="105" t="str">
        <f t="shared" si="1"/>
        <v/>
      </c>
      <c r="F14" s="105">
        <f t="shared" si="2"/>
        <v>0</v>
      </c>
    </row>
    <row r="15">
      <c r="C15" s="153"/>
      <c r="D15" s="155"/>
      <c r="E15" s="105" t="str">
        <f t="shared" si="1"/>
        <v/>
      </c>
      <c r="F15" s="105">
        <f t="shared" si="2"/>
        <v>0</v>
      </c>
    </row>
    <row r="16">
      <c r="C16" s="82" t="s">
        <v>51</v>
      </c>
      <c r="D16" s="126">
        <f t="shared" ref="D16:F16" si="3">SUM(D5:D15)</f>
        <v>1340000</v>
      </c>
      <c r="E16" s="126">
        <f t="shared" si="3"/>
        <v>1340000</v>
      </c>
      <c r="F16" s="126">
        <f t="shared" si="3"/>
        <v>16080000</v>
      </c>
    </row>
    <row r="18">
      <c r="C18" s="1" t="s">
        <v>112</v>
      </c>
      <c r="D18" s="30"/>
      <c r="E18" s="30"/>
      <c r="F18" s="30"/>
      <c r="G18" s="30"/>
      <c r="H18" s="2"/>
    </row>
    <row r="19">
      <c r="C19" s="46" t="s">
        <v>65</v>
      </c>
      <c r="D19" s="46" t="s">
        <v>33</v>
      </c>
      <c r="E19" s="46" t="s">
        <v>34</v>
      </c>
      <c r="F19" s="46" t="s">
        <v>35</v>
      </c>
      <c r="G19" s="46" t="s">
        <v>36</v>
      </c>
      <c r="H19" s="46" t="s">
        <v>37</v>
      </c>
    </row>
    <row r="20">
      <c r="C20" s="169" t="str">
        <f t="shared" ref="C20:C26" si="4">C5</f>
        <v>Arrendamiento</v>
      </c>
      <c r="D20" s="95">
        <f t="shared" ref="D20:D26" si="5">F5</f>
        <v>9600000</v>
      </c>
      <c r="E20" s="142">
        <f>(D20*'Datos Economicos'!$E$20)+D20</f>
        <v>9936000</v>
      </c>
      <c r="F20" s="143">
        <f>(E20*'Datos Economicos'!$F$20)+E20</f>
        <v>10303632</v>
      </c>
      <c r="G20" s="143">
        <f>(F20*'Datos Economicos'!$G$20)+F20</f>
        <v>10633348.22</v>
      </c>
      <c r="H20" s="95">
        <f>(G20*'Datos Economicos'!$H$20)+G20</f>
        <v>10962982.02</v>
      </c>
    </row>
    <row r="21" ht="15.75" customHeight="1">
      <c r="C21" s="170" t="str">
        <f t="shared" si="4"/>
        <v>Servicios Publicos</v>
      </c>
      <c r="D21" s="105">
        <f t="shared" si="5"/>
        <v>2400000</v>
      </c>
      <c r="E21" s="149">
        <f>(D21*'Datos Economicos'!$E$20)+D21</f>
        <v>2484000</v>
      </c>
      <c r="F21" s="150">
        <f>(E21*'Datos Economicos'!$F$20)+E21</f>
        <v>2575908</v>
      </c>
      <c r="G21" s="150">
        <f>(F21*'Datos Economicos'!$G$20)+F21</f>
        <v>2658337.056</v>
      </c>
      <c r="H21" s="105">
        <f>(G21*'Datos Economicos'!$H$20)+G21</f>
        <v>2740745.505</v>
      </c>
    </row>
    <row r="22" ht="15.75" customHeight="1">
      <c r="C22" s="170" t="str">
        <f t="shared" si="4"/>
        <v>Suministros de Oficina</v>
      </c>
      <c r="D22" s="105">
        <f t="shared" si="5"/>
        <v>960000</v>
      </c>
      <c r="E22" s="149">
        <f>(D22*'Datos Economicos'!$E$20)+D22</f>
        <v>993600</v>
      </c>
      <c r="F22" s="150">
        <f>(E22*'Datos Economicos'!$F$20)+E22</f>
        <v>1030363.2</v>
      </c>
      <c r="G22" s="150">
        <f>(F22*'Datos Economicos'!$G$20)+F22</f>
        <v>1063334.822</v>
      </c>
      <c r="H22" s="105">
        <f>(G22*'Datos Economicos'!$H$20)+G22</f>
        <v>1096298.202</v>
      </c>
    </row>
    <row r="23" ht="15.75" customHeight="1">
      <c r="C23" s="170" t="str">
        <f t="shared" si="4"/>
        <v>Aseo e Higiene</v>
      </c>
      <c r="D23" s="105">
        <f t="shared" si="5"/>
        <v>600000</v>
      </c>
      <c r="E23" s="149">
        <f>(D23*'Datos Economicos'!$E$20)+D23</f>
        <v>621000</v>
      </c>
      <c r="F23" s="150">
        <f>(E23*'Datos Economicos'!$F$20)+E23</f>
        <v>643977</v>
      </c>
      <c r="G23" s="150">
        <f>(F23*'Datos Economicos'!$G$20)+F23</f>
        <v>664584.264</v>
      </c>
      <c r="H23" s="105">
        <f>(G23*'Datos Economicos'!$H$20)+G23</f>
        <v>685186.3762</v>
      </c>
    </row>
    <row r="24" ht="15.75" customHeight="1">
      <c r="C24" s="170" t="str">
        <f t="shared" si="4"/>
        <v>Telefonia</v>
      </c>
      <c r="D24" s="105">
        <f t="shared" si="5"/>
        <v>1080000</v>
      </c>
      <c r="E24" s="149">
        <f>(D24*'Datos Economicos'!$E$20)+D24</f>
        <v>1117800</v>
      </c>
      <c r="F24" s="150">
        <f>(E24*'Datos Economicos'!$F$20)+E24</f>
        <v>1159158.6</v>
      </c>
      <c r="G24" s="150">
        <f>(F24*'Datos Economicos'!$G$20)+F24</f>
        <v>1196251.675</v>
      </c>
      <c r="H24" s="105">
        <f>(G24*'Datos Economicos'!$H$20)+G24</f>
        <v>1233335.477</v>
      </c>
    </row>
    <row r="25" ht="15.75" customHeight="1">
      <c r="C25" s="170" t="str">
        <f t="shared" si="4"/>
        <v>Internet</v>
      </c>
      <c r="D25" s="105">
        <f t="shared" si="5"/>
        <v>1440000</v>
      </c>
      <c r="E25" s="149">
        <f>(D25*'Datos Economicos'!$E$20)+D25</f>
        <v>1490400</v>
      </c>
      <c r="F25" s="150">
        <f>(E25*'Datos Economicos'!$F$20)+E25</f>
        <v>1545544.8</v>
      </c>
      <c r="G25" s="150">
        <f>(F25*'Datos Economicos'!$G$20)+F25</f>
        <v>1595002.234</v>
      </c>
      <c r="H25" s="105">
        <f>(G25*'Datos Economicos'!$H$20)+G25</f>
        <v>1644447.303</v>
      </c>
    </row>
    <row r="26" ht="15.75" customHeight="1">
      <c r="C26" s="170" t="str">
        <f t="shared" si="4"/>
        <v/>
      </c>
      <c r="D26" s="105">
        <f t="shared" si="5"/>
        <v>0</v>
      </c>
      <c r="E26" s="149">
        <f>(D26*'Datos Economicos'!$E$20)+D26</f>
        <v>0</v>
      </c>
      <c r="F26" s="150">
        <f>(E26*'Datos Economicos'!$F$20)+E26</f>
        <v>0</v>
      </c>
      <c r="G26" s="150">
        <f>(F26*'Datos Economicos'!$G$20)+F26</f>
        <v>0</v>
      </c>
      <c r="H26" s="105">
        <f>(G26*'Datos Economicos'!$H$20)+G26</f>
        <v>0</v>
      </c>
    </row>
    <row r="27" ht="15.75" customHeight="1">
      <c r="C27" s="170"/>
      <c r="D27" s="105"/>
      <c r="E27" s="149"/>
      <c r="F27" s="150"/>
      <c r="G27" s="150"/>
      <c r="H27" s="105"/>
    </row>
    <row r="28" ht="15.75" customHeight="1">
      <c r="C28" s="170"/>
      <c r="D28" s="105"/>
      <c r="E28" s="149"/>
      <c r="F28" s="150"/>
      <c r="G28" s="150"/>
      <c r="H28" s="105"/>
    </row>
    <row r="29" ht="15.75" customHeight="1">
      <c r="C29" s="170"/>
      <c r="D29" s="105"/>
      <c r="E29" s="149"/>
      <c r="F29" s="150"/>
      <c r="G29" s="150"/>
      <c r="H29" s="105"/>
    </row>
    <row r="30" ht="15.75" customHeight="1">
      <c r="C30" s="171"/>
      <c r="D30" s="172"/>
      <c r="E30" s="173"/>
      <c r="F30" s="174"/>
      <c r="G30" s="174"/>
      <c r="H30" s="172"/>
    </row>
    <row r="31" ht="15.75" customHeight="1">
      <c r="C31" s="125" t="s">
        <v>51</v>
      </c>
      <c r="D31" s="175">
        <f t="shared" ref="D31:H31" si="6">SUM(D20:D30)</f>
        <v>16080000</v>
      </c>
      <c r="E31" s="175">
        <f t="shared" si="6"/>
        <v>16642800</v>
      </c>
      <c r="F31" s="175">
        <f t="shared" si="6"/>
        <v>17258583.6</v>
      </c>
      <c r="G31" s="175">
        <f t="shared" si="6"/>
        <v>17810858.28</v>
      </c>
      <c r="H31" s="175">
        <f t="shared" si="6"/>
        <v>18362994.88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3:F3"/>
    <mergeCell ref="C18:H18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23.0"/>
    <col customWidth="1" min="4" max="4" width="17.86"/>
    <col customWidth="1" min="5" max="5" width="21.29"/>
    <col customWidth="1" min="6" max="6" width="22.0"/>
    <col customWidth="1" min="7" max="7" width="18.57"/>
    <col customWidth="1" min="8" max="8" width="19.57"/>
    <col customWidth="1" min="9" max="26" width="11.43"/>
  </cols>
  <sheetData>
    <row r="3">
      <c r="C3" s="43" t="s">
        <v>103</v>
      </c>
      <c r="D3" s="30"/>
      <c r="E3" s="30"/>
      <c r="F3" s="2"/>
    </row>
    <row r="4">
      <c r="C4" s="46" t="s">
        <v>65</v>
      </c>
      <c r="D4" s="46" t="s">
        <v>67</v>
      </c>
      <c r="E4" s="46" t="s">
        <v>104</v>
      </c>
      <c r="F4" s="46" t="s">
        <v>105</v>
      </c>
    </row>
    <row r="5">
      <c r="C5" s="85"/>
      <c r="D5" s="48"/>
      <c r="E5" s="95" t="str">
        <f t="shared" ref="E5:E15" si="1">D5</f>
        <v/>
      </c>
      <c r="F5" s="95">
        <f t="shared" ref="F5:F15" si="2">E5*12</f>
        <v>0</v>
      </c>
    </row>
    <row r="6">
      <c r="C6" s="36"/>
      <c r="D6" s="51"/>
      <c r="E6" s="105" t="str">
        <f t="shared" si="1"/>
        <v/>
      </c>
      <c r="F6" s="105">
        <f t="shared" si="2"/>
        <v>0</v>
      </c>
    </row>
    <row r="7">
      <c r="C7" s="36"/>
      <c r="D7" s="51"/>
      <c r="E7" s="105" t="str">
        <f t="shared" si="1"/>
        <v/>
      </c>
      <c r="F7" s="105">
        <f t="shared" si="2"/>
        <v>0</v>
      </c>
    </row>
    <row r="8">
      <c r="C8" s="36"/>
      <c r="D8" s="51"/>
      <c r="E8" s="105" t="str">
        <f t="shared" si="1"/>
        <v/>
      </c>
      <c r="F8" s="105">
        <f t="shared" si="2"/>
        <v>0</v>
      </c>
    </row>
    <row r="9">
      <c r="C9" s="36"/>
      <c r="D9" s="51"/>
      <c r="E9" s="105" t="str">
        <f t="shared" si="1"/>
        <v/>
      </c>
      <c r="F9" s="105">
        <f t="shared" si="2"/>
        <v>0</v>
      </c>
    </row>
    <row r="10">
      <c r="C10" s="36"/>
      <c r="D10" s="51"/>
      <c r="E10" s="105" t="str">
        <f t="shared" si="1"/>
        <v/>
      </c>
      <c r="F10" s="105">
        <f t="shared" si="2"/>
        <v>0</v>
      </c>
    </row>
    <row r="11">
      <c r="C11" s="36"/>
      <c r="D11" s="51"/>
      <c r="E11" s="105" t="str">
        <f t="shared" si="1"/>
        <v/>
      </c>
      <c r="F11" s="105">
        <f t="shared" si="2"/>
        <v>0</v>
      </c>
    </row>
    <row r="12">
      <c r="C12" s="36"/>
      <c r="D12" s="51"/>
      <c r="E12" s="105" t="str">
        <f t="shared" si="1"/>
        <v/>
      </c>
      <c r="F12" s="105">
        <f t="shared" si="2"/>
        <v>0</v>
      </c>
    </row>
    <row r="13">
      <c r="C13" s="36"/>
      <c r="D13" s="51"/>
      <c r="E13" s="105" t="str">
        <f t="shared" si="1"/>
        <v/>
      </c>
      <c r="F13" s="105">
        <f t="shared" si="2"/>
        <v>0</v>
      </c>
    </row>
    <row r="14">
      <c r="C14" s="36"/>
      <c r="D14" s="51"/>
      <c r="E14" s="105" t="str">
        <f t="shared" si="1"/>
        <v/>
      </c>
      <c r="F14" s="105">
        <f t="shared" si="2"/>
        <v>0</v>
      </c>
    </row>
    <row r="15">
      <c r="C15" s="153"/>
      <c r="D15" s="155"/>
      <c r="E15" s="105" t="str">
        <f t="shared" si="1"/>
        <v/>
      </c>
      <c r="F15" s="105">
        <f t="shared" si="2"/>
        <v>0</v>
      </c>
    </row>
    <row r="16">
      <c r="C16" s="82" t="s">
        <v>51</v>
      </c>
      <c r="D16" s="126">
        <f t="shared" ref="D16:F16" si="3">SUM(D5:D15)</f>
        <v>0</v>
      </c>
      <c r="E16" s="126">
        <f t="shared" si="3"/>
        <v>0</v>
      </c>
      <c r="F16" s="126">
        <f t="shared" si="3"/>
        <v>0</v>
      </c>
    </row>
    <row r="18">
      <c r="C18" s="1" t="s">
        <v>113</v>
      </c>
      <c r="D18" s="30"/>
      <c r="E18" s="30"/>
      <c r="F18" s="30"/>
      <c r="G18" s="30"/>
      <c r="H18" s="2"/>
    </row>
    <row r="19">
      <c r="C19" s="46" t="s">
        <v>65</v>
      </c>
      <c r="D19" s="46" t="s">
        <v>33</v>
      </c>
      <c r="E19" s="46" t="s">
        <v>34</v>
      </c>
      <c r="F19" s="46" t="s">
        <v>35</v>
      </c>
      <c r="G19" s="46" t="s">
        <v>36</v>
      </c>
      <c r="H19" s="46" t="s">
        <v>37</v>
      </c>
    </row>
    <row r="20">
      <c r="C20" s="169" t="str">
        <f t="shared" ref="C20:C22" si="4">C5</f>
        <v/>
      </c>
      <c r="D20" s="95">
        <f t="shared" ref="D20:D22" si="5">F5</f>
        <v>0</v>
      </c>
      <c r="E20" s="142">
        <f>(D20*'Datos Economicos'!$E$20)+D20</f>
        <v>0</v>
      </c>
      <c r="F20" s="143">
        <f>(E20*'Datos Economicos'!$F$20)+E20</f>
        <v>0</v>
      </c>
      <c r="G20" s="143">
        <f>(F20*'Datos Economicos'!$G$20)+F20</f>
        <v>0</v>
      </c>
      <c r="H20" s="95">
        <f>(G20*'Datos Economicos'!$H$20)+G20</f>
        <v>0</v>
      </c>
    </row>
    <row r="21" ht="15.75" customHeight="1">
      <c r="C21" s="170" t="str">
        <f t="shared" si="4"/>
        <v/>
      </c>
      <c r="D21" s="105">
        <f t="shared" si="5"/>
        <v>0</v>
      </c>
      <c r="E21" s="149">
        <f>(D21*'Datos Economicos'!$E$20)+D21</f>
        <v>0</v>
      </c>
      <c r="F21" s="150">
        <f>(E21*'Datos Economicos'!$F$20)+E21</f>
        <v>0</v>
      </c>
      <c r="G21" s="150">
        <f>(F21*'Datos Economicos'!$G$20)+F21</f>
        <v>0</v>
      </c>
      <c r="H21" s="105">
        <f>(G21*'Datos Economicos'!$H$20)+G21</f>
        <v>0</v>
      </c>
    </row>
    <row r="22" ht="15.75" customHeight="1">
      <c r="C22" s="170" t="str">
        <f t="shared" si="4"/>
        <v/>
      </c>
      <c r="D22" s="105">
        <f t="shared" si="5"/>
        <v>0</v>
      </c>
      <c r="E22" s="149">
        <f>(D22*'Datos Economicos'!$E$20)+D22</f>
        <v>0</v>
      </c>
      <c r="F22" s="150">
        <f>(E22*'Datos Economicos'!$F$20)+E22</f>
        <v>0</v>
      </c>
      <c r="G22" s="150">
        <f>(F22*'Datos Economicos'!$G$20)+F22</f>
        <v>0</v>
      </c>
      <c r="H22" s="105">
        <f>(G22*'Datos Economicos'!$H$20)+G22</f>
        <v>0</v>
      </c>
    </row>
    <row r="23" ht="15.75" customHeight="1">
      <c r="C23" s="170"/>
      <c r="D23" s="105"/>
      <c r="E23" s="149"/>
      <c r="F23" s="150"/>
      <c r="G23" s="150"/>
      <c r="H23" s="105"/>
    </row>
    <row r="24" ht="15.75" customHeight="1">
      <c r="C24" s="170"/>
      <c r="D24" s="105"/>
      <c r="E24" s="149"/>
      <c r="F24" s="150"/>
      <c r="G24" s="150"/>
      <c r="H24" s="105"/>
    </row>
    <row r="25" ht="15.75" customHeight="1">
      <c r="C25" s="170"/>
      <c r="D25" s="105"/>
      <c r="E25" s="149"/>
      <c r="F25" s="150"/>
      <c r="G25" s="150"/>
      <c r="H25" s="105"/>
    </row>
    <row r="26" ht="15.75" customHeight="1">
      <c r="C26" s="170"/>
      <c r="D26" s="105"/>
      <c r="E26" s="149"/>
      <c r="F26" s="150"/>
      <c r="G26" s="150"/>
      <c r="H26" s="105"/>
    </row>
    <row r="27" ht="15.75" customHeight="1">
      <c r="C27" s="170"/>
      <c r="D27" s="105"/>
      <c r="E27" s="149"/>
      <c r="F27" s="150"/>
      <c r="G27" s="150"/>
      <c r="H27" s="105"/>
    </row>
    <row r="28" ht="15.75" customHeight="1">
      <c r="C28" s="170"/>
      <c r="D28" s="105"/>
      <c r="E28" s="149"/>
      <c r="F28" s="150"/>
      <c r="G28" s="150"/>
      <c r="H28" s="105"/>
    </row>
    <row r="29" ht="15.75" customHeight="1">
      <c r="C29" s="170"/>
      <c r="D29" s="105"/>
      <c r="E29" s="149"/>
      <c r="F29" s="150"/>
      <c r="G29" s="150"/>
      <c r="H29" s="105"/>
    </row>
    <row r="30" ht="15.75" customHeight="1">
      <c r="C30" s="171"/>
      <c r="D30" s="172"/>
      <c r="E30" s="173"/>
      <c r="F30" s="174"/>
      <c r="G30" s="174"/>
      <c r="H30" s="172"/>
    </row>
    <row r="31" ht="15.75" customHeight="1">
      <c r="C31" s="125" t="s">
        <v>51</v>
      </c>
      <c r="D31" s="175">
        <f t="shared" ref="D31:H31" si="6">SUM(D20:D30)</f>
        <v>0</v>
      </c>
      <c r="E31" s="175">
        <f t="shared" si="6"/>
        <v>0</v>
      </c>
      <c r="F31" s="175">
        <f t="shared" si="6"/>
        <v>0</v>
      </c>
      <c r="G31" s="175">
        <f t="shared" si="6"/>
        <v>0</v>
      </c>
      <c r="H31" s="175">
        <f t="shared" si="6"/>
        <v>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3:F3"/>
    <mergeCell ref="C18:H1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5.0"/>
    <col customWidth="1" min="3" max="3" width="22.43"/>
    <col customWidth="1" min="4" max="4" width="21.14"/>
    <col customWidth="1" min="5" max="5" width="21.71"/>
    <col customWidth="1" min="6" max="6" width="21.0"/>
    <col customWidth="1" min="7" max="7" width="17.0"/>
    <col customWidth="1" min="8" max="8" width="20.29"/>
    <col customWidth="1" min="9" max="26" width="11.43"/>
  </cols>
  <sheetData>
    <row r="2">
      <c r="B2" s="44" t="s">
        <v>19</v>
      </c>
      <c r="C2" s="176" t="str">
        <f>'Estructura de Mercado'!B8</f>
        <v>Asistnte</v>
      </c>
      <c r="D2" s="30"/>
      <c r="E2" s="30"/>
      <c r="F2" s="30"/>
      <c r="G2" s="30"/>
      <c r="H2" s="2"/>
    </row>
    <row r="4">
      <c r="B4" s="1" t="s">
        <v>114</v>
      </c>
      <c r="C4" s="30"/>
      <c r="D4" s="30"/>
      <c r="E4" s="30"/>
      <c r="F4" s="30"/>
      <c r="G4" s="30"/>
      <c r="H4" s="2"/>
    </row>
    <row r="5">
      <c r="B5" s="44" t="s">
        <v>65</v>
      </c>
      <c r="C5" s="44" t="s">
        <v>115</v>
      </c>
      <c r="D5" s="44" t="s">
        <v>33</v>
      </c>
      <c r="E5" s="44" t="s">
        <v>34</v>
      </c>
      <c r="F5" s="44" t="s">
        <v>35</v>
      </c>
      <c r="G5" s="44" t="s">
        <v>36</v>
      </c>
      <c r="H5" s="44" t="s">
        <v>37</v>
      </c>
    </row>
    <row r="6">
      <c r="B6" s="177" t="s">
        <v>116</v>
      </c>
      <c r="C6" s="95">
        <f>F28</f>
        <v>0</v>
      </c>
      <c r="D6" s="95">
        <f>C6</f>
        <v>0</v>
      </c>
      <c r="E6" s="95">
        <f>(D6*'Datos Economicos'!E21)+D6</f>
        <v>0</v>
      </c>
      <c r="F6" s="95">
        <f>(E6*'Datos Economicos'!F21)+E6</f>
        <v>0</v>
      </c>
      <c r="G6" s="95">
        <f>(F6*'Datos Economicos'!G21)+F6</f>
        <v>0</v>
      </c>
      <c r="H6" s="95">
        <f>(G6*'Datos Economicos'!H21)+G6</f>
        <v>0</v>
      </c>
    </row>
    <row r="7">
      <c r="B7" s="37"/>
      <c r="C7" s="105"/>
      <c r="D7" s="105"/>
      <c r="E7" s="105"/>
      <c r="F7" s="105"/>
      <c r="G7" s="105"/>
      <c r="H7" s="105"/>
    </row>
    <row r="8">
      <c r="B8" s="37"/>
      <c r="C8" s="105"/>
      <c r="D8" s="105"/>
      <c r="E8" s="105"/>
      <c r="F8" s="105"/>
      <c r="G8" s="105"/>
      <c r="H8" s="105"/>
    </row>
    <row r="9">
      <c r="B9" s="178"/>
      <c r="C9" s="172"/>
      <c r="D9" s="172"/>
      <c r="E9" s="172"/>
      <c r="F9" s="172"/>
      <c r="G9" s="172"/>
      <c r="H9" s="172"/>
    </row>
    <row r="10">
      <c r="B10" s="82" t="s">
        <v>51</v>
      </c>
      <c r="C10" s="126">
        <f t="shared" ref="C10:H10" si="1">SUM(C6:C9)</f>
        <v>0</v>
      </c>
      <c r="D10" s="126">
        <f t="shared" si="1"/>
        <v>0</v>
      </c>
      <c r="E10" s="126">
        <f t="shared" si="1"/>
        <v>0</v>
      </c>
      <c r="F10" s="126">
        <f t="shared" si="1"/>
        <v>0</v>
      </c>
      <c r="G10" s="126">
        <f t="shared" si="1"/>
        <v>0</v>
      </c>
      <c r="H10" s="126">
        <f t="shared" si="1"/>
        <v>0</v>
      </c>
    </row>
    <row r="13">
      <c r="B13" s="43" t="s">
        <v>117</v>
      </c>
      <c r="C13" s="30"/>
      <c r="D13" s="30"/>
      <c r="E13" s="30"/>
      <c r="F13" s="2"/>
      <c r="G13" s="179"/>
      <c r="H13" s="179"/>
    </row>
    <row r="14">
      <c r="B14" s="46" t="s">
        <v>118</v>
      </c>
      <c r="C14" s="46" t="s">
        <v>119</v>
      </c>
      <c r="D14" s="46" t="s">
        <v>75</v>
      </c>
      <c r="E14" s="46" t="s">
        <v>120</v>
      </c>
      <c r="F14" s="46" t="s">
        <v>121</v>
      </c>
    </row>
    <row r="15">
      <c r="B15" s="85" t="s">
        <v>122</v>
      </c>
      <c r="C15" s="85" t="s">
        <v>119</v>
      </c>
      <c r="D15" s="48">
        <v>0.0</v>
      </c>
      <c r="E15" s="85">
        <v>1.0</v>
      </c>
      <c r="F15" s="95">
        <f t="shared" ref="F15:F27" si="2">D15*E15</f>
        <v>0</v>
      </c>
    </row>
    <row r="16">
      <c r="B16" s="36" t="s">
        <v>123</v>
      </c>
      <c r="C16" s="36" t="s">
        <v>119</v>
      </c>
      <c r="D16" s="51">
        <v>0.0</v>
      </c>
      <c r="E16" s="36">
        <v>1.0</v>
      </c>
      <c r="F16" s="105">
        <f t="shared" si="2"/>
        <v>0</v>
      </c>
    </row>
    <row r="17">
      <c r="B17" s="36" t="s">
        <v>124</v>
      </c>
      <c r="C17" s="36" t="s">
        <v>119</v>
      </c>
      <c r="D17" s="51">
        <v>0.0</v>
      </c>
      <c r="E17" s="36">
        <v>1.0</v>
      </c>
      <c r="F17" s="105">
        <f t="shared" si="2"/>
        <v>0</v>
      </c>
    </row>
    <row r="18">
      <c r="B18" s="36" t="s">
        <v>125</v>
      </c>
      <c r="C18" s="36" t="s">
        <v>119</v>
      </c>
      <c r="D18" s="51">
        <v>0.0</v>
      </c>
      <c r="E18" s="36">
        <v>1.0</v>
      </c>
      <c r="F18" s="105">
        <f t="shared" si="2"/>
        <v>0</v>
      </c>
    </row>
    <row r="19">
      <c r="B19" s="36" t="s">
        <v>126</v>
      </c>
      <c r="C19" s="36" t="s">
        <v>119</v>
      </c>
      <c r="D19" s="51">
        <v>0.0</v>
      </c>
      <c r="E19" s="36">
        <v>1.0</v>
      </c>
      <c r="F19" s="105">
        <f t="shared" si="2"/>
        <v>0</v>
      </c>
    </row>
    <row r="20">
      <c r="B20" s="36" t="s">
        <v>127</v>
      </c>
      <c r="C20" s="36" t="s">
        <v>119</v>
      </c>
      <c r="D20" s="51">
        <v>0.0</v>
      </c>
      <c r="E20" s="36">
        <v>1.0</v>
      </c>
      <c r="F20" s="105">
        <f t="shared" si="2"/>
        <v>0</v>
      </c>
    </row>
    <row r="21" ht="15.75" customHeight="1">
      <c r="B21" s="36"/>
      <c r="C21" s="36"/>
      <c r="D21" s="51">
        <v>0.0</v>
      </c>
      <c r="E21" s="36"/>
      <c r="F21" s="105">
        <f t="shared" si="2"/>
        <v>0</v>
      </c>
    </row>
    <row r="22" ht="15.75" customHeight="1">
      <c r="B22" s="36"/>
      <c r="C22" s="36"/>
      <c r="D22" s="51">
        <v>0.0</v>
      </c>
      <c r="E22" s="36"/>
      <c r="F22" s="105">
        <f t="shared" si="2"/>
        <v>0</v>
      </c>
    </row>
    <row r="23" ht="15.75" customHeight="1">
      <c r="B23" s="36"/>
      <c r="C23" s="36"/>
      <c r="D23" s="51">
        <v>0.0</v>
      </c>
      <c r="E23" s="36"/>
      <c r="F23" s="105">
        <f t="shared" si="2"/>
        <v>0</v>
      </c>
    </row>
    <row r="24" ht="15.75" customHeight="1">
      <c r="B24" s="36"/>
      <c r="C24" s="36"/>
      <c r="D24" s="51">
        <v>0.0</v>
      </c>
      <c r="E24" s="36"/>
      <c r="F24" s="105">
        <f t="shared" si="2"/>
        <v>0</v>
      </c>
    </row>
    <row r="25" ht="15.75" customHeight="1">
      <c r="B25" s="36"/>
      <c r="C25" s="36"/>
      <c r="D25" s="51">
        <v>0.0</v>
      </c>
      <c r="E25" s="36"/>
      <c r="F25" s="105">
        <f t="shared" si="2"/>
        <v>0</v>
      </c>
    </row>
    <row r="26" ht="15.75" customHeight="1">
      <c r="B26" s="36"/>
      <c r="C26" s="36"/>
      <c r="D26" s="51">
        <v>0.0</v>
      </c>
      <c r="E26" s="36"/>
      <c r="F26" s="105">
        <f t="shared" si="2"/>
        <v>0</v>
      </c>
    </row>
    <row r="27" ht="15.75" customHeight="1">
      <c r="B27" s="153"/>
      <c r="C27" s="153"/>
      <c r="D27" s="51">
        <v>0.0</v>
      </c>
      <c r="E27" s="153"/>
      <c r="F27" s="105">
        <f t="shared" si="2"/>
        <v>0</v>
      </c>
    </row>
    <row r="28" ht="15.75" customHeight="1">
      <c r="B28" s="82" t="s">
        <v>128</v>
      </c>
      <c r="C28" s="82"/>
      <c r="D28" s="126">
        <f>SUM(D15:D27)</f>
        <v>0</v>
      </c>
      <c r="E28" s="82"/>
      <c r="F28" s="89">
        <f>SUM(F15:F27)</f>
        <v>0</v>
      </c>
    </row>
    <row r="29" ht="15.75" customHeight="1"/>
    <row r="30" ht="15.75" customHeight="1"/>
    <row r="31" ht="15.75" customHeight="1">
      <c r="B31" s="43" t="s">
        <v>129</v>
      </c>
      <c r="C31" s="30"/>
      <c r="D31" s="30"/>
      <c r="E31" s="30"/>
      <c r="F31" s="2"/>
    </row>
    <row r="32" ht="15.75" customHeight="1">
      <c r="B32" s="46" t="s">
        <v>129</v>
      </c>
      <c r="C32" s="46" t="s">
        <v>119</v>
      </c>
      <c r="D32" s="46" t="s">
        <v>75</v>
      </c>
      <c r="E32" s="46" t="s">
        <v>120</v>
      </c>
      <c r="F32" s="46" t="s">
        <v>121</v>
      </c>
    </row>
    <row r="33" ht="15.75" customHeight="1">
      <c r="B33" s="85"/>
      <c r="C33" s="85"/>
      <c r="D33" s="48"/>
      <c r="E33" s="85"/>
      <c r="F33" s="48"/>
    </row>
    <row r="34" ht="15.75" customHeight="1">
      <c r="B34" s="36"/>
      <c r="C34" s="36"/>
      <c r="D34" s="51"/>
      <c r="E34" s="36"/>
      <c r="F34" s="51"/>
    </row>
    <row r="35" ht="15.75" customHeight="1">
      <c r="B35" s="36"/>
      <c r="C35" s="36"/>
      <c r="D35" s="51"/>
      <c r="E35" s="36"/>
      <c r="F35" s="51"/>
    </row>
    <row r="36" ht="15.75" customHeight="1">
      <c r="B36" s="36"/>
      <c r="C36" s="36"/>
      <c r="D36" s="51"/>
      <c r="E36" s="36"/>
      <c r="F36" s="51"/>
    </row>
    <row r="37" ht="15.75" customHeight="1">
      <c r="B37" s="36"/>
      <c r="C37" s="36"/>
      <c r="D37" s="51"/>
      <c r="E37" s="36"/>
      <c r="F37" s="51"/>
    </row>
    <row r="38" ht="15.75" customHeight="1">
      <c r="B38" s="36"/>
      <c r="C38" s="36"/>
      <c r="D38" s="51"/>
      <c r="E38" s="36"/>
      <c r="F38" s="51"/>
    </row>
    <row r="39" ht="15.75" customHeight="1">
      <c r="B39" s="36"/>
      <c r="C39" s="36"/>
      <c r="D39" s="51"/>
      <c r="E39" s="36"/>
      <c r="F39" s="51"/>
    </row>
    <row r="40" ht="15.75" customHeight="1">
      <c r="B40" s="36"/>
      <c r="C40" s="36"/>
      <c r="D40" s="51"/>
      <c r="E40" s="36"/>
      <c r="F40" s="51"/>
    </row>
    <row r="41" ht="15.75" customHeight="1">
      <c r="B41" s="36"/>
      <c r="C41" s="36"/>
      <c r="D41" s="51"/>
      <c r="E41" s="36"/>
      <c r="F41" s="51"/>
    </row>
    <row r="42" ht="15.75" customHeight="1">
      <c r="B42" s="36"/>
      <c r="C42" s="36"/>
      <c r="D42" s="51"/>
      <c r="E42" s="36"/>
      <c r="F42" s="51"/>
    </row>
    <row r="43" ht="15.75" customHeight="1">
      <c r="B43" s="36"/>
      <c r="C43" s="36"/>
      <c r="D43" s="51"/>
      <c r="E43" s="36"/>
      <c r="F43" s="51"/>
    </row>
    <row r="44" ht="15.75" customHeight="1">
      <c r="B44" s="36"/>
      <c r="C44" s="36"/>
      <c r="D44" s="51"/>
      <c r="E44" s="36"/>
      <c r="F44" s="51"/>
    </row>
    <row r="45" ht="15.75" customHeight="1">
      <c r="B45" s="153"/>
      <c r="C45" s="153"/>
      <c r="D45" s="155"/>
      <c r="E45" s="153"/>
      <c r="F45" s="155"/>
    </row>
    <row r="46" ht="15.75" customHeight="1">
      <c r="B46" s="82" t="s">
        <v>128</v>
      </c>
      <c r="C46" s="82"/>
      <c r="D46" s="126">
        <f>SUM(D33:D45)</f>
        <v>0</v>
      </c>
      <c r="E46" s="82"/>
      <c r="F46" s="126">
        <f>SUM(F33:F45)</f>
        <v>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:H2"/>
    <mergeCell ref="B4:H4"/>
    <mergeCell ref="B13:F13"/>
    <mergeCell ref="B31:F3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5.0"/>
    <col customWidth="1" min="3" max="3" width="22.43"/>
    <col customWidth="1" min="4" max="4" width="21.14"/>
    <col customWidth="1" min="5" max="5" width="21.71"/>
    <col customWidth="1" min="6" max="6" width="21.0"/>
    <col customWidth="1" min="7" max="7" width="17.0"/>
    <col customWidth="1" min="8" max="8" width="20.29"/>
    <col customWidth="1" min="9" max="26" width="11.43"/>
  </cols>
  <sheetData>
    <row r="2">
      <c r="B2" s="44" t="s">
        <v>19</v>
      </c>
      <c r="C2" s="180"/>
      <c r="D2" s="30"/>
      <c r="E2" s="30"/>
      <c r="F2" s="30"/>
      <c r="G2" s="30"/>
      <c r="H2" s="2"/>
    </row>
    <row r="4">
      <c r="B4" s="1" t="s">
        <v>114</v>
      </c>
      <c r="C4" s="30"/>
      <c r="D4" s="30"/>
      <c r="E4" s="30"/>
      <c r="F4" s="30"/>
      <c r="G4" s="30"/>
      <c r="H4" s="2"/>
    </row>
    <row r="5">
      <c r="B5" s="44" t="s">
        <v>65</v>
      </c>
      <c r="C5" s="44" t="s">
        <v>115</v>
      </c>
      <c r="D5" s="44" t="s">
        <v>33</v>
      </c>
      <c r="E5" s="44" t="s">
        <v>34</v>
      </c>
      <c r="F5" s="44" t="s">
        <v>35</v>
      </c>
      <c r="G5" s="44" t="s">
        <v>36</v>
      </c>
      <c r="H5" s="44" t="s">
        <v>37</v>
      </c>
    </row>
    <row r="6">
      <c r="B6" s="177" t="s">
        <v>116</v>
      </c>
      <c r="C6" s="95"/>
      <c r="D6" s="95"/>
      <c r="E6" s="95"/>
      <c r="F6" s="95"/>
      <c r="G6" s="95"/>
      <c r="H6" s="95"/>
    </row>
    <row r="7">
      <c r="B7" s="37"/>
      <c r="C7" s="105"/>
      <c r="D7" s="105"/>
      <c r="E7" s="105"/>
      <c r="F7" s="105"/>
      <c r="G7" s="105"/>
      <c r="H7" s="105"/>
    </row>
    <row r="8">
      <c r="B8" s="37"/>
      <c r="C8" s="105"/>
      <c r="D8" s="105"/>
      <c r="E8" s="105"/>
      <c r="F8" s="105"/>
      <c r="G8" s="105"/>
      <c r="H8" s="105"/>
    </row>
    <row r="9">
      <c r="B9" s="178"/>
      <c r="C9" s="172"/>
      <c r="D9" s="172"/>
      <c r="E9" s="172"/>
      <c r="F9" s="172"/>
      <c r="G9" s="172"/>
      <c r="H9" s="172"/>
    </row>
    <row r="10">
      <c r="B10" s="82" t="s">
        <v>51</v>
      </c>
      <c r="C10" s="126">
        <f t="shared" ref="C10:H10" si="1">SUM(C6:C9)</f>
        <v>0</v>
      </c>
      <c r="D10" s="126">
        <f t="shared" si="1"/>
        <v>0</v>
      </c>
      <c r="E10" s="126">
        <f t="shared" si="1"/>
        <v>0</v>
      </c>
      <c r="F10" s="126">
        <f t="shared" si="1"/>
        <v>0</v>
      </c>
      <c r="G10" s="126">
        <f t="shared" si="1"/>
        <v>0</v>
      </c>
      <c r="H10" s="126">
        <f t="shared" si="1"/>
        <v>0</v>
      </c>
    </row>
    <row r="13">
      <c r="B13" s="43" t="s">
        <v>117</v>
      </c>
      <c r="C13" s="30"/>
      <c r="D13" s="30"/>
      <c r="E13" s="30"/>
      <c r="F13" s="2"/>
      <c r="G13" s="179"/>
      <c r="H13" s="179"/>
    </row>
    <row r="14">
      <c r="B14" s="46" t="s">
        <v>118</v>
      </c>
      <c r="C14" s="46" t="s">
        <v>119</v>
      </c>
      <c r="D14" s="46" t="s">
        <v>75</v>
      </c>
      <c r="E14" s="46" t="s">
        <v>120</v>
      </c>
      <c r="F14" s="46" t="s">
        <v>121</v>
      </c>
    </row>
    <row r="15">
      <c r="B15" s="85"/>
      <c r="C15" s="85"/>
      <c r="D15" s="48"/>
      <c r="E15" s="85"/>
      <c r="F15" s="95">
        <f t="shared" ref="F15:F16" si="2">D15*E15</f>
        <v>0</v>
      </c>
    </row>
    <row r="16">
      <c r="B16" s="36"/>
      <c r="C16" s="36"/>
      <c r="D16" s="51"/>
      <c r="E16" s="36"/>
      <c r="F16" s="105">
        <f t="shared" si="2"/>
        <v>0</v>
      </c>
    </row>
    <row r="17">
      <c r="B17" s="36"/>
      <c r="C17" s="36"/>
      <c r="D17" s="51"/>
      <c r="E17" s="36"/>
      <c r="F17" s="105"/>
    </row>
    <row r="18">
      <c r="B18" s="36"/>
      <c r="C18" s="36"/>
      <c r="D18" s="51"/>
      <c r="E18" s="36"/>
      <c r="F18" s="105"/>
    </row>
    <row r="19">
      <c r="B19" s="36"/>
      <c r="C19" s="36"/>
      <c r="D19" s="51"/>
      <c r="E19" s="36"/>
      <c r="F19" s="105"/>
    </row>
    <row r="20">
      <c r="B20" s="36"/>
      <c r="C20" s="36"/>
      <c r="D20" s="51"/>
      <c r="E20" s="36"/>
      <c r="F20" s="105"/>
    </row>
    <row r="21" ht="15.75" customHeight="1">
      <c r="B21" s="36"/>
      <c r="C21" s="36"/>
      <c r="D21" s="51"/>
      <c r="E21" s="36"/>
      <c r="F21" s="105"/>
    </row>
    <row r="22" ht="15.75" customHeight="1">
      <c r="B22" s="36"/>
      <c r="C22" s="36"/>
      <c r="D22" s="51"/>
      <c r="E22" s="36"/>
      <c r="F22" s="105"/>
    </row>
    <row r="23" ht="15.75" customHeight="1">
      <c r="B23" s="36"/>
      <c r="C23" s="36"/>
      <c r="D23" s="51"/>
      <c r="E23" s="36"/>
      <c r="F23" s="105"/>
    </row>
    <row r="24" ht="15.75" customHeight="1">
      <c r="B24" s="36"/>
      <c r="C24" s="36"/>
      <c r="D24" s="51"/>
      <c r="E24" s="36"/>
      <c r="F24" s="105"/>
    </row>
    <row r="25" ht="15.75" customHeight="1">
      <c r="B25" s="36"/>
      <c r="C25" s="36"/>
      <c r="D25" s="51"/>
      <c r="E25" s="36"/>
      <c r="F25" s="105"/>
    </row>
    <row r="26" ht="15.75" customHeight="1">
      <c r="B26" s="36"/>
      <c r="C26" s="36"/>
      <c r="D26" s="51"/>
      <c r="E26" s="36"/>
      <c r="F26" s="105"/>
    </row>
    <row r="27" ht="15.75" customHeight="1">
      <c r="B27" s="153"/>
      <c r="C27" s="153"/>
      <c r="D27" s="155"/>
      <c r="E27" s="153"/>
      <c r="F27" s="105"/>
    </row>
    <row r="28" ht="15.75" customHeight="1">
      <c r="B28" s="82" t="s">
        <v>128</v>
      </c>
      <c r="C28" s="82"/>
      <c r="D28" s="126">
        <f>SUM(D15:D27)</f>
        <v>0</v>
      </c>
      <c r="E28" s="82"/>
      <c r="F28" s="89">
        <f>SUM(F15:F27)</f>
        <v>0</v>
      </c>
    </row>
    <row r="29" ht="15.75" customHeight="1"/>
    <row r="30" ht="15.75" customHeight="1"/>
    <row r="31" ht="15.75" customHeight="1">
      <c r="B31" s="43" t="s">
        <v>129</v>
      </c>
      <c r="C31" s="30"/>
      <c r="D31" s="30"/>
      <c r="E31" s="30"/>
      <c r="F31" s="2"/>
    </row>
    <row r="32" ht="15.75" customHeight="1">
      <c r="B32" s="46" t="s">
        <v>129</v>
      </c>
      <c r="C32" s="46" t="s">
        <v>119</v>
      </c>
      <c r="D32" s="46" t="s">
        <v>75</v>
      </c>
      <c r="E32" s="46" t="s">
        <v>120</v>
      </c>
      <c r="F32" s="46" t="s">
        <v>121</v>
      </c>
    </row>
    <row r="33" ht="15.75" customHeight="1">
      <c r="B33" s="85"/>
      <c r="C33" s="85"/>
      <c r="D33" s="48"/>
      <c r="E33" s="85"/>
      <c r="F33" s="95"/>
    </row>
    <row r="34" ht="15.75" customHeight="1">
      <c r="B34" s="36"/>
      <c r="C34" s="36"/>
      <c r="D34" s="51"/>
      <c r="E34" s="36"/>
      <c r="F34" s="105"/>
    </row>
    <row r="35" ht="15.75" customHeight="1">
      <c r="B35" s="36"/>
      <c r="C35" s="36"/>
      <c r="D35" s="51"/>
      <c r="E35" s="36"/>
      <c r="F35" s="105"/>
    </row>
    <row r="36" ht="15.75" customHeight="1">
      <c r="B36" s="36"/>
      <c r="C36" s="36"/>
      <c r="D36" s="51"/>
      <c r="E36" s="36"/>
      <c r="F36" s="105"/>
    </row>
    <row r="37" ht="15.75" customHeight="1">
      <c r="B37" s="36"/>
      <c r="C37" s="36"/>
      <c r="D37" s="51"/>
      <c r="E37" s="36"/>
      <c r="F37" s="105"/>
    </row>
    <row r="38" ht="15.75" customHeight="1">
      <c r="B38" s="36"/>
      <c r="C38" s="36"/>
      <c r="D38" s="51"/>
      <c r="E38" s="36"/>
      <c r="F38" s="105"/>
    </row>
    <row r="39" ht="15.75" customHeight="1">
      <c r="B39" s="36"/>
      <c r="C39" s="36"/>
      <c r="D39" s="51"/>
      <c r="E39" s="36"/>
      <c r="F39" s="105"/>
    </row>
    <row r="40" ht="15.75" customHeight="1">
      <c r="B40" s="36"/>
      <c r="C40" s="36"/>
      <c r="D40" s="51"/>
      <c r="E40" s="36"/>
      <c r="F40" s="105"/>
    </row>
    <row r="41" ht="15.75" customHeight="1">
      <c r="B41" s="36"/>
      <c r="C41" s="36"/>
      <c r="D41" s="51"/>
      <c r="E41" s="36"/>
      <c r="F41" s="105"/>
    </row>
    <row r="42" ht="15.75" customHeight="1">
      <c r="B42" s="36"/>
      <c r="C42" s="36"/>
      <c r="D42" s="51"/>
      <c r="E42" s="36"/>
      <c r="F42" s="105"/>
    </row>
    <row r="43" ht="15.75" customHeight="1">
      <c r="B43" s="36"/>
      <c r="C43" s="36"/>
      <c r="D43" s="51"/>
      <c r="E43" s="36"/>
      <c r="F43" s="105"/>
    </row>
    <row r="44" ht="15.75" customHeight="1">
      <c r="B44" s="36"/>
      <c r="C44" s="36"/>
      <c r="D44" s="51"/>
      <c r="E44" s="36"/>
      <c r="F44" s="105"/>
    </row>
    <row r="45" ht="15.75" customHeight="1">
      <c r="B45" s="153"/>
      <c r="C45" s="153"/>
      <c r="D45" s="155"/>
      <c r="E45" s="153"/>
      <c r="F45" s="119"/>
    </row>
    <row r="46" ht="15.75" customHeight="1">
      <c r="B46" s="82" t="s">
        <v>128</v>
      </c>
      <c r="C46" s="82"/>
      <c r="D46" s="126">
        <f>SUM(D33:D45)</f>
        <v>0</v>
      </c>
      <c r="E46" s="82"/>
      <c r="F46" s="126">
        <f>SUM(F33:F45)</f>
        <v>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:H2"/>
    <mergeCell ref="B4:H4"/>
    <mergeCell ref="B13:F13"/>
    <mergeCell ref="B31:F3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5.0"/>
    <col customWidth="1" min="3" max="3" width="22.43"/>
    <col customWidth="1" min="4" max="4" width="21.14"/>
    <col customWidth="1" min="5" max="5" width="21.71"/>
    <col customWidth="1" min="6" max="6" width="21.0"/>
    <col customWidth="1" min="7" max="7" width="17.0"/>
    <col customWidth="1" min="8" max="8" width="20.29"/>
    <col customWidth="1" min="9" max="26" width="11.43"/>
  </cols>
  <sheetData>
    <row r="2">
      <c r="B2" s="44" t="s">
        <v>19</v>
      </c>
      <c r="C2" s="180"/>
      <c r="D2" s="30"/>
      <c r="E2" s="30"/>
      <c r="F2" s="30"/>
      <c r="G2" s="30"/>
      <c r="H2" s="2"/>
    </row>
    <row r="4">
      <c r="B4" s="1" t="s">
        <v>114</v>
      </c>
      <c r="C4" s="30"/>
      <c r="D4" s="30"/>
      <c r="E4" s="30"/>
      <c r="F4" s="30"/>
      <c r="G4" s="30"/>
      <c r="H4" s="2"/>
    </row>
    <row r="5">
      <c r="B5" s="44" t="s">
        <v>65</v>
      </c>
      <c r="C5" s="44" t="s">
        <v>115</v>
      </c>
      <c r="D5" s="44" t="s">
        <v>33</v>
      </c>
      <c r="E5" s="44" t="s">
        <v>34</v>
      </c>
      <c r="F5" s="44" t="s">
        <v>35</v>
      </c>
      <c r="G5" s="44" t="s">
        <v>36</v>
      </c>
      <c r="H5" s="44" t="s">
        <v>37</v>
      </c>
    </row>
    <row r="6">
      <c r="B6" s="177" t="s">
        <v>116</v>
      </c>
      <c r="C6" s="95"/>
      <c r="D6" s="95"/>
      <c r="E6" s="95"/>
      <c r="F6" s="95"/>
      <c r="G6" s="95"/>
      <c r="H6" s="95"/>
    </row>
    <row r="7">
      <c r="B7" s="37"/>
      <c r="C7" s="105"/>
      <c r="D7" s="105"/>
      <c r="E7" s="105"/>
      <c r="F7" s="105"/>
      <c r="G7" s="105"/>
      <c r="H7" s="105"/>
    </row>
    <row r="8">
      <c r="B8" s="37"/>
      <c r="C8" s="105"/>
      <c r="D8" s="105"/>
      <c r="E8" s="105"/>
      <c r="F8" s="105"/>
      <c r="G8" s="105"/>
      <c r="H8" s="105"/>
    </row>
    <row r="9">
      <c r="B9" s="178"/>
      <c r="C9" s="172"/>
      <c r="D9" s="172"/>
      <c r="E9" s="172"/>
      <c r="F9" s="172"/>
      <c r="G9" s="172"/>
      <c r="H9" s="172"/>
    </row>
    <row r="10">
      <c r="B10" s="82" t="s">
        <v>51</v>
      </c>
      <c r="C10" s="126">
        <f t="shared" ref="C10:H10" si="1">SUM(C6:C9)</f>
        <v>0</v>
      </c>
      <c r="D10" s="126">
        <f t="shared" si="1"/>
        <v>0</v>
      </c>
      <c r="E10" s="126">
        <f t="shared" si="1"/>
        <v>0</v>
      </c>
      <c r="F10" s="126">
        <f t="shared" si="1"/>
        <v>0</v>
      </c>
      <c r="G10" s="126">
        <f t="shared" si="1"/>
        <v>0</v>
      </c>
      <c r="H10" s="126">
        <f t="shared" si="1"/>
        <v>0</v>
      </c>
    </row>
    <row r="13">
      <c r="B13" s="43" t="s">
        <v>117</v>
      </c>
      <c r="C13" s="30"/>
      <c r="D13" s="30"/>
      <c r="E13" s="30"/>
      <c r="F13" s="2"/>
      <c r="G13" s="179"/>
      <c r="H13" s="179"/>
    </row>
    <row r="14">
      <c r="B14" s="46" t="s">
        <v>118</v>
      </c>
      <c r="C14" s="46" t="s">
        <v>119</v>
      </c>
      <c r="D14" s="46" t="s">
        <v>75</v>
      </c>
      <c r="E14" s="46" t="s">
        <v>120</v>
      </c>
      <c r="F14" s="46" t="s">
        <v>121</v>
      </c>
    </row>
    <row r="15">
      <c r="B15" s="85"/>
      <c r="C15" s="85"/>
      <c r="D15" s="48"/>
      <c r="E15" s="85"/>
      <c r="F15" s="95">
        <f t="shared" ref="F15:F16" si="2">D15*E15</f>
        <v>0</v>
      </c>
    </row>
    <row r="16">
      <c r="B16" s="36"/>
      <c r="C16" s="36"/>
      <c r="D16" s="51"/>
      <c r="E16" s="36"/>
      <c r="F16" s="105">
        <f t="shared" si="2"/>
        <v>0</v>
      </c>
    </row>
    <row r="17">
      <c r="B17" s="36"/>
      <c r="C17" s="36"/>
      <c r="D17" s="51"/>
      <c r="E17" s="36"/>
      <c r="F17" s="105"/>
    </row>
    <row r="18">
      <c r="B18" s="36"/>
      <c r="C18" s="36"/>
      <c r="D18" s="51"/>
      <c r="E18" s="36"/>
      <c r="F18" s="105"/>
    </row>
    <row r="19">
      <c r="B19" s="36"/>
      <c r="C19" s="36"/>
      <c r="D19" s="51"/>
      <c r="E19" s="36"/>
      <c r="F19" s="105"/>
    </row>
    <row r="20">
      <c r="B20" s="36"/>
      <c r="C20" s="36"/>
      <c r="D20" s="51"/>
      <c r="E20" s="36"/>
      <c r="F20" s="105"/>
    </row>
    <row r="21" ht="15.75" customHeight="1">
      <c r="B21" s="36"/>
      <c r="C21" s="36"/>
      <c r="D21" s="51"/>
      <c r="E21" s="36"/>
      <c r="F21" s="105"/>
    </row>
    <row r="22" ht="15.75" customHeight="1">
      <c r="B22" s="36"/>
      <c r="C22" s="36"/>
      <c r="D22" s="51"/>
      <c r="E22" s="36"/>
      <c r="F22" s="105"/>
    </row>
    <row r="23" ht="15.75" customHeight="1">
      <c r="B23" s="36"/>
      <c r="C23" s="36"/>
      <c r="D23" s="51"/>
      <c r="E23" s="36"/>
      <c r="F23" s="105"/>
    </row>
    <row r="24" ht="15.75" customHeight="1">
      <c r="B24" s="36"/>
      <c r="C24" s="36"/>
      <c r="D24" s="51"/>
      <c r="E24" s="36"/>
      <c r="F24" s="105"/>
    </row>
    <row r="25" ht="15.75" customHeight="1">
      <c r="B25" s="36"/>
      <c r="C25" s="36"/>
      <c r="D25" s="51"/>
      <c r="E25" s="36"/>
      <c r="F25" s="105"/>
    </row>
    <row r="26" ht="15.75" customHeight="1">
      <c r="B26" s="36"/>
      <c r="C26" s="36"/>
      <c r="D26" s="51"/>
      <c r="E26" s="36"/>
      <c r="F26" s="105"/>
    </row>
    <row r="27" ht="15.75" customHeight="1">
      <c r="B27" s="153"/>
      <c r="C27" s="153"/>
      <c r="D27" s="155"/>
      <c r="E27" s="153"/>
      <c r="F27" s="105"/>
    </row>
    <row r="28" ht="15.75" customHeight="1">
      <c r="B28" s="82" t="s">
        <v>128</v>
      </c>
      <c r="C28" s="82"/>
      <c r="D28" s="126">
        <f>SUM(D15:D27)</f>
        <v>0</v>
      </c>
      <c r="E28" s="82"/>
      <c r="F28" s="89">
        <f>SUM(F15:F27)</f>
        <v>0</v>
      </c>
    </row>
    <row r="29" ht="15.75" customHeight="1"/>
    <row r="30" ht="15.75" customHeight="1"/>
    <row r="31" ht="15.75" customHeight="1">
      <c r="B31" s="43" t="s">
        <v>129</v>
      </c>
      <c r="C31" s="30"/>
      <c r="D31" s="30"/>
      <c r="E31" s="30"/>
      <c r="F31" s="2"/>
    </row>
    <row r="32" ht="15.75" customHeight="1">
      <c r="B32" s="46" t="s">
        <v>129</v>
      </c>
      <c r="C32" s="46" t="s">
        <v>119</v>
      </c>
      <c r="D32" s="46" t="s">
        <v>75</v>
      </c>
      <c r="E32" s="46" t="s">
        <v>120</v>
      </c>
      <c r="F32" s="46" t="s">
        <v>121</v>
      </c>
    </row>
    <row r="33" ht="15.75" customHeight="1">
      <c r="B33" s="85"/>
      <c r="C33" s="85"/>
      <c r="D33" s="48"/>
      <c r="E33" s="85"/>
      <c r="F33" s="95"/>
    </row>
    <row r="34" ht="15.75" customHeight="1">
      <c r="B34" s="36"/>
      <c r="C34" s="36"/>
      <c r="D34" s="51"/>
      <c r="E34" s="36"/>
      <c r="F34" s="105"/>
    </row>
    <row r="35" ht="15.75" customHeight="1">
      <c r="B35" s="36"/>
      <c r="C35" s="36"/>
      <c r="D35" s="51"/>
      <c r="E35" s="36"/>
      <c r="F35" s="105"/>
    </row>
    <row r="36" ht="15.75" customHeight="1">
      <c r="B36" s="36"/>
      <c r="C36" s="36"/>
      <c r="D36" s="51"/>
      <c r="E36" s="36"/>
      <c r="F36" s="105"/>
    </row>
    <row r="37" ht="15.75" customHeight="1">
      <c r="B37" s="36"/>
      <c r="C37" s="36"/>
      <c r="D37" s="51"/>
      <c r="E37" s="36"/>
      <c r="F37" s="105"/>
    </row>
    <row r="38" ht="15.75" customHeight="1">
      <c r="B38" s="36"/>
      <c r="C38" s="36"/>
      <c r="D38" s="51"/>
      <c r="E38" s="36"/>
      <c r="F38" s="105"/>
    </row>
    <row r="39" ht="15.75" customHeight="1">
      <c r="B39" s="36"/>
      <c r="C39" s="36"/>
      <c r="D39" s="51"/>
      <c r="E39" s="36"/>
      <c r="F39" s="105"/>
    </row>
    <row r="40" ht="15.75" customHeight="1">
      <c r="B40" s="36"/>
      <c r="C40" s="36"/>
      <c r="D40" s="51"/>
      <c r="E40" s="36"/>
      <c r="F40" s="105"/>
    </row>
    <row r="41" ht="15.75" customHeight="1">
      <c r="B41" s="36"/>
      <c r="C41" s="36"/>
      <c r="D41" s="51"/>
      <c r="E41" s="36"/>
      <c r="F41" s="105"/>
    </row>
    <row r="42" ht="15.75" customHeight="1">
      <c r="B42" s="36"/>
      <c r="C42" s="36"/>
      <c r="D42" s="51"/>
      <c r="E42" s="36"/>
      <c r="F42" s="105"/>
    </row>
    <row r="43" ht="15.75" customHeight="1">
      <c r="B43" s="36"/>
      <c r="C43" s="36"/>
      <c r="D43" s="51"/>
      <c r="E43" s="36"/>
      <c r="F43" s="105"/>
    </row>
    <row r="44" ht="15.75" customHeight="1">
      <c r="B44" s="36"/>
      <c r="C44" s="36"/>
      <c r="D44" s="51"/>
      <c r="E44" s="36"/>
      <c r="F44" s="105"/>
    </row>
    <row r="45" ht="15.75" customHeight="1">
      <c r="B45" s="153"/>
      <c r="C45" s="153"/>
      <c r="D45" s="155"/>
      <c r="E45" s="153"/>
      <c r="F45" s="119"/>
    </row>
    <row r="46" ht="15.75" customHeight="1">
      <c r="B46" s="82" t="s">
        <v>128</v>
      </c>
      <c r="C46" s="82"/>
      <c r="D46" s="126">
        <f>SUM(D33:D45)</f>
        <v>0</v>
      </c>
      <c r="E46" s="82"/>
      <c r="F46" s="126">
        <f>SUM(F33:F45)</f>
        <v>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:H2"/>
    <mergeCell ref="B4:H4"/>
    <mergeCell ref="B13:F13"/>
    <mergeCell ref="B31:F3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5.0"/>
    <col customWidth="1" min="3" max="3" width="22.43"/>
    <col customWidth="1" min="4" max="4" width="21.14"/>
    <col customWidth="1" min="5" max="5" width="21.71"/>
    <col customWidth="1" min="6" max="6" width="21.0"/>
    <col customWidth="1" min="7" max="7" width="17.0"/>
    <col customWidth="1" min="8" max="8" width="20.29"/>
    <col customWidth="1" min="9" max="26" width="11.43"/>
  </cols>
  <sheetData>
    <row r="2">
      <c r="B2" s="44" t="s">
        <v>19</v>
      </c>
      <c r="C2" s="180"/>
      <c r="D2" s="30"/>
      <c r="E2" s="30"/>
      <c r="F2" s="30"/>
      <c r="G2" s="30"/>
      <c r="H2" s="2"/>
    </row>
    <row r="4">
      <c r="B4" s="1" t="s">
        <v>114</v>
      </c>
      <c r="C4" s="30"/>
      <c r="D4" s="30"/>
      <c r="E4" s="30"/>
      <c r="F4" s="30"/>
      <c r="G4" s="30"/>
      <c r="H4" s="2"/>
    </row>
    <row r="5">
      <c r="B5" s="44" t="s">
        <v>65</v>
      </c>
      <c r="C5" s="44" t="s">
        <v>115</v>
      </c>
      <c r="D5" s="44" t="s">
        <v>33</v>
      </c>
      <c r="E5" s="44" t="s">
        <v>34</v>
      </c>
      <c r="F5" s="44" t="s">
        <v>35</v>
      </c>
      <c r="G5" s="44" t="s">
        <v>36</v>
      </c>
      <c r="H5" s="44" t="s">
        <v>37</v>
      </c>
    </row>
    <row r="6">
      <c r="B6" s="177" t="s">
        <v>116</v>
      </c>
      <c r="C6" s="95"/>
      <c r="D6" s="95"/>
      <c r="E6" s="95"/>
      <c r="F6" s="95"/>
      <c r="G6" s="95"/>
      <c r="H6" s="95"/>
    </row>
    <row r="7">
      <c r="B7" s="37"/>
      <c r="C7" s="105"/>
      <c r="D7" s="105"/>
      <c r="E7" s="105"/>
      <c r="F7" s="105"/>
      <c r="G7" s="105"/>
      <c r="H7" s="105"/>
    </row>
    <row r="8">
      <c r="B8" s="37"/>
      <c r="C8" s="105"/>
      <c r="D8" s="105"/>
      <c r="E8" s="105"/>
      <c r="F8" s="105"/>
      <c r="G8" s="105"/>
      <c r="H8" s="105"/>
    </row>
    <row r="9">
      <c r="B9" s="178"/>
      <c r="C9" s="172"/>
      <c r="D9" s="172"/>
      <c r="E9" s="172"/>
      <c r="F9" s="172"/>
      <c r="G9" s="172"/>
      <c r="H9" s="172"/>
    </row>
    <row r="10">
      <c r="B10" s="82" t="s">
        <v>51</v>
      </c>
      <c r="C10" s="126">
        <f t="shared" ref="C10:H10" si="1">SUM(C6:C9)</f>
        <v>0</v>
      </c>
      <c r="D10" s="126">
        <f t="shared" si="1"/>
        <v>0</v>
      </c>
      <c r="E10" s="126">
        <f t="shared" si="1"/>
        <v>0</v>
      </c>
      <c r="F10" s="126">
        <f t="shared" si="1"/>
        <v>0</v>
      </c>
      <c r="G10" s="126">
        <f t="shared" si="1"/>
        <v>0</v>
      </c>
      <c r="H10" s="126">
        <f t="shared" si="1"/>
        <v>0</v>
      </c>
    </row>
    <row r="13">
      <c r="B13" s="43" t="s">
        <v>117</v>
      </c>
      <c r="C13" s="30"/>
      <c r="D13" s="30"/>
      <c r="E13" s="30"/>
      <c r="F13" s="2"/>
      <c r="G13" s="179"/>
      <c r="H13" s="179"/>
    </row>
    <row r="14">
      <c r="B14" s="46" t="s">
        <v>118</v>
      </c>
      <c r="C14" s="46" t="s">
        <v>119</v>
      </c>
      <c r="D14" s="46" t="s">
        <v>75</v>
      </c>
      <c r="E14" s="46" t="s">
        <v>120</v>
      </c>
      <c r="F14" s="46" t="s">
        <v>121</v>
      </c>
    </row>
    <row r="15">
      <c r="B15" s="85"/>
      <c r="C15" s="85"/>
      <c r="D15" s="48"/>
      <c r="E15" s="85"/>
      <c r="F15" s="95">
        <f t="shared" ref="F15:F16" si="2">D15*E15</f>
        <v>0</v>
      </c>
    </row>
    <row r="16">
      <c r="B16" s="36"/>
      <c r="C16" s="36"/>
      <c r="D16" s="51"/>
      <c r="E16" s="36"/>
      <c r="F16" s="105">
        <f t="shared" si="2"/>
        <v>0</v>
      </c>
    </row>
    <row r="17">
      <c r="B17" s="36"/>
      <c r="C17" s="36"/>
      <c r="D17" s="51"/>
      <c r="E17" s="36"/>
      <c r="F17" s="105"/>
    </row>
    <row r="18">
      <c r="B18" s="36"/>
      <c r="C18" s="36"/>
      <c r="D18" s="51"/>
      <c r="E18" s="36"/>
      <c r="F18" s="105"/>
    </row>
    <row r="19">
      <c r="B19" s="36"/>
      <c r="C19" s="36"/>
      <c r="D19" s="51"/>
      <c r="E19" s="36"/>
      <c r="F19" s="105"/>
    </row>
    <row r="20">
      <c r="B20" s="36"/>
      <c r="C20" s="36"/>
      <c r="D20" s="51"/>
      <c r="E20" s="36"/>
      <c r="F20" s="105"/>
    </row>
    <row r="21" ht="15.75" customHeight="1">
      <c r="B21" s="36"/>
      <c r="C21" s="36"/>
      <c r="D21" s="51"/>
      <c r="E21" s="36"/>
      <c r="F21" s="105"/>
    </row>
    <row r="22" ht="15.75" customHeight="1">
      <c r="B22" s="36"/>
      <c r="C22" s="36"/>
      <c r="D22" s="51"/>
      <c r="E22" s="36"/>
      <c r="F22" s="105"/>
    </row>
    <row r="23" ht="15.75" customHeight="1">
      <c r="B23" s="36"/>
      <c r="C23" s="36"/>
      <c r="D23" s="51"/>
      <c r="E23" s="36"/>
      <c r="F23" s="105"/>
    </row>
    <row r="24" ht="15.75" customHeight="1">
      <c r="B24" s="36"/>
      <c r="C24" s="36"/>
      <c r="D24" s="51"/>
      <c r="E24" s="36"/>
      <c r="F24" s="105"/>
    </row>
    <row r="25" ht="15.75" customHeight="1">
      <c r="B25" s="36"/>
      <c r="C25" s="36"/>
      <c r="D25" s="51"/>
      <c r="E25" s="36"/>
      <c r="F25" s="105"/>
    </row>
    <row r="26" ht="15.75" customHeight="1">
      <c r="B26" s="36"/>
      <c r="C26" s="36"/>
      <c r="D26" s="51"/>
      <c r="E26" s="36"/>
      <c r="F26" s="105"/>
    </row>
    <row r="27" ht="15.75" customHeight="1">
      <c r="B27" s="153"/>
      <c r="C27" s="153"/>
      <c r="D27" s="155"/>
      <c r="E27" s="153"/>
      <c r="F27" s="105"/>
    </row>
    <row r="28" ht="15.75" customHeight="1">
      <c r="B28" s="82" t="s">
        <v>128</v>
      </c>
      <c r="C28" s="82"/>
      <c r="D28" s="126">
        <f>SUM(D15:D27)</f>
        <v>0</v>
      </c>
      <c r="E28" s="82"/>
      <c r="F28" s="89">
        <f>SUM(F15:F27)</f>
        <v>0</v>
      </c>
    </row>
    <row r="29" ht="15.75" customHeight="1"/>
    <row r="30" ht="15.75" customHeight="1"/>
    <row r="31" ht="15.75" customHeight="1">
      <c r="B31" s="43" t="s">
        <v>129</v>
      </c>
      <c r="C31" s="30"/>
      <c r="D31" s="30"/>
      <c r="E31" s="30"/>
      <c r="F31" s="2"/>
    </row>
    <row r="32" ht="15.75" customHeight="1">
      <c r="B32" s="46" t="s">
        <v>129</v>
      </c>
      <c r="C32" s="46" t="s">
        <v>119</v>
      </c>
      <c r="D32" s="46" t="s">
        <v>75</v>
      </c>
      <c r="E32" s="46" t="s">
        <v>120</v>
      </c>
      <c r="F32" s="46" t="s">
        <v>121</v>
      </c>
    </row>
    <row r="33" ht="15.75" customHeight="1">
      <c r="B33" s="85"/>
      <c r="C33" s="85"/>
      <c r="D33" s="48"/>
      <c r="E33" s="85"/>
      <c r="F33" s="95"/>
    </row>
    <row r="34" ht="15.75" customHeight="1">
      <c r="B34" s="36"/>
      <c r="C34" s="36"/>
      <c r="D34" s="51"/>
      <c r="E34" s="36"/>
      <c r="F34" s="105"/>
    </row>
    <row r="35" ht="15.75" customHeight="1">
      <c r="B35" s="36"/>
      <c r="C35" s="36"/>
      <c r="D35" s="51"/>
      <c r="E35" s="36"/>
      <c r="F35" s="105"/>
    </row>
    <row r="36" ht="15.75" customHeight="1">
      <c r="B36" s="36"/>
      <c r="C36" s="36"/>
      <c r="D36" s="51"/>
      <c r="E36" s="36"/>
      <c r="F36" s="105"/>
    </row>
    <row r="37" ht="15.75" customHeight="1">
      <c r="B37" s="36"/>
      <c r="C37" s="36"/>
      <c r="D37" s="51"/>
      <c r="E37" s="36"/>
      <c r="F37" s="105"/>
    </row>
    <row r="38" ht="15.75" customHeight="1">
      <c r="B38" s="36"/>
      <c r="C38" s="36"/>
      <c r="D38" s="51"/>
      <c r="E38" s="36"/>
      <c r="F38" s="105"/>
    </row>
    <row r="39" ht="15.75" customHeight="1">
      <c r="B39" s="36"/>
      <c r="C39" s="36"/>
      <c r="D39" s="51"/>
      <c r="E39" s="36"/>
      <c r="F39" s="105"/>
    </row>
    <row r="40" ht="15.75" customHeight="1">
      <c r="B40" s="36"/>
      <c r="C40" s="36"/>
      <c r="D40" s="51"/>
      <c r="E40" s="36"/>
      <c r="F40" s="105"/>
    </row>
    <row r="41" ht="15.75" customHeight="1">
      <c r="B41" s="36"/>
      <c r="C41" s="36"/>
      <c r="D41" s="51"/>
      <c r="E41" s="36"/>
      <c r="F41" s="105"/>
    </row>
    <row r="42" ht="15.75" customHeight="1">
      <c r="B42" s="36"/>
      <c r="C42" s="36"/>
      <c r="D42" s="51"/>
      <c r="E42" s="36"/>
      <c r="F42" s="105"/>
    </row>
    <row r="43" ht="15.75" customHeight="1">
      <c r="B43" s="36"/>
      <c r="C43" s="36"/>
      <c r="D43" s="51"/>
      <c r="E43" s="36"/>
      <c r="F43" s="105"/>
    </row>
    <row r="44" ht="15.75" customHeight="1">
      <c r="B44" s="36"/>
      <c r="C44" s="36"/>
      <c r="D44" s="51"/>
      <c r="E44" s="36"/>
      <c r="F44" s="105"/>
    </row>
    <row r="45" ht="15.75" customHeight="1">
      <c r="B45" s="153"/>
      <c r="C45" s="153"/>
      <c r="D45" s="155"/>
      <c r="E45" s="153"/>
      <c r="F45" s="119"/>
    </row>
    <row r="46" ht="15.75" customHeight="1">
      <c r="B46" s="82" t="s">
        <v>128</v>
      </c>
      <c r="C46" s="82"/>
      <c r="D46" s="126">
        <f>SUM(D33:D45)</f>
        <v>0</v>
      </c>
      <c r="E46" s="82"/>
      <c r="F46" s="126">
        <f>SUM(F33:F45)</f>
        <v>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:H2"/>
    <mergeCell ref="B4:H4"/>
    <mergeCell ref="B13:F13"/>
    <mergeCell ref="B31:F3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71"/>
    <col customWidth="1" min="3" max="3" width="21.14"/>
    <col customWidth="1" min="4" max="4" width="21.57"/>
    <col customWidth="1" min="5" max="5" width="29.86"/>
    <col customWidth="1" min="6" max="6" width="21.71"/>
    <col customWidth="1" min="7" max="26" width="11.43"/>
  </cols>
  <sheetData>
    <row r="2">
      <c r="B2" s="43" t="s">
        <v>130</v>
      </c>
      <c r="C2" s="2"/>
      <c r="E2" s="82" t="s">
        <v>131</v>
      </c>
      <c r="F2" s="82" t="s">
        <v>132</v>
      </c>
    </row>
    <row r="3">
      <c r="B3" s="46" t="s">
        <v>19</v>
      </c>
      <c r="C3" s="46" t="s">
        <v>133</v>
      </c>
      <c r="E3" s="177" t="s">
        <v>134</v>
      </c>
      <c r="F3" s="177">
        <v>9.0</v>
      </c>
    </row>
    <row r="4">
      <c r="B4" s="177" t="str">
        <f>'Estructura de Mercado'!B8</f>
        <v>Asistnte</v>
      </c>
      <c r="C4" s="177">
        <f>'Estructura de Mercado'!G8</f>
        <v>12</v>
      </c>
      <c r="E4" s="37" t="s">
        <v>135</v>
      </c>
      <c r="F4" s="37">
        <v>7.0</v>
      </c>
    </row>
    <row r="5">
      <c r="B5" s="37"/>
      <c r="C5" s="37"/>
      <c r="E5" s="37" t="s">
        <v>136</v>
      </c>
      <c r="F5" s="37">
        <v>5.0</v>
      </c>
    </row>
    <row r="6">
      <c r="B6" s="37"/>
      <c r="C6" s="37"/>
      <c r="E6" s="37" t="s">
        <v>137</v>
      </c>
      <c r="F6" s="37">
        <v>3.0</v>
      </c>
    </row>
    <row r="7">
      <c r="B7" s="181"/>
      <c r="C7" s="37"/>
      <c r="E7" s="178" t="s">
        <v>138</v>
      </c>
      <c r="F7" s="178">
        <v>0.0</v>
      </c>
    </row>
    <row r="8">
      <c r="B8" s="182"/>
      <c r="C8" s="37"/>
    </row>
    <row r="9">
      <c r="B9" s="125" t="s">
        <v>51</v>
      </c>
      <c r="C9" s="88">
        <f>SUM(C4:C8)</f>
        <v>12</v>
      </c>
      <c r="E9" s="82" t="s">
        <v>24</v>
      </c>
      <c r="F9" s="183">
        <f>'Datos Economicos'!F6</f>
        <v>44000000</v>
      </c>
    </row>
    <row r="12">
      <c r="B12" s="135" t="s">
        <v>139</v>
      </c>
      <c r="C12" s="135" t="s">
        <v>132</v>
      </c>
      <c r="D12" s="1" t="s">
        <v>33</v>
      </c>
      <c r="E12" s="2"/>
    </row>
    <row r="13">
      <c r="B13" s="138"/>
      <c r="C13" s="138"/>
      <c r="D13" s="184" t="s">
        <v>140</v>
      </c>
      <c r="E13" s="184" t="s">
        <v>141</v>
      </c>
    </row>
    <row r="14">
      <c r="B14" s="177" t="s">
        <v>142</v>
      </c>
      <c r="C14" s="185">
        <v>3.0</v>
      </c>
      <c r="D14" s="186">
        <f t="shared" ref="D14:D25" si="1">IF($C$26&gt;0,(C14/$C$26)*$C$9,0)</f>
        <v>0.6923076923</v>
      </c>
      <c r="E14" s="187">
        <f t="shared" ref="E14:E25" si="2">IF($D$26&gt;0,($F$9*D14)/$D$26,)</f>
        <v>2538461.538</v>
      </c>
    </row>
    <row r="15">
      <c r="B15" s="37" t="s">
        <v>143</v>
      </c>
      <c r="C15" s="188">
        <v>5.0</v>
      </c>
      <c r="D15" s="189">
        <f t="shared" si="1"/>
        <v>1.153846154</v>
      </c>
      <c r="E15" s="190">
        <f t="shared" si="2"/>
        <v>4230769.231</v>
      </c>
    </row>
    <row r="16">
      <c r="B16" s="37" t="s">
        <v>144</v>
      </c>
      <c r="C16" s="188">
        <v>5.0</v>
      </c>
      <c r="D16" s="189">
        <f t="shared" si="1"/>
        <v>1.153846154</v>
      </c>
      <c r="E16" s="190">
        <f t="shared" si="2"/>
        <v>4230769.231</v>
      </c>
    </row>
    <row r="17">
      <c r="B17" s="37" t="s">
        <v>145</v>
      </c>
      <c r="C17" s="188">
        <v>5.0</v>
      </c>
      <c r="D17" s="189">
        <f t="shared" si="1"/>
        <v>1.153846154</v>
      </c>
      <c r="E17" s="190">
        <f t="shared" si="2"/>
        <v>4230769.231</v>
      </c>
    </row>
    <row r="18">
      <c r="B18" s="37" t="s">
        <v>146</v>
      </c>
      <c r="C18" s="188">
        <v>5.0</v>
      </c>
      <c r="D18" s="189">
        <f t="shared" si="1"/>
        <v>1.153846154</v>
      </c>
      <c r="E18" s="190">
        <f t="shared" si="2"/>
        <v>4230769.231</v>
      </c>
    </row>
    <row r="19">
      <c r="B19" s="37" t="s">
        <v>147</v>
      </c>
      <c r="C19" s="188">
        <v>3.0</v>
      </c>
      <c r="D19" s="189">
        <f t="shared" si="1"/>
        <v>0.6923076923</v>
      </c>
      <c r="E19" s="190">
        <f t="shared" si="2"/>
        <v>2538461.538</v>
      </c>
    </row>
    <row r="20">
      <c r="B20" s="37" t="s">
        <v>148</v>
      </c>
      <c r="C20" s="188">
        <v>3.0</v>
      </c>
      <c r="D20" s="189">
        <f t="shared" si="1"/>
        <v>0.6923076923</v>
      </c>
      <c r="E20" s="190">
        <f t="shared" si="2"/>
        <v>2538461.538</v>
      </c>
    </row>
    <row r="21" ht="15.75" customHeight="1">
      <c r="B21" s="37" t="s">
        <v>149</v>
      </c>
      <c r="C21" s="188">
        <v>5.0</v>
      </c>
      <c r="D21" s="189">
        <f t="shared" si="1"/>
        <v>1.153846154</v>
      </c>
      <c r="E21" s="190">
        <f t="shared" si="2"/>
        <v>4230769.231</v>
      </c>
    </row>
    <row r="22" ht="15.75" customHeight="1">
      <c r="B22" s="37" t="s">
        <v>150</v>
      </c>
      <c r="C22" s="188">
        <v>5.0</v>
      </c>
      <c r="D22" s="189">
        <f t="shared" si="1"/>
        <v>1.153846154</v>
      </c>
      <c r="E22" s="190">
        <f t="shared" si="2"/>
        <v>4230769.231</v>
      </c>
    </row>
    <row r="23" ht="15.75" customHeight="1">
      <c r="B23" s="37" t="s">
        <v>151</v>
      </c>
      <c r="C23" s="188">
        <v>5.0</v>
      </c>
      <c r="D23" s="189">
        <f t="shared" si="1"/>
        <v>1.153846154</v>
      </c>
      <c r="E23" s="190">
        <f t="shared" si="2"/>
        <v>4230769.231</v>
      </c>
    </row>
    <row r="24" ht="15.75" customHeight="1">
      <c r="B24" s="37" t="s">
        <v>152</v>
      </c>
      <c r="C24" s="188">
        <v>5.0</v>
      </c>
      <c r="D24" s="189">
        <f t="shared" si="1"/>
        <v>1.153846154</v>
      </c>
      <c r="E24" s="190">
        <f t="shared" si="2"/>
        <v>4230769.231</v>
      </c>
    </row>
    <row r="25" ht="15.75" customHeight="1">
      <c r="B25" s="181" t="s">
        <v>153</v>
      </c>
      <c r="C25" s="191">
        <v>3.0</v>
      </c>
      <c r="D25" s="192">
        <f t="shared" si="1"/>
        <v>0.6923076923</v>
      </c>
      <c r="E25" s="193">
        <f t="shared" si="2"/>
        <v>2538461.538</v>
      </c>
    </row>
    <row r="26" ht="15.75" customHeight="1">
      <c r="B26" s="82" t="s">
        <v>51</v>
      </c>
      <c r="C26" s="194">
        <f t="shared" ref="C26:E26" si="3">SUM(C14:C25)</f>
        <v>52</v>
      </c>
      <c r="D26" s="195">
        <f t="shared" si="3"/>
        <v>12</v>
      </c>
      <c r="E26" s="175">
        <f t="shared" si="3"/>
        <v>44000000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C2"/>
    <mergeCell ref="B12:B13"/>
    <mergeCell ref="C12:C13"/>
    <mergeCell ref="D12:E1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71"/>
    <col customWidth="1" min="3" max="3" width="21.14"/>
    <col customWidth="1" min="4" max="4" width="21.57"/>
    <col customWidth="1" min="5" max="5" width="29.86"/>
    <col customWidth="1" min="6" max="6" width="21.71"/>
    <col customWidth="1" min="7" max="7" width="11.43"/>
    <col customWidth="1" min="8" max="9" width="13.0"/>
    <col customWidth="1" min="10" max="26" width="11.43"/>
  </cols>
  <sheetData>
    <row r="2">
      <c r="B2" s="43" t="s">
        <v>130</v>
      </c>
      <c r="C2" s="2"/>
      <c r="E2" s="82" t="s">
        <v>131</v>
      </c>
      <c r="F2" s="82" t="s">
        <v>132</v>
      </c>
      <c r="H2" s="98" t="s">
        <v>19</v>
      </c>
      <c r="I2" s="98" t="s">
        <v>154</v>
      </c>
    </row>
    <row r="3">
      <c r="B3" s="46" t="s">
        <v>19</v>
      </c>
      <c r="C3" s="46" t="s">
        <v>133</v>
      </c>
      <c r="E3" s="177" t="s">
        <v>134</v>
      </c>
      <c r="F3" s="177">
        <v>9.0</v>
      </c>
      <c r="H3" s="108" t="str">
        <f>'Producto 1'!C2:H2</f>
        <v/>
      </c>
      <c r="I3" s="107">
        <f>'Producto 1'!C10</f>
        <v>0</v>
      </c>
    </row>
    <row r="4">
      <c r="B4" s="177" t="str">
        <f>'Estructura de Mercado'!B8</f>
        <v>Asistnte</v>
      </c>
      <c r="C4" s="177">
        <f>'Estructura de Mercado'!G8</f>
        <v>12</v>
      </c>
      <c r="E4" s="37" t="s">
        <v>135</v>
      </c>
      <c r="F4" s="37">
        <v>7.0</v>
      </c>
      <c r="H4" s="108" t="str">
        <f>'Producto 2'!C2:H2</f>
        <v/>
      </c>
      <c r="I4" s="107">
        <f>'Producto 2'!C10</f>
        <v>0</v>
      </c>
    </row>
    <row r="5">
      <c r="B5" s="37"/>
      <c r="C5" s="37"/>
      <c r="E5" s="37" t="s">
        <v>136</v>
      </c>
      <c r="F5" s="37">
        <v>5.0</v>
      </c>
      <c r="H5" s="108" t="str">
        <f>'Producto 3'!C2:H2</f>
        <v/>
      </c>
      <c r="I5" s="107">
        <f>'Producto 3'!C10</f>
        <v>0</v>
      </c>
    </row>
    <row r="6">
      <c r="B6" s="37"/>
      <c r="C6" s="37"/>
      <c r="E6" s="37" t="s">
        <v>137</v>
      </c>
      <c r="F6" s="37">
        <v>3.0</v>
      </c>
      <c r="H6" s="108" t="str">
        <f>'Producto 4'!C2:H2</f>
        <v/>
      </c>
      <c r="I6" s="107">
        <f>'Producto 4'!C10</f>
        <v>0</v>
      </c>
    </row>
    <row r="7">
      <c r="B7" s="181"/>
      <c r="C7" s="37"/>
      <c r="E7" s="178" t="s">
        <v>138</v>
      </c>
      <c r="F7" s="178">
        <v>0.0</v>
      </c>
    </row>
    <row r="8">
      <c r="B8" s="182"/>
      <c r="C8" s="37"/>
    </row>
    <row r="9">
      <c r="B9" s="125" t="s">
        <v>51</v>
      </c>
      <c r="C9" s="88">
        <f>SUM(C4:C8)</f>
        <v>12</v>
      </c>
      <c r="E9" s="82" t="s">
        <v>155</v>
      </c>
      <c r="F9" s="183">
        <f>SUM(I3:I6)</f>
        <v>0</v>
      </c>
    </row>
    <row r="12">
      <c r="B12" s="135" t="s">
        <v>139</v>
      </c>
      <c r="C12" s="135" t="s">
        <v>132</v>
      </c>
      <c r="D12" s="1" t="s">
        <v>33</v>
      </c>
      <c r="E12" s="2"/>
    </row>
    <row r="13">
      <c r="B13" s="138"/>
      <c r="C13" s="138"/>
      <c r="D13" s="184" t="s">
        <v>140</v>
      </c>
      <c r="E13" s="184" t="s">
        <v>141</v>
      </c>
    </row>
    <row r="14">
      <c r="B14" s="177" t="s">
        <v>142</v>
      </c>
      <c r="C14" s="185">
        <v>3.0</v>
      </c>
      <c r="D14" s="186">
        <f t="shared" ref="D14:D25" si="1">IF($C$26&gt;0,(C14/$C$26)*$C$9,0)</f>
        <v>0.6428571429</v>
      </c>
      <c r="E14" s="187">
        <f t="shared" ref="E14:E25" si="2">IF($D$26&gt;0,($F$9*D14)/$D$26,)</f>
        <v>0</v>
      </c>
    </row>
    <row r="15">
      <c r="B15" s="37" t="s">
        <v>143</v>
      </c>
      <c r="C15" s="188">
        <v>3.0</v>
      </c>
      <c r="D15" s="189">
        <f t="shared" si="1"/>
        <v>0.6428571429</v>
      </c>
      <c r="E15" s="190">
        <f t="shared" si="2"/>
        <v>0</v>
      </c>
    </row>
    <row r="16">
      <c r="B16" s="37" t="s">
        <v>144</v>
      </c>
      <c r="C16" s="188">
        <v>5.0</v>
      </c>
      <c r="D16" s="189">
        <f t="shared" si="1"/>
        <v>1.071428571</v>
      </c>
      <c r="E16" s="190">
        <f t="shared" si="2"/>
        <v>0</v>
      </c>
    </row>
    <row r="17">
      <c r="B17" s="37" t="s">
        <v>145</v>
      </c>
      <c r="C17" s="188">
        <v>5.0</v>
      </c>
      <c r="D17" s="189">
        <f t="shared" si="1"/>
        <v>1.071428571</v>
      </c>
      <c r="E17" s="190">
        <f t="shared" si="2"/>
        <v>0</v>
      </c>
    </row>
    <row r="18">
      <c r="B18" s="37" t="s">
        <v>146</v>
      </c>
      <c r="C18" s="188">
        <v>5.0</v>
      </c>
      <c r="D18" s="189">
        <f t="shared" si="1"/>
        <v>1.071428571</v>
      </c>
      <c r="E18" s="190">
        <f t="shared" si="2"/>
        <v>0</v>
      </c>
    </row>
    <row r="19">
      <c r="B19" s="37" t="s">
        <v>147</v>
      </c>
      <c r="C19" s="188">
        <v>5.0</v>
      </c>
      <c r="D19" s="189">
        <f t="shared" si="1"/>
        <v>1.071428571</v>
      </c>
      <c r="E19" s="190">
        <f t="shared" si="2"/>
        <v>0</v>
      </c>
    </row>
    <row r="20">
      <c r="B20" s="37" t="s">
        <v>148</v>
      </c>
      <c r="C20" s="188">
        <v>5.0</v>
      </c>
      <c r="D20" s="189">
        <f t="shared" si="1"/>
        <v>1.071428571</v>
      </c>
      <c r="E20" s="190">
        <f t="shared" si="2"/>
        <v>0</v>
      </c>
    </row>
    <row r="21" ht="15.75" customHeight="1">
      <c r="B21" s="37" t="s">
        <v>149</v>
      </c>
      <c r="C21" s="188">
        <v>5.0</v>
      </c>
      <c r="D21" s="189">
        <f t="shared" si="1"/>
        <v>1.071428571</v>
      </c>
      <c r="E21" s="190">
        <f t="shared" si="2"/>
        <v>0</v>
      </c>
    </row>
    <row r="22" ht="15.75" customHeight="1">
      <c r="B22" s="37" t="s">
        <v>150</v>
      </c>
      <c r="C22" s="188">
        <v>5.0</v>
      </c>
      <c r="D22" s="189">
        <f t="shared" si="1"/>
        <v>1.071428571</v>
      </c>
      <c r="E22" s="190">
        <f t="shared" si="2"/>
        <v>0</v>
      </c>
    </row>
    <row r="23" ht="15.75" customHeight="1">
      <c r="B23" s="37" t="s">
        <v>151</v>
      </c>
      <c r="C23" s="188">
        <v>5.0</v>
      </c>
      <c r="D23" s="189">
        <f t="shared" si="1"/>
        <v>1.071428571</v>
      </c>
      <c r="E23" s="190">
        <f t="shared" si="2"/>
        <v>0</v>
      </c>
    </row>
    <row r="24" ht="15.75" customHeight="1">
      <c r="B24" s="37" t="s">
        <v>152</v>
      </c>
      <c r="C24" s="188">
        <v>5.0</v>
      </c>
      <c r="D24" s="189">
        <f t="shared" si="1"/>
        <v>1.071428571</v>
      </c>
      <c r="E24" s="190">
        <f t="shared" si="2"/>
        <v>0</v>
      </c>
    </row>
    <row r="25" ht="15.75" customHeight="1">
      <c r="B25" s="181" t="s">
        <v>153</v>
      </c>
      <c r="C25" s="191">
        <v>5.0</v>
      </c>
      <c r="D25" s="192">
        <f t="shared" si="1"/>
        <v>1.071428571</v>
      </c>
      <c r="E25" s="193">
        <f t="shared" si="2"/>
        <v>0</v>
      </c>
    </row>
    <row r="26" ht="15.75" customHeight="1">
      <c r="B26" s="82" t="s">
        <v>51</v>
      </c>
      <c r="C26" s="194">
        <f t="shared" ref="C26:E26" si="3">SUM(C14:C25)</f>
        <v>56</v>
      </c>
      <c r="D26" s="195">
        <f t="shared" si="3"/>
        <v>12</v>
      </c>
      <c r="E26" s="175">
        <f t="shared" si="3"/>
        <v>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C2"/>
    <mergeCell ref="B12:B13"/>
    <mergeCell ref="C12:C13"/>
    <mergeCell ref="D12:E12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32.71"/>
    <col customWidth="1" min="4" max="4" width="35.0"/>
    <col customWidth="1" min="5" max="26" width="11.43"/>
  </cols>
  <sheetData>
    <row r="4">
      <c r="C4" s="1" t="s">
        <v>156</v>
      </c>
      <c r="D4" s="2"/>
    </row>
    <row r="5">
      <c r="C5" s="44" t="s">
        <v>65</v>
      </c>
      <c r="D5" s="44" t="s">
        <v>67</v>
      </c>
    </row>
    <row r="6">
      <c r="C6" s="196" t="s">
        <v>157</v>
      </c>
      <c r="D6" s="197">
        <f>SUM('Gastos de Constitución'!E11+'Gastos de Constitución'!E21)</f>
        <v>0</v>
      </c>
    </row>
    <row r="7">
      <c r="C7" s="198" t="s">
        <v>158</v>
      </c>
      <c r="D7" s="199">
        <f>'Plan de Inversion'!I8</f>
        <v>8020232</v>
      </c>
    </row>
    <row r="8">
      <c r="C8" s="198" t="s">
        <v>159</v>
      </c>
      <c r="D8" s="199">
        <f>'Gastos de Personal'!C17</f>
        <v>21650905</v>
      </c>
    </row>
    <row r="9">
      <c r="C9" s="198" t="s">
        <v>160</v>
      </c>
      <c r="D9" s="199">
        <f>'Gastos de Personal'!C36</f>
        <v>898739.5365</v>
      </c>
    </row>
    <row r="10">
      <c r="C10" s="198" t="s">
        <v>103</v>
      </c>
      <c r="D10" s="199">
        <f>'Gastos Administrativos'!D16</f>
        <v>1340000</v>
      </c>
    </row>
    <row r="11">
      <c r="C11" s="198" t="s">
        <v>161</v>
      </c>
      <c r="D11" s="199">
        <f>'Gastos de Marketing'!D16</f>
        <v>0</v>
      </c>
    </row>
    <row r="12">
      <c r="C12" s="200" t="s">
        <v>162</v>
      </c>
      <c r="D12" s="201">
        <f>'Comportamiento de Compras'!F9</f>
        <v>0</v>
      </c>
    </row>
    <row r="13">
      <c r="C13" s="202" t="s">
        <v>163</v>
      </c>
      <c r="D13" s="203">
        <f>SUM(D6:D12)</f>
        <v>31909876.54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4:D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2023-05-18T14:47:45Z</dcterms:created>
  <dc:creator>Julian Andres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b4b65bec-42e9-415c-89bf-665daa844c10</vt:lpwstr>
  </property>
</Properties>
</file>