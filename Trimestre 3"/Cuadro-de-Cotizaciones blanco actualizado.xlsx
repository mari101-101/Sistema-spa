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ELANY PINZON\Downloads\"/>
    </mc:Choice>
  </mc:AlternateContent>
  <xr:revisionPtr revIDLastSave="0" documentId="8_{F8F37D7E-1BBF-492A-9C3C-42C0BC1BEC80}" xr6:coauthVersionLast="47" xr6:coauthVersionMax="47" xr10:uidLastSave="{00000000-0000-0000-0000-000000000000}"/>
  <bookViews>
    <workbookView xWindow="4368" yWindow="696" windowWidth="17280" windowHeight="9960" xr2:uid="{00000000-000D-0000-FFFF-FFFF00000000}"/>
  </bookViews>
  <sheets>
    <sheet name="Portada" sheetId="1" r:id="rId1"/>
    <sheet name="Consolidado" sheetId="2" r:id="rId2"/>
    <sheet name="Gastos de Personal" sheetId="3" r:id="rId3"/>
    <sheet name="Torre admin" sheetId="4" r:id="rId4"/>
    <sheet name="Monitor Admin" sheetId="5" r:id="rId5"/>
    <sheet name="DiscoSolido Admin" sheetId="6" r:id="rId6"/>
    <sheet name="Disco duro interno Admin" sheetId="7" r:id="rId7"/>
    <sheet name="ram Admin" sheetId="8" r:id="rId8"/>
    <sheet name="Servidor Admin" sheetId="9" r:id="rId9"/>
    <sheet name="Teclado Admin" sheetId="10" r:id="rId10"/>
    <sheet name="Mouse Admin" sheetId="11" r:id="rId11"/>
    <sheet name="Portatil Nosotros" sheetId="12" r:id="rId12"/>
    <sheet name="Monitor Nosotros" sheetId="13" r:id="rId13"/>
    <sheet name=" Disco mecanico Nosotros" sheetId="14" r:id="rId14"/>
    <sheet name=" Servidor Nosotros" sheetId="15" r:id="rId15"/>
    <sheet name=" ram nosotros" sheetId="16" r:id="rId16"/>
    <sheet name="Tarjeta de video nosotros" sheetId="17" r:id="rId17"/>
    <sheet name="Procesador Nosotros" sheetId="18" r:id="rId18"/>
    <sheet name="Teclado nosostros " sheetId="19" r:id="rId19"/>
    <sheet name="Mouse nosotros" sheetId="20" r:id="rId20"/>
    <sheet name="software licencia" sheetId="21" r:id="rId21"/>
    <sheet name="licencia visual" sheetId="22" r:id="rId22"/>
    <sheet name="windows 11 licencia" sheetId="23" r:id="rId23"/>
    <sheet name="licencia SQL" sheetId="24" r:id="rId24"/>
    <sheet name="Servicios en la nube" sheetId="25" r:id="rId25"/>
    <sheet name="ParaFiscales" sheetId="26" r:id="rId2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0" roundtripDataChecksum="eFrbsXivGF8SBqaZzZIDWFKGhgo1+HbQZm1rUJ5QDeA="/>
    </ext>
  </extLst>
</workbook>
</file>

<file path=xl/calcChain.xml><?xml version="1.0" encoding="utf-8"?>
<calcChain xmlns="http://schemas.openxmlformats.org/spreadsheetml/2006/main">
  <c r="C27" i="26" l="1"/>
  <c r="C26" i="26"/>
  <c r="C25" i="26"/>
  <c r="C17" i="26"/>
  <c r="C11" i="26"/>
  <c r="G11" i="21"/>
  <c r="F54" i="3"/>
  <c r="I53" i="3"/>
  <c r="F53" i="3"/>
  <c r="I51" i="3"/>
  <c r="F51" i="3"/>
  <c r="I48" i="3"/>
  <c r="F48" i="3"/>
  <c r="I47" i="3"/>
  <c r="F47" i="3"/>
  <c r="I46" i="3"/>
  <c r="F46" i="3"/>
  <c r="I45" i="3"/>
  <c r="F45" i="3"/>
  <c r="I44" i="3"/>
  <c r="F44" i="3"/>
  <c r="I42" i="3"/>
  <c r="I54" i="3" s="1"/>
  <c r="F42" i="3"/>
  <c r="I41" i="3"/>
  <c r="F41" i="3"/>
  <c r="I40" i="3"/>
  <c r="F40" i="3"/>
  <c r="I39" i="3"/>
  <c r="F39" i="3"/>
  <c r="F36" i="3"/>
  <c r="C36" i="3"/>
  <c r="I35" i="3"/>
  <c r="F35" i="3"/>
  <c r="C35" i="3"/>
  <c r="I33" i="3"/>
  <c r="F33" i="3"/>
  <c r="C33" i="3"/>
  <c r="I30" i="3"/>
  <c r="F30" i="3"/>
  <c r="C30" i="3"/>
  <c r="I29" i="3"/>
  <c r="F29" i="3"/>
  <c r="C29" i="3"/>
  <c r="I28" i="3"/>
  <c r="F28" i="3"/>
  <c r="C28" i="3"/>
  <c r="I27" i="3"/>
  <c r="F27" i="3"/>
  <c r="C27" i="3"/>
  <c r="I26" i="3"/>
  <c r="F26" i="3"/>
  <c r="C26" i="3"/>
  <c r="I24" i="3"/>
  <c r="I36" i="3" s="1"/>
  <c r="F24" i="3"/>
  <c r="C24" i="3"/>
  <c r="I23" i="3"/>
  <c r="F23" i="3"/>
  <c r="C23" i="3"/>
  <c r="I22" i="3"/>
  <c r="F22" i="3"/>
  <c r="C22" i="3"/>
  <c r="I21" i="3"/>
  <c r="F21" i="3"/>
  <c r="C21" i="3"/>
  <c r="O17" i="3"/>
  <c r="N17" i="3"/>
  <c r="L17" i="3"/>
  <c r="K17" i="3"/>
  <c r="I17" i="3"/>
  <c r="H17" i="3"/>
  <c r="F17" i="3"/>
  <c r="E17" i="3"/>
  <c r="C17" i="3"/>
  <c r="P16" i="3"/>
  <c r="P17" i="3" s="1"/>
  <c r="O16" i="3"/>
  <c r="N16" i="3"/>
  <c r="M16" i="3"/>
  <c r="L16" i="3"/>
  <c r="J16" i="3"/>
  <c r="I16" i="3"/>
  <c r="H16" i="3"/>
  <c r="G16" i="3"/>
  <c r="F16" i="3"/>
  <c r="E16" i="3"/>
  <c r="P15" i="3"/>
  <c r="O15" i="3"/>
  <c r="N15" i="3"/>
  <c r="M15" i="3"/>
  <c r="M17" i="3" s="1"/>
  <c r="L15" i="3"/>
  <c r="J15" i="3"/>
  <c r="I15" i="3"/>
  <c r="H15" i="3"/>
  <c r="G15" i="3"/>
  <c r="F15" i="3"/>
  <c r="E15" i="3"/>
  <c r="P14" i="3"/>
  <c r="O14" i="3"/>
  <c r="N14" i="3"/>
  <c r="M14" i="3"/>
  <c r="L14" i="3"/>
  <c r="J14" i="3"/>
  <c r="I14" i="3"/>
  <c r="H14" i="3"/>
  <c r="G14" i="3"/>
  <c r="F14" i="3"/>
  <c r="E14" i="3"/>
  <c r="P13" i="3"/>
  <c r="O13" i="3"/>
  <c r="N13" i="3"/>
  <c r="M13" i="3"/>
  <c r="L13" i="3"/>
  <c r="J13" i="3"/>
  <c r="I13" i="3"/>
  <c r="H13" i="3"/>
  <c r="G13" i="3"/>
  <c r="F13" i="3"/>
  <c r="E13" i="3"/>
  <c r="N12" i="3"/>
  <c r="M12" i="3"/>
  <c r="L12" i="3"/>
  <c r="J12" i="3"/>
  <c r="I12" i="3"/>
  <c r="H12" i="3"/>
  <c r="G12" i="3"/>
  <c r="F12" i="3"/>
  <c r="E12" i="3"/>
  <c r="N11" i="3"/>
  <c r="M11" i="3"/>
  <c r="L11" i="3"/>
  <c r="J11" i="3"/>
  <c r="I11" i="3"/>
  <c r="H11" i="3"/>
  <c r="G11" i="3"/>
  <c r="F11" i="3"/>
  <c r="E11" i="3"/>
  <c r="N10" i="3"/>
  <c r="M10" i="3"/>
  <c r="L10" i="3"/>
  <c r="J10" i="3"/>
  <c r="I10" i="3"/>
  <c r="H10" i="3"/>
  <c r="G10" i="3"/>
  <c r="F10" i="3"/>
  <c r="E10" i="3"/>
  <c r="N9" i="3"/>
  <c r="M9" i="3"/>
  <c r="L9" i="3"/>
  <c r="J9" i="3"/>
  <c r="I9" i="3"/>
  <c r="H9" i="3"/>
  <c r="G9" i="3"/>
  <c r="F9" i="3"/>
  <c r="E9" i="3"/>
  <c r="N8" i="3"/>
  <c r="M8" i="3"/>
  <c r="L8" i="3"/>
  <c r="J8" i="3"/>
  <c r="I8" i="3"/>
  <c r="H8" i="3"/>
  <c r="G8" i="3"/>
  <c r="F8" i="3"/>
  <c r="E8" i="3"/>
  <c r="N7" i="3"/>
  <c r="M7" i="3"/>
  <c r="L7" i="3"/>
  <c r="J7" i="3"/>
  <c r="I7" i="3"/>
  <c r="H7" i="3"/>
  <c r="G7" i="3"/>
  <c r="F7" i="3"/>
  <c r="E7" i="3"/>
  <c r="N6" i="3"/>
  <c r="M6" i="3"/>
  <c r="L6" i="3"/>
  <c r="J6" i="3"/>
  <c r="I6" i="3"/>
  <c r="H6" i="3"/>
  <c r="G6" i="3"/>
  <c r="F6" i="3"/>
  <c r="E6" i="3"/>
  <c r="N5" i="3"/>
  <c r="M5" i="3"/>
  <c r="L5" i="3"/>
  <c r="J5" i="3"/>
  <c r="J17" i="3" s="1"/>
  <c r="I5" i="3"/>
  <c r="H5" i="3"/>
  <c r="G5" i="3"/>
  <c r="G17" i="3" s="1"/>
  <c r="F5" i="3"/>
  <c r="E5" i="3"/>
  <c r="C14" i="2"/>
</calcChain>
</file>

<file path=xl/sharedStrings.xml><?xml version="1.0" encoding="utf-8"?>
<sst xmlns="http://schemas.openxmlformats.org/spreadsheetml/2006/main" count="1309" uniqueCount="732">
  <si>
    <t>Elaboración Propuesta Fichas Tecnicas</t>
  </si>
  <si>
    <t xml:space="preserve">Integrantes: </t>
  </si>
  <si>
    <t>Melany Vanneza pinzon laserna</t>
  </si>
  <si>
    <t>Andres Felipe Reyes Saenz</t>
  </si>
  <si>
    <t xml:space="preserve">Julian Arley Moreno Maldonado                                       
</t>
  </si>
  <si>
    <t>Roles del  Spa: Administrador, Recepcionista, Empleados, Cliente</t>
  </si>
  <si>
    <t xml:space="preserve">Control de invetario para </t>
  </si>
  <si>
    <t>ADSO</t>
  </si>
  <si>
    <t>Datos del cliente</t>
  </si>
  <si>
    <t>Nombre:</t>
  </si>
  <si>
    <t>Spa New Boys</t>
  </si>
  <si>
    <t>NIT:</t>
  </si>
  <si>
    <t>901.456.782-3</t>
  </si>
  <si>
    <t>Dirección:</t>
  </si>
  <si>
    <t>Cra 80 #70-22, Bogotá</t>
  </si>
  <si>
    <t>Teléfono:</t>
  </si>
  <si>
    <t>312 456 7890</t>
  </si>
  <si>
    <t>Datos del equipo</t>
  </si>
  <si>
    <t>Marca</t>
  </si>
  <si>
    <t>Modelo</t>
  </si>
  <si>
    <t>Sistema Operativo</t>
  </si>
  <si>
    <t>Descripcion</t>
  </si>
  <si>
    <t>Estado</t>
  </si>
  <si>
    <t>Precio</t>
  </si>
  <si>
    <t>Justificación</t>
  </si>
  <si>
    <t>PC GAMER AMD RYZEN 5 5600G A520M WIFI 16GB 512 M2 VEGA 7</t>
  </si>
  <si>
    <t>PC GAMER AMD RYZEN 5</t>
  </si>
  <si>
    <t>A520M</t>
  </si>
  <si>
    <t>propuesto</t>
  </si>
  <si>
    <t>$1.970.000</t>
  </si>
  <si>
    <t>Se eligió por su procesador Ryzen 5 con gráficos integrados y 16GB de RAM, ofreciendo buen rendimiento y fluidez sin necesidad de tarjeta gráfica adicional. ademas de tener un percio accesible</t>
  </si>
  <si>
    <t>MONITOR ACER 22" EK220Q 100Hz 1Ms 1920 X 1080 VA HDMI + VGA</t>
  </si>
  <si>
    <t>EK220Q</t>
  </si>
  <si>
    <t>Se seleccionó por su resolución Full HD y 100Hz, que brindan buena calidad de imagen y fluidez visual.</t>
  </si>
  <si>
    <t>Disco de Estado Sólido 2.5 512GB SATA XUE® BLINK S500/512 550MB/S</t>
  </si>
  <si>
    <t>BLINK S500/512.</t>
  </si>
  <si>
    <t>XUE BLINK S500/512</t>
  </si>
  <si>
    <t>$ 356,663</t>
  </si>
  <si>
    <t>Se eligió por su capacidad y mayor velocidad frente a discos duros, mejorando el rendimiento del sistema.</t>
  </si>
  <si>
    <t>Unidad solida M2 Xpress Legend 710 de 512 Gb Adata</t>
  </si>
  <si>
    <t>Adata</t>
  </si>
  <si>
    <t>M2 Xpress Legend 710</t>
  </si>
  <si>
    <t>$295.000</t>
  </si>
  <si>
    <t>Se seleccionó por su alta velocidad de lectura y escritura, optimizando el rendimiento del equipo.</t>
  </si>
  <si>
    <t>Memoria RAM ADATA 16Gb DDR4 3200 PC</t>
  </si>
  <si>
    <t>ADATA Premier 16GB DDR4 3200 AD4U320016G22-SGN</t>
  </si>
  <si>
    <t>$ 448.000</t>
  </si>
  <si>
    <t>Se eligió por su capacidad de 16GB y frecuencia de 3200MHz, lo que asegura un buen desempeño en multitarea y ejecución de aplicaciones, manteniendo estabilidad y rapidez en el sistema.</t>
  </si>
  <si>
    <t xml:space="preserve">Servicio de hosting de Paginas web </t>
  </si>
  <si>
    <t>donweb</t>
  </si>
  <si>
    <t xml:space="preserve">No aplica </t>
  </si>
  <si>
    <t>$11.500</t>
  </si>
  <si>
    <t>Se seleccionó este servicio debido a su capacidad de almacenamiento y recursos disponibles, lo que permite alojar páginas web de manera eficiente, garantizando estabilidad y buen rendimiento.</t>
  </si>
  <si>
    <t>HostGator</t>
  </si>
  <si>
    <t xml:space="preserve">propuesto  </t>
  </si>
  <si>
    <t>$11.200</t>
  </si>
  <si>
    <t>Se eligió este proveedor por su alta disponibilidad de servidores, buen rendimiento y reconocimiento en el mercado, lo que garantiza confiabilidad y soporte para proyectos web.</t>
  </si>
  <si>
    <t>Teclado USB Jaltech forza KB 05</t>
  </si>
  <si>
    <t>Jaltech</t>
  </si>
  <si>
    <t>Teclado USB Forza Jaltech KB-05</t>
  </si>
  <si>
    <t>39.900</t>
  </si>
  <si>
    <t>Se seleccionó este teclado por su diseño ergonómico y conexión USB plug-and-play, facilitando su uso sin configuraciones adicionales, además de ofrecer comodidad para largas jornadas de trabajo.</t>
  </si>
  <si>
    <t>Mouse Usb Logitech M90 Negro</t>
  </si>
  <si>
    <t>Logitech</t>
  </si>
  <si>
    <t>Logitech M90</t>
  </si>
  <si>
    <t>$ 24.900</t>
  </si>
  <si>
    <t>Se eligió este mouse por su precisión y sensor óptico confiable, además de su diseño sencillo y cómodo que lo hace adecuado para uso continuo en tareas de oficina.</t>
  </si>
  <si>
    <t>Pc gamer esencial</t>
  </si>
  <si>
    <t>ACER</t>
  </si>
  <si>
    <t>Combo de computador</t>
  </si>
  <si>
    <t>Se seleccionó por ser un equipo completo, compatible y fácil de instalar. Ademas su precio sale mas rentable, por esto consideramos que es mejor opcion comprarlo de esta manera en lugar de por partes.</t>
  </si>
  <si>
    <t>Computador AMD Ryzen 5</t>
  </si>
  <si>
    <t>Este es una buena segunda opcion y se eligió por su buen rendimiento gracias al procesador Ryzen 5, aunque su precio es más alto frente a opciones similares.</t>
  </si>
  <si>
    <t xml:space="preserve">Portatil Asus Vivobook 15 </t>
  </si>
  <si>
    <t>ASUS</t>
  </si>
  <si>
    <t>Vivobook 15 M1502</t>
  </si>
  <si>
    <t>Propuesto</t>
  </si>
  <si>
    <t>Se eligió por su procesador Ryzen 7 y 16GB de RAM, que ofrecen un excelente rendimiento en multitarea y eficiencia energética, junto con SSD de 512GB que mejora la velocidad del sistema.</t>
  </si>
  <si>
    <t>Salario Personal</t>
  </si>
  <si>
    <t>Salud</t>
  </si>
  <si>
    <t>Pension</t>
  </si>
  <si>
    <t>Subsidio de Transporte</t>
  </si>
  <si>
    <t>Total Con decuentos</t>
  </si>
  <si>
    <t>Total Sin Descuentos</t>
  </si>
  <si>
    <t>Sueldo Total Año</t>
  </si>
  <si>
    <t>Por Hora</t>
  </si>
  <si>
    <t>Por Hora con descuento</t>
  </si>
  <si>
    <t>Cargo</t>
  </si>
  <si>
    <t>Sueldo Mensual</t>
  </si>
  <si>
    <t>Dias Laborados</t>
  </si>
  <si>
    <t>Empleado</t>
  </si>
  <si>
    <t>Empresa</t>
  </si>
  <si>
    <t>Total</t>
  </si>
  <si>
    <t>Salario minimo</t>
  </si>
  <si>
    <t>Programador Junior</t>
  </si>
  <si>
    <t>Programador Junior Bilingue</t>
  </si>
  <si>
    <t>Programador Senior</t>
  </si>
  <si>
    <t>Programador Senior Bilingue</t>
  </si>
  <si>
    <t>Tecnico</t>
  </si>
  <si>
    <t>Tecnologo</t>
  </si>
  <si>
    <t>Profecional(ingeniero)</t>
  </si>
  <si>
    <t>Totales</t>
  </si>
  <si>
    <t>Aportes Fiscales Minimo</t>
  </si>
  <si>
    <t>Aportes Fiscales Junior</t>
  </si>
  <si>
    <t>Aportes Fiscales Junior B</t>
  </si>
  <si>
    <t>SENA</t>
  </si>
  <si>
    <t>ICBF</t>
  </si>
  <si>
    <t>Cajas</t>
  </si>
  <si>
    <t>Cargas Prestacionales</t>
  </si>
  <si>
    <t>Cesantias</t>
  </si>
  <si>
    <t>Intereses a las Cesantias</t>
  </si>
  <si>
    <t>Prima de Servicios</t>
  </si>
  <si>
    <t>Vacaciones</t>
  </si>
  <si>
    <t>Seguridad Social</t>
  </si>
  <si>
    <t>Aportes Fiscales Senior</t>
  </si>
  <si>
    <t>Aportes Fiscales Senior B</t>
  </si>
  <si>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</si>
  <si>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</si>
  <si>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</si>
  <si>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</si>
  <si>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</si>
  <si>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</si>
  <si>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</si>
  <si>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</si>
  <si>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</si>
  <si>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</si>
  <si>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</si>
  <si>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</si>
  <si>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 1</t>
  </si>
  <si>
    <t>Computadores y Partes Tigertech s.a.s</t>
  </si>
  <si>
    <t>901.456.832-7. Cra. 16a #78-79 of 607, Chapinero, Bogotá. 3195753830</t>
  </si>
  <si>
    <t>$533,87</t>
  </si>
  <si>
    <t>3.690,16</t>
  </si>
  <si>
    <t>Efectivo y Transferencias</t>
  </si>
  <si>
    <t>Precio solo Efectivo, con tarjeta el valor sube hasta un 19%</t>
  </si>
  <si>
    <t xml:space="preserve">Nº2 </t>
  </si>
  <si>
    <t>Power Deal S.A.S</t>
  </si>
  <si>
    <t>900.190.657-7.Cra 15 77-05 oficina 320. 3204705000</t>
  </si>
  <si>
    <t>TORRE KRAKEN R5 / ANTEC  VCX30 + 5 ARGB / RYZ 5 5600G + A520M + 16GB DDR4 + 512 NVMe + 450W</t>
  </si>
  <si>
    <t>$2.079.000</t>
  </si>
  <si>
    <t>$563,40</t>
  </si>
  <si>
    <t>3.690,17</t>
  </si>
  <si>
    <t>Efectivo y Tarjetas</t>
  </si>
  <si>
    <t>Precio Sin envios y sujeto a descuentos de la empresa</t>
  </si>
  <si>
    <t>Nº 3</t>
  </si>
  <si>
    <t>Gtech Systems S A S</t>
  </si>
  <si>
    <t>900.870.551-3. CL 47 # 13 - 15 AP 501. 3196262690</t>
  </si>
  <si>
    <t xml:space="preserve">PC Monster A: Ryzen 5 5600G 8 Threads, Vega Graphics, 16GB DDR4, NVMe 512 </t>
  </si>
  <si>
    <t>$546,60</t>
  </si>
  <si>
    <t>3.690,18</t>
  </si>
  <si>
    <t>Precio con tarjeta, pagos con efectivo llevan un descuento de 3%</t>
  </si>
  <si>
    <r>
      <rPr>
        <b/>
        <sz val="10"/>
        <color theme="1"/>
        <rFont val="Arial"/>
      </rP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</si>
  <si>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</si>
  <si>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Arial"/>
      </rPr>
      <t>Empresa</t>
    </r>
    <r>
      <rPr>
        <i/>
        <sz val="10"/>
        <color theme="1"/>
        <rFont val="Arial"/>
      </rPr>
      <t xml:space="preserve">
(Nombre fiscal de la empresa)</t>
    </r>
  </si>
  <si>
    <r>
      <rPr>
        <b/>
        <sz val="10"/>
        <color theme="1"/>
        <rFont val="Trebuchet MS"/>
      </rPr>
      <t>NIT Dirección, Teléfono</t>
    </r>
    <r>
      <rPr>
        <i/>
        <sz val="10"/>
        <color theme="1"/>
        <rFont val="Trebuchet MS"/>
      </rPr>
      <t xml:space="preserve">
</t>
    </r>
  </si>
  <si>
    <r>
      <rPr>
        <b/>
        <sz val="10"/>
        <color theme="1"/>
        <rFont val="Arial"/>
      </rPr>
      <t>Descripción del
bien/ servicio (b)</t>
    </r>
    <r>
      <rPr>
        <i/>
        <sz val="10"/>
        <color theme="1"/>
        <rFont val="Arial"/>
      </rPr>
      <t xml:space="preserve">
Características de los bienes/ servicios</t>
    </r>
  </si>
  <si>
    <r>
      <rPr>
        <b/>
        <sz val="10"/>
        <color theme="1"/>
        <rFont val="Arial"/>
      </rPr>
      <t xml:space="preserve">Importe Unitario
</t>
    </r>
    <r>
      <rPr>
        <i/>
        <sz val="10"/>
        <color theme="1"/>
        <rFont val="Arial"/>
      </rPr>
      <t>(moneda nacional)</t>
    </r>
  </si>
  <si>
    <r>
      <rPr>
        <b/>
        <u/>
        <sz val="10"/>
        <color theme="1"/>
        <rFont val="Arial"/>
      </rPr>
      <t xml:space="preserve">Importe Total
 IVA incluido
</t>
    </r>
    <r>
      <rPr>
        <i/>
        <u/>
        <sz val="10"/>
        <color theme="1"/>
        <rFont val="Arial"/>
      </rPr>
      <t>(moneda nacional)</t>
    </r>
  </si>
  <si>
    <r>
      <rPr>
        <b/>
        <sz val="10"/>
        <color theme="1"/>
        <rFont val="Arial"/>
      </rPr>
      <t xml:space="preserve">Importe Total
</t>
    </r>
    <r>
      <rPr>
        <i/>
        <sz val="10"/>
        <color theme="1"/>
        <rFont val="Arial"/>
      </rPr>
      <t>(moneda extranjera)</t>
    </r>
  </si>
  <si>
    <r>
      <rPr>
        <b/>
        <sz val="10"/>
        <color theme="1"/>
        <rFont val="Arial"/>
      </rPr>
      <t xml:space="preserve">Forma de Pago 
</t>
    </r>
    <r>
      <rPr>
        <i/>
        <sz val="10"/>
        <color theme="1"/>
        <rFont val="Arial"/>
      </rPr>
      <t>(Contado o Cheque)</t>
    </r>
  </si>
  <si>
    <r>
      <rPr>
        <b/>
        <sz val="10"/>
        <color theme="1"/>
        <rFont val="Arial"/>
      </rPr>
      <t xml:space="preserve">Observaciones </t>
    </r>
    <r>
      <rPr>
        <i/>
        <sz val="10"/>
        <color theme="1"/>
        <rFont val="Arial"/>
      </rPr>
      <t xml:space="preserve">
(se debe incluir toda aquella característica que no ha sido posible incluir anteriormente)</t>
    </r>
  </si>
  <si>
    <t>MONITOR ASUS 22 VP229HF 1080 100HZ FHD</t>
  </si>
  <si>
    <t>Monitor Gamer IPS Iceberg SPECMAX 24″ 1ms 100Hz GSync FreeSync HDMI FullHD G24V3</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</si>
  <si>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</si>
  <si>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</si>
  <si>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</si>
  <si>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</si>
  <si>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</si>
  <si>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</si>
  <si>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</si>
  <si>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</si>
  <si>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</si>
  <si>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</si>
  <si>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Todo Tintas y Suministros</t>
  </si>
  <si>
    <t>830031519. CR 69 K NO. 69-35. 313 854 6796</t>
  </si>
  <si>
    <t>$ 327.000</t>
  </si>
  <si>
    <t>$88,62</t>
  </si>
  <si>
    <t>Frontier</t>
  </si>
  <si>
    <t>800015163-1. Calle 10 Sur No. 48A-55 . (4) 448 5100</t>
  </si>
  <si>
    <t>$96,65</t>
  </si>
  <si>
    <t>SYSTORE COLOMBIA</t>
  </si>
  <si>
    <t>901450245. Cr 15 # 77 05 Local 258, (314) 251 26 38</t>
  </si>
  <si>
    <t>Disco Sòlido 512gb Lexar NS100 Sata3 LNS100-512RBNA</t>
  </si>
  <si>
    <t>370.000 $</t>
  </si>
  <si>
    <t>$100,27</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</si>
  <si>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</si>
  <si>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</si>
  <si>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</si>
  <si>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</si>
  <si>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</si>
  <si>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</si>
  <si>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</si>
  <si>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</si>
  <si>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</si>
  <si>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</si>
  <si>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$295.001</t>
  </si>
  <si>
    <t>$79,94</t>
  </si>
  <si>
    <t>Disco de Estado Sólido SSD SanDisk Plus 500GB M.2 NVMe PCIe 3.0</t>
  </si>
  <si>
    <t>$ 373,745</t>
  </si>
  <si>
    <t>$101,28</t>
  </si>
  <si>
    <t>Disco Solido M.2 Nvme 512gb Adata Legend 700 ALEG-700-512GCS</t>
  </si>
  <si>
    <t>395.000 $</t>
  </si>
  <si>
    <t>$107,04</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</si>
  <si>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</si>
  <si>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</si>
  <si>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</si>
  <si>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</si>
  <si>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</si>
  <si>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</si>
  <si>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</si>
  <si>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</si>
  <si>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</si>
  <si>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</si>
  <si>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$121,41</t>
  </si>
  <si>
    <t>Memoria Ram para PC DDR4 16GB Kingston 3200mhz</t>
  </si>
  <si>
    <t>$ 330,709</t>
  </si>
  <si>
    <t>$89,45</t>
  </si>
  <si>
    <t>Memoria Ram Ddr4 Pc 16Gb Kingston 2666Mhz KVR26N17S8/16</t>
  </si>
  <si>
    <t>495.000 $</t>
  </si>
  <si>
    <t>$134,14</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</si>
  <si>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</si>
  <si>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</si>
  <si>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</si>
  <si>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</si>
  <si>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</si>
  <si>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</si>
  <si>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</si>
  <si>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</si>
  <si>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</si>
  <si>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</si>
  <si>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901292649-1 CARRERA 87 147 B 25 CA 33, 6014602708</t>
  </si>
  <si>
    <t>$3,12</t>
  </si>
  <si>
    <t>Tarjeta</t>
  </si>
  <si>
    <t>200GB de almacenamiento NVMe, Dominio .COM.CO GRATIS, Cuentas de correo ILIMITADO</t>
  </si>
  <si>
    <t>No cuenta con NIT, HostGator es una sociedad privada que opera bajo las leyes de Texas</t>
  </si>
  <si>
    <t>$3,04</t>
  </si>
  <si>
    <t>25 GB de almacenamiento NVMe, Agente de IA, Backup Diario, Correos ilimitados</t>
  </si>
  <si>
    <t>Hostinger</t>
  </si>
  <si>
    <t>No posee NIT pues no se encuentra registrada en la dian, ubicacion principal Vilnius, Lituania</t>
  </si>
  <si>
    <t>$11.900</t>
  </si>
  <si>
    <t>$3,22</t>
  </si>
  <si>
    <t>50 GB del almacenamiento NVMe, Backups diarios, Agente de IA, permite creacion de multiples sitios web</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</si>
  <si>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</si>
  <si>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</si>
  <si>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rgb="FF000000"/>
        <rFont val="Trebuchet MS"/>
      </rPr>
      <t>Empresa</t>
    </r>
    <r>
      <rPr>
        <i/>
        <sz val="8"/>
        <color rgb="FF000000"/>
        <rFont val="Trebuchet MS"/>
      </rPr>
      <t xml:space="preserve">
(Nombre fiscal de la empresa)</t>
    </r>
  </si>
  <si>
    <r>
      <rPr>
        <b/>
        <sz val="10"/>
        <color rgb="FF000000"/>
        <rFont val="Trebuchet MS"/>
      </rPr>
      <t>NIT Dirección, Teléfono</t>
    </r>
    <r>
      <rPr>
        <i/>
        <sz val="10"/>
        <color rgb="FF000000"/>
        <rFont val="Trebuchet MS"/>
      </rPr>
      <t xml:space="preserve">
</t>
    </r>
  </si>
  <si>
    <r>
      <rPr>
        <b/>
        <sz val="10"/>
        <color rgb="FF000000"/>
        <rFont val="Trebuchet MS"/>
      </rPr>
      <t>Descripción del
bien/ servicio (b)</t>
    </r>
    <r>
      <rPr>
        <i/>
        <sz val="10"/>
        <color rgb="FF000000"/>
        <rFont val="Trebuchet MS"/>
      </rPr>
      <t xml:space="preserve">
</t>
    </r>
    <r>
      <rPr>
        <i/>
        <sz val="8"/>
        <color rgb="FF000000"/>
        <rFont val="Trebuchet MS"/>
      </rPr>
      <t>Características de los bienes/ servicios</t>
    </r>
  </si>
  <si>
    <r>
      <rPr>
        <b/>
        <sz val="10"/>
        <color rgb="FF000000"/>
        <rFont val="Trebuchet MS"/>
      </rPr>
      <t xml:space="preserve">Importe Unitario
</t>
    </r>
    <r>
      <rPr>
        <i/>
        <sz val="8"/>
        <color rgb="FF000000"/>
        <rFont val="Trebuchet MS"/>
      </rPr>
      <t>(moneda nacional)</t>
    </r>
  </si>
  <si>
    <r>
      <rPr>
        <b/>
        <u/>
        <sz val="10"/>
        <color rgb="FF000000"/>
        <rFont val="Trebuchet MS"/>
      </rPr>
      <t>Importe Total</t>
    </r>
    <r>
      <rPr>
        <b/>
        <u/>
        <sz val="10"/>
        <color rgb="FF000000"/>
        <rFont val="Trebuchet MS"/>
      </rPr>
      <t xml:space="preserve">
 IVA incluido
</t>
    </r>
    <r>
      <rPr>
        <i/>
        <u/>
        <sz val="8"/>
        <color rgb="FF000000"/>
        <rFont val="Trebuchet MS"/>
      </rPr>
      <t>(moneda nacional)</t>
    </r>
  </si>
  <si>
    <r>
      <rPr>
        <b/>
        <sz val="10"/>
        <color rgb="FF000000"/>
        <rFont val="Arial"/>
      </rPr>
      <t xml:space="preserve">Importe Total
</t>
    </r>
    <r>
      <rPr>
        <i/>
        <sz val="8"/>
        <color rgb="FF000000"/>
        <rFont val="Arial"/>
      </rPr>
      <t>(moneda extranjera)</t>
    </r>
  </si>
  <si>
    <r>
      <rPr>
        <b/>
        <sz val="10"/>
        <color rgb="FF000000"/>
        <rFont val="Trebuchet MS"/>
      </rPr>
      <t xml:space="preserve">Forma de Pago 
</t>
    </r>
    <r>
      <rPr>
        <i/>
        <sz val="8"/>
        <color rgb="FF000000"/>
        <rFont val="Trebuchet MS"/>
      </rPr>
      <t>(Contado o Cheque)</t>
    </r>
  </si>
  <si>
    <r>
      <rPr>
        <b/>
        <sz val="10"/>
        <color rgb="FF000000"/>
        <rFont val="Trebuchet MS"/>
      </rPr>
      <t xml:space="preserve">Observaciones </t>
    </r>
    <r>
      <rPr>
        <i/>
        <sz val="10"/>
        <color rgb="FF000000"/>
        <rFont val="Trebuchet MS"/>
      </rPr>
      <t xml:space="preserve">
</t>
    </r>
    <r>
      <rPr>
        <i/>
        <sz val="8"/>
        <color rgb="FF000000"/>
        <rFont val="Trebuchet MS"/>
      </rPr>
      <t>(se debe incluir toda aquella característica que no ha sido posible incluir anteriormente)</t>
    </r>
  </si>
  <si>
    <t xml:space="preserve"> Almacenes Éxito S.A</t>
  </si>
  <si>
    <t>890.900.943-1 Cra. 68b #25B-80, Bogotá (601) 407 3033</t>
  </si>
  <si>
    <t>Teclado ESENSES Alámbrico BK-108 Negro</t>
  </si>
  <si>
    <t>$10,81</t>
  </si>
  <si>
    <t>Efectivo(en el almacen), targeta, PSE</t>
  </si>
  <si>
    <t>Colombiana de Comercio S.A</t>
  </si>
  <si>
    <t>890.900.608-9 Cra. 90 #60, Bogotá (1) 745 5444</t>
  </si>
  <si>
    <t>https://www.exito.com/teclado-hp-125-alambrico-usb-negro-espanol-104852239-mp/p</t>
  </si>
  <si>
    <t>CENCOSUD COLOMBIA S.A</t>
  </si>
  <si>
    <t>900.155.107-1 Avenida 9 # 125-30, Bogotá, Colombia 601 348 9888</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</si>
  <si>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</si>
  <si>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</si>
  <si>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</si>
  <si>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</si>
  <si>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</si>
  <si>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</si>
  <si>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</si>
  <si>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b/>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</si>
  <si>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</si>
  <si>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</si>
  <si>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Mouse LENOVO Alámbrico Óptico 300 Negro</t>
  </si>
  <si>
    <t>$29.900</t>
  </si>
  <si>
    <t>$8,10</t>
  </si>
  <si>
    <t>$ 29.900</t>
  </si>
  <si>
    <t>Mouse HP 100 alámbrico Negro</t>
  </si>
  <si>
    <t xml:space="preserve">CONTADO </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</si>
  <si>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</si>
  <si>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</si>
  <si>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</si>
  <si>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</si>
  <si>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</si>
  <si>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</si>
  <si>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</si>
  <si>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</si>
  <si>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</si>
  <si>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</si>
  <si>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</si>
  <si>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Mercado Libre</t>
  </si>
  <si>
    <t>830067394-6 Carrera 17 No. 93 - 09, Bogotá D.C.MercadoLibre</t>
  </si>
  <si>
    <r>
      <rPr>
        <sz val="10"/>
        <color rgb="FF000000"/>
        <rFont val="Arial"/>
      </rPr>
      <t xml:space="preserve">Portátil Hp 15-fc0272la Amd Ryzen 7 16 Gb De Ram 512 Gb Ssd  </t>
    </r>
    <r>
      <rPr>
        <u/>
        <sz val="10"/>
        <color rgb="FF1155CC"/>
        <rFont val="Arial"/>
      </rPr>
      <t>https://www.mercadolibre.com.co/portatil-hp-15fc0260la-r57520u-8gb-1tb-ssd-w11/up/MCOU3414562067#polycard_client=search-desktop&amp;search_layout=grid&amp;position=45&amp;type=product&amp;tracking_id=0c1bb0a9-ac8d-43b7-8fd1-87587f3ec486&amp;wid=MCO3120823028&amp;sid=search</t>
    </r>
  </si>
  <si>
    <t>3.679,25</t>
  </si>
  <si>
    <t>Mercado Pago: Saldo disponible en la cuenta de Mercado Pago.Tarjetas de Débito: Visa y Mastercard.</t>
  </si>
  <si>
    <t>1 año de garantía</t>
  </si>
  <si>
    <t>Panamericana</t>
  </si>
  <si>
    <t>Panamericana Librería y Papelería S.A. (Colombia) 830037946</t>
  </si>
  <si>
    <r>
      <rPr>
        <sz val="10"/>
        <color rgb="FF000000"/>
        <rFont val="Arial"/>
        <scheme val="minor"/>
      </rPr>
      <t xml:space="preserve">Portátil Acer Aspire Go de 15.6", Intel Ci5 13420H, RAM 16 GB, 512 GB SSD, W11 </t>
    </r>
    <r>
      <rPr>
        <u/>
        <sz val="10"/>
        <color rgb="FF1155CC"/>
        <rFont val="Arial"/>
        <scheme val="minor"/>
      </rPr>
      <t>https://www.panamericana.com.co/portatil-acer-aspire-go-de-15-6-intel-ci5-13420h-ram-16-gb-512gb-ssd-w11-721022/p?srsltid=AfmBOorSE7BB_BCG3W_AEhEnNHiu88VyaZDwv2a78r36L-vN7R7w4uIp</t>
    </r>
  </si>
  <si>
    <t>3.679,26</t>
  </si>
  <si>
    <t>ago en una sola exhibición o PPD - Pago en parcialidades o diferido</t>
  </si>
  <si>
    <r>
      <rPr>
        <sz val="11"/>
        <color rgb="FF000000"/>
        <rFont val="Arial"/>
        <scheme val="minor"/>
      </rPr>
      <t xml:space="preserve">Portatil Asus Vivobook 15 Amd Ryzen 7 16gb 512gb Windows 11 Plateado </t>
    </r>
    <r>
      <rPr>
        <u/>
        <sz val="11"/>
        <color rgb="FF1155CC"/>
        <rFont val="Arial"/>
        <scheme val="minor"/>
      </rPr>
      <t>https://www.mercadolibre.com.co/portatil-asus-vivobook-15-amd-ryzen-7-16gb-512gb-windows-11-plateado/p/MCO63052946?pdp_filters=item_id%3AMCO1789962793&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2389933078058&amp;matt_target_id=aud-2200363567910:pla-2389933078058&amp;cq_src=google_ads&amp;cq_cmp=22126928786&amp;cq_net=g&amp;cq_plt=gp&amp;cq_med=pla&amp;gad_source=1&amp;gad_campaignid=22126928786&amp;gbraid=0AAAAAD1DcozRCWvWDKp-eHmX_1NPqrQx0&amp;gclid=Cj0KCQjws83OBhD4ARIsACblj1_bGFdwebhPcJAi9_rqQF3ZMyyWDJ6DbcuOuyAik44e8tIH7mJII14aApUrEALw_wcB</t>
    </r>
  </si>
  <si>
    <t>3.679,27</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</si>
  <si>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</si>
  <si>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</si>
  <si>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</si>
  <si>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</si>
  <si>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</si>
  <si>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</si>
  <si>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</si>
  <si>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</si>
  <si>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</si>
  <si>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</si>
  <si>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Amazon</t>
  </si>
  <si>
    <t>901180732-2 901003327 Ambos registrados en Bogotá, D.C.</t>
  </si>
  <si>
    <r>
      <rPr>
        <sz val="10"/>
        <color rgb="FF0F1111"/>
        <rFont val="Arial"/>
      </rPr>
      <t xml:space="preserve">Acer Monitor de 27 pulgadas - Pantalla FHD IPS KB272-27 pulgadas (1920 x 1080), frecuencia de actualización de hasta 120 Hz, 99% sRGB, inclinación, compatibilidad de sincronización adaptativa </t>
    </r>
    <r>
      <rPr>
        <u/>
        <sz val="10"/>
        <color rgb="FF1155CC"/>
        <rFont val="Arial"/>
      </rPr>
      <t>https://www.amazon.com/Acer-Monitor-pulgadas-compatibilidad-sincronizaci%C3%B3n/dp/B0D9MK23S7?th=1&amp;language=es_US&amp;currency=COP</t>
    </r>
  </si>
  <si>
    <t>Tarjetas de Crédito y Débito: Visa, Mastercard y American Express. Amazon Recargable: Tarjeta prepagada propia de Amazon. Pago en Efectivo: En tiendas OXXO y otros establecimientos participantes (se genera un código de barras).</t>
  </si>
  <si>
    <t>30 días a  1 año de garantia</t>
  </si>
  <si>
    <t xml:space="preserve">Mercado Libre </t>
  </si>
  <si>
    <r>
      <rPr>
        <sz val="10"/>
        <color rgb="FF000000"/>
        <rFont val="Arial"/>
        <scheme val="minor"/>
      </rPr>
      <t xml:space="preserve">Monitor Aoc 22b35hm23 Led Full Hd 22 120hz Con Hdmi Y Vga Negro </t>
    </r>
    <r>
      <rPr>
        <u/>
        <sz val="10"/>
        <color rgb="FF1155CC"/>
        <rFont val="Arial"/>
        <scheme val="minor"/>
      </rPr>
      <t>https://www.mercadolibre.com.co/monitor-aoc-22b35hm23-led-full-hd-22-120hz-con-hdmi-y-vga-negro/p/MCO57030646?pdp_filters=item_id%3AMCO3706011738&amp;from=gshop&amp;matt_tool=32927594&amp;matt_word=&amp;matt_source=google&amp;matt_campaign_id=22126928795&amp;matt_ad_group_id=173140665043&amp;matt_match_type=&amp;matt_network=g&amp;matt_device=c&amp;matt_creative=729917879993&amp;matt_keyword=&amp;matt_ad_position=&amp;matt_ad_type=pla&amp;matt_merchant_id=735127773&amp;matt_product_id=MCO57030646-product&amp;matt_product_partition_id=2388112038413&amp;matt_target_id=aud-2200363567910:pla-2388112038413&amp;cq_src=google_ads&amp;cq_cmp=22126928795&amp;cq_net=g&amp;cq_plt=gp&amp;cq_med=pla&amp;gad_source=1&amp;gad_campaignid=22126928795&amp;gbraid=0AAAAAD1DcoxfrUg4jabDNUTsmAg75yfkl&amp;gclid=Cj0KCQjws83OBhD4ARIsACblj185yFW1yg8KzpMWdpFYWWzKl0xAyKa12I-Icw5gkHuD8xm4BVN-t1waAs1SEALw_wcB</t>
    </r>
  </si>
  <si>
    <t>Falabella</t>
  </si>
  <si>
    <t>900.017.447-8, 57 1 587 7776, Calle 99 # 11A – 32</t>
  </si>
  <si>
    <r>
      <rPr>
        <sz val="10"/>
        <color rgb="FF262626"/>
        <rFont val="Lato, sans-serif"/>
      </rPr>
      <t xml:space="preserve">Monitor Samsung Essential 24 S33GF FHD HDMI VGA 100Hz </t>
    </r>
    <r>
      <rPr>
        <u/>
        <sz val="10"/>
        <color rgb="FF1155CC"/>
        <rFont val="Lato, sans-serif"/>
      </rPr>
      <t>https://www.falabella.com.co/falabella-co/product/151085606/monitor-samsung-essential-24-s33gf-fhd-hdmi-vga-100hz/151085607?kid=shopp261fa&amp;gclsrc=aw.ds&amp;gad_source=4&amp;gad_campaignid=21861273110&amp;gbraid=0AAAAADtuoyRiS9fCQ81DE1qLD4RbYjXf_&amp;gclid=Cj0KCQjws83OBhD4ARIsACblj19tmGFANehD-r9pyg-MvjP09-FfU25Njr-tHtRDEliWIHJG4Fp3PXsaAns6EALw_wcB</t>
    </r>
  </si>
  <si>
    <t>Tarjetas de Crédito y Débito: Visa, Mastercard, American Express, Discover.
Plataformas de pago: PayPal y Google Pay.
Financiación: HP ofrece opciones de financiamiento para la compra de equipos.</t>
  </si>
  <si>
    <t xml:space="preserve">1 año de garantía </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</si>
  <si>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</si>
  <si>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</si>
  <si>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</si>
  <si>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</si>
  <si>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</si>
  <si>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</si>
  <si>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</si>
  <si>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</si>
  <si>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</si>
  <si>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</si>
  <si>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</si>
  <si>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sz val="10"/>
        <color rgb="FF000000"/>
        <rFont val="Arial"/>
        <scheme val="minor"/>
      </rPr>
      <t xml:space="preserve">Disco duro interno Seagate Barracuda  ST1000dm010 1TB </t>
    </r>
    <r>
      <rPr>
        <u/>
        <sz val="10"/>
        <color rgb="FF1155CC"/>
        <rFont val="Arial"/>
        <scheme val="minor"/>
      </rPr>
      <t>https://articulo.mercadolibre.com.co/MCO-639015765-disco-duro-interno-seagate-barracuda-1tb-_JM#polycard_client=search-desktop&amp;search_layout=grid&amp;position=8&amp;type=item&amp;tracking_id=acb2fb39-cf45-4602-b246-b0364def2165&amp;wid=MCO639015765&amp;sid=search</t>
    </r>
  </si>
  <si>
    <t>Garantia de 1 mes (del vendedor)</t>
  </si>
  <si>
    <r>
      <rPr>
        <sz val="10"/>
        <color theme="1"/>
        <rFont val="Arial"/>
      </rPr>
      <t xml:space="preserve">Disco duro para pc 1tb western digital - wd10ezex </t>
    </r>
    <r>
      <rPr>
        <u/>
        <sz val="10"/>
        <color rgb="FF1155CC"/>
        <rFont val="Arial"/>
      </rPr>
      <t>https://www.falabella.com.co/falabella-co/product/118334759/Disco-duro-para-pc-1tb-western-digital-wd10ezex/118334761</t>
    </r>
  </si>
  <si>
    <t>tarjeta Falabella, tarjeta credito, efectivo</t>
  </si>
  <si>
    <t>Tienes 5 días hábiles para devolver por ley. Tienes 30 días calendario desde que recibes el producto para pedir su devolución.</t>
  </si>
  <si>
    <r>
      <rPr>
        <sz val="10"/>
        <color rgb="FF000000"/>
        <rFont val="Arial"/>
        <scheme val="minor"/>
      </rPr>
      <t xml:space="preserve">Disco Duro Externo Portatil Toshiba 1 Tb Usb 3.0 Color Negro </t>
    </r>
    <r>
      <rPr>
        <u/>
        <sz val="10"/>
        <color rgb="FF1155CC"/>
        <rFont val="Arial"/>
        <scheme val="minor"/>
      </rPr>
      <t>https://www.mercadolibre.com.co/disco-duro-externo-portatil-toshiba-1-tb-usb-30-color-negro/p/MCO32418108#polycard_client=search-desktop&amp;search_layout=grid&amp;position=2&amp;type=product&amp;tracking_id=375dd9e9-ff10-4881-9fb7-5ff648a18285&amp;wid=MCO2330174032&amp;sid=search</t>
    </r>
  </si>
  <si>
    <t xml:space="preserve">1 mes para devolucion </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</si>
  <si>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</si>
  <si>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</si>
  <si>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</si>
  <si>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rgb="FF0F1111"/>
        <rFont val="Trebuchet MS"/>
      </rPr>
      <t>NIT Dirección, Teléfono</t>
    </r>
    <r>
      <rPr>
        <i/>
        <sz val="10"/>
        <color rgb="FF0F111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</si>
  <si>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</si>
  <si>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</si>
  <si>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</si>
  <si>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</si>
  <si>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</si>
  <si>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</si>
  <si>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Bluehost</t>
  </si>
  <si>
    <t>Headquarters: Jacksonville, Florida.
Company Entity: Owned by Newfold Digital.
Support &amp; Sales Contact: 1-855-372-3679.</t>
  </si>
  <si>
    <r>
      <rPr>
        <sz val="10"/>
        <color rgb="FF000000"/>
        <rFont val="Arial"/>
      </rPr>
      <t xml:space="preserve">Ofrece hosting compartido, hosting dedicado y servidores virtuales privados (VPS). Además, incluye registro de dominios, correos electrónicos profesionales, creadores de sitios web (con IA) y certificados SSL.  </t>
    </r>
    <r>
      <rPr>
        <u/>
        <sz val="10"/>
        <color rgb="FF1155CC"/>
        <rFont val="Arial"/>
      </rPr>
      <t>https://www.bluehost.com/pricing-and-plans?utm_campaign=brand_PPC&amp;utm_source=googleads&amp;utm_medium=brandsearch&amp;channelid=P61C101S570N0B5578A2D4499E0000V901&amp;siteid=46097236&amp;gclsrc=aw.ds&amp;gad_source=1&amp;gad_campaignid=22901189979&amp;gbraid=0AAAAADtGWPJCqV7uqcxDdvE1HAZTCw05N&amp;gclid=CjwKCAjw1tLOBhAMEiwAiPkRHjNyo_Q8Sy0ZXRi0JAPleXOqAVMLw8MjT7AclvHiHHONrM1fJ8zxgBoCeDMQAvD_BwE</t>
    </r>
  </si>
  <si>
    <t xml:space="preserve"> 0,94</t>
  </si>
  <si>
    <t>Tarjetas de crédito y débito: VISA, MasterCard, American Express, Discover.
PayPal: Se puede usar para pagos únicos y renovaciones automáticas.</t>
  </si>
  <si>
    <t>Renovación automática: Por defecto, Bluehost renueva automáticamente los servidores dedicados, intentando realizar el cargo 15 días antes del vencimiento utilizando el método de pago registrado.</t>
  </si>
  <si>
    <t>CasaOS/Ubuntu Server</t>
  </si>
  <si>
    <t xml:space="preserve">La combinación deCasaOS sobre Ubuntu transforma un ordenador o servidor (incluidos mini PCs y Raspberry Pi) en una nube privada, un NAS (almacenamiento en red) o un servidor doméstico de alto rendimiento, gestionado a través de una interfaz gráfica moderna y sencilla. </t>
  </si>
  <si>
    <r>
      <rPr>
        <sz val="10"/>
        <color rgb="FF000000"/>
        <rFont val="Arial"/>
      </rPr>
      <t xml:space="preserve">La combinación de CasaOS sobre Ubuntu Server es una solución popular para montar un servidor doméstico (homelab) o nube privada. Básicamente, utiliza la potencia y estabilidad de Ubuntu Server como base, y añade la interfaz gráfica intuitiva de CasaOS para gestionar aplicaciones y contenedores Docker sin necesidad de usar la línea de comandos.  </t>
    </r>
    <r>
      <rPr>
        <u/>
        <sz val="10"/>
        <color rgb="FF1155CC"/>
        <rFont val="Arial"/>
      </rPr>
      <t>https://casaos.zimaspace.com/</t>
    </r>
  </si>
  <si>
    <t xml:space="preserve"> no tiene costo de licencia</t>
  </si>
  <si>
    <t xml:space="preserve">no aplica </t>
  </si>
  <si>
    <t xml:space="preserve">por ser codigo abierto no tiene garantia </t>
  </si>
  <si>
    <t>OpenMediaVault</t>
  </si>
  <si>
    <t>OpenMediaVault (OMV)sirve principalmente como un sistema operativo basado en Debian Linux para convertir hardware genérico (como PCs viejas, servidores o Raspberry Pi) en un Servidor de Almacenamiento Conectado a la Red (NAS). Funciona como una solución gratuita y de código abierto para centralizar datos, gestionar permisos y compartir archivos en una red local o remota</t>
  </si>
  <si>
    <r>
      <rPr>
        <sz val="10"/>
        <color rgb="FF000000"/>
        <rFont val="Arial"/>
      </rPr>
      <t xml:space="preserve">OpenMediaVault (OMV)es una solución de almacenamiento conectado a la red (NAS) de próxima generación, basada en Debian Linux y diseñada para convertir computadoras, servidores o Raspberry Pi en servidores de almacenamiento centralizados.   </t>
    </r>
    <r>
      <rPr>
        <u/>
        <sz val="10"/>
        <color rgb="FF1155CC"/>
        <rFont val="Arial"/>
      </rPr>
      <t>https://www.openmediavault.org/</t>
    </r>
  </si>
  <si>
    <r>
      <rPr>
        <b/>
        <sz val="10"/>
        <color theme="1"/>
        <rFont val="Arial"/>
      </rP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</si>
  <si>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</si>
  <si>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</si>
  <si>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</si>
  <si>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</si>
  <si>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</si>
  <si>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</si>
  <si>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</si>
  <si>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</si>
  <si>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</si>
  <si>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Mercado libre</t>
  </si>
  <si>
    <r>
      <rPr>
        <sz val="10"/>
        <color rgb="FF000000"/>
        <rFont val="Poppins, sans-serif"/>
      </rPr>
      <t xml:space="preserve">Memoria RAM Premier color verde 16GB 1x16GB Adata AD4S320016G22-SGN </t>
    </r>
    <r>
      <rPr>
        <u/>
        <sz val="10"/>
        <color rgb="FF1155CC"/>
        <rFont val="Poppins, sans-serif"/>
      </rPr>
      <t>https://www.mercadolibre.com.co/memoria-ram-premier-color-verde-16gb-1x16gb-adata-ad4s320016g22-sgn/p/MCO18724279</t>
    </r>
  </si>
  <si>
    <t>30 dias de devolucion</t>
  </si>
  <si>
    <r>
      <rPr>
        <sz val="10"/>
        <color rgb="FF000000"/>
        <rFont val="Arial"/>
        <scheme val="minor"/>
      </rPr>
      <t xml:space="preserve">Timetec 16gb Ddr4 2400mhz Pc4-19200  </t>
    </r>
    <r>
      <rPr>
        <u/>
        <sz val="10"/>
        <color rgb="FF1155CC"/>
        <rFont val="Arial"/>
        <scheme val="minor"/>
      </rPr>
      <t>https://articulo.mercadolibre.com.co/MCO-1654528271-memoria-ram-timetec-16-gb-ddr4-2400-mhz-pc4-19200-udimm-_JM#polycard_client=search-desktop&amp;search_layout=grid&amp;position=9&amp;type=item&amp;tracking_id=561495b0-af11-428d-aae5-9a47b3d95643</t>
    </r>
  </si>
  <si>
    <t>Exito</t>
  </si>
  <si>
    <t>890900.608-9, Carrera 48 N° 32B SUR 139, (604) 6049696</t>
  </si>
  <si>
    <r>
      <rPr>
        <sz val="10"/>
        <color rgb="FF231F20"/>
        <rFont val="Poppins, Helvetica, sans-serif"/>
      </rPr>
      <t xml:space="preserve">Memoria Ram 16Gb Ddr4 3200Mhz Attech </t>
    </r>
    <r>
      <rPr>
        <u/>
        <sz val="10"/>
        <color rgb="FF1155CC"/>
        <rFont val="Poppins, Helvetica, sans-serif"/>
      </rPr>
      <t>https://www.exito.com/memoria-ram-16gb-ddr4-3200mhz-attech-para-portatil-104852224-mp/p</t>
    </r>
  </si>
  <si>
    <t>tarjetas Éxito, tarjetas débito/crédito, PSE, Nequi, Puntos Colombia, Addi y pago contra entrega</t>
  </si>
  <si>
    <t>12 meses de garantia</t>
  </si>
  <si>
    <t>Memoria Ram 16Gb Ddr4 3200Mhz Attech Para Portatil</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</si>
  <si>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</si>
  <si>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</si>
  <si>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</si>
  <si>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rgb="FF0F1111"/>
        <rFont val="Trebuchet MS"/>
      </rPr>
      <t>NIT Dirección, Teléfono</t>
    </r>
    <r>
      <rPr>
        <i/>
        <sz val="10"/>
        <color rgb="FF0F111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</si>
  <si>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</si>
  <si>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</si>
  <si>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</si>
  <si>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</si>
  <si>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</si>
  <si>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</si>
  <si>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Speed Logic</t>
  </si>
  <si>
    <t>900.041.754-5, Calle 77 # 16-20.  301 7204749</t>
  </si>
  <si>
    <r>
      <rPr>
        <sz val="10"/>
        <color theme="1"/>
        <rFont val="Arial"/>
      </rPr>
      <t xml:space="preserve">ASUS Dual GeForce RTX™ 3050 OC Edition 6GB GDDR6 con dos potentes ventiladores Rendimiento de juegos AAA. </t>
    </r>
    <r>
      <rPr>
        <u/>
        <sz val="10"/>
        <color rgb="FF1155CC"/>
        <rFont val="Arial"/>
      </rPr>
      <t>https://speedlogic.com.co/tienda/tarjetas-graficas/nvidia/tarjeta-de-video-nvidia-geforce-asus-rtx-3050-dual-oc-auto-ex-6-gigas/?srsltid=AfmBOoqg_EtgLot8X-RAR43LAG-LoS0XVaSITYZSn3uMzGvlACYI0OUf</t>
    </r>
  </si>
  <si>
    <t>consignaciones bancarias (Davivienda/Bancolombia), giros nacionales (Efecty, Baloto, Pagatodo) y pagos en línea a través de PayU o EpayCO</t>
  </si>
  <si>
    <t>sin garantia</t>
  </si>
  <si>
    <r>
      <rPr>
        <sz val="10"/>
        <color theme="1"/>
        <rFont val="Arial"/>
      </rPr>
      <t xml:space="preserve">ASRock AMD Radeon RX 7600 Challenger 8 GB OC GDDR6 </t>
    </r>
    <r>
      <rPr>
        <u/>
        <sz val="10"/>
        <color rgb="FF1155CC"/>
        <rFont val="Arial"/>
      </rPr>
      <t>https://www.amazon.com/-/es/ASRock-Challenger-DisplayPort-Enfriamiento-Silencioso/dp/B0C626FFG2</t>
    </r>
  </si>
  <si>
    <t>30 dias devolucion</t>
  </si>
  <si>
    <r>
      <rPr>
        <sz val="10"/>
        <color theme="1"/>
        <rFont val="Arial"/>
      </rPr>
      <t xml:space="preserve">Tarjeta De Video Gigabyte Radeon Rx 7600 Gaming Oc 8g Gddr6 </t>
    </r>
    <r>
      <rPr>
        <u/>
        <sz val="10"/>
        <color rgb="FF1155CC"/>
        <rFont val="Arial"/>
      </rPr>
      <t>https://www.mercadolibre.com.co/tarjeta-de-video-gigabyte-radeon-rx-7600-gaming-oc-8g-gddr6/p/MCO27793940</t>
    </r>
    <r>
      <rPr>
        <sz val="10"/>
        <color theme="1"/>
        <rFont val="Arial"/>
      </rPr>
      <t xml:space="preserve"> 
</t>
    </r>
  </si>
  <si>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</si>
  <si>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</si>
  <si>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</si>
  <si>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rgb="FF0F1111"/>
        <rFont val="Trebuchet MS"/>
      </rPr>
      <t>NIT Dirección, Teléfono</t>
    </r>
    <r>
      <rPr>
        <i/>
        <sz val="10"/>
        <color rgb="FF0F111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</si>
  <si>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</si>
  <si>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</si>
  <si>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</si>
  <si>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</si>
  <si>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</si>
  <si>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</si>
  <si>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830067394-6 Carrera 17 No. 93 - 09, Piso 3°, Bogotá D.C.MercadoLibre</t>
  </si>
  <si>
    <r>
      <rPr>
        <sz val="10"/>
        <color rgb="FF000000"/>
        <rFont val="Arial"/>
      </rPr>
      <t xml:space="preserve">Procesador gamer Intel Core i5-12400F BX8071512400F de 6 núcleos y 4.4GHz de frecuencia </t>
    </r>
    <r>
      <rPr>
        <u/>
        <sz val="10"/>
        <color rgb="FF1155CC"/>
        <rFont val="Arial"/>
      </rPr>
      <t>https://www.mercadolibre.com.co/procesador-gamer-intel-core-i5-12400f-bx8071512400f-de-6-nucleos-y-44ghz-de-frecuencia/p/MCO18733972#polycard_client=search-desktop&amp;search_layout=grid&amp;position=5&amp;type=product&amp;tracking_id=d310df42-6d23-4042-be54-551fd42f7c86&amp;wid=MCO3713302828&amp;sid=search</t>
    </r>
  </si>
  <si>
    <t xml:space="preserve"> 30 dias de devolucion</t>
  </si>
  <si>
    <r>
      <rPr>
        <sz val="10"/>
        <color rgb="FF000000"/>
        <rFont val="Arial"/>
      </rPr>
      <t xml:space="preserve">Procesador AMD Ryzen 5 5600G de 6 núcleos 12 hilos </t>
    </r>
    <r>
      <rPr>
        <u/>
        <sz val="10"/>
        <color rgb="FF1155CC"/>
        <rFont val="Arial"/>
      </rPr>
      <t>https://www.mercadolibre.com.co/procesador-amd-ryzen-5-5600gt-6-nucleos-am4-grafica-radeon/p/MCO32444906#polycard_client=recommendations_pdp-v2p&amp;reco_backend=ranker_retrieval_system_org&amp;reco_model=coldstart_low_exposition&amp;reco_client=pdp-v2p&amp;reco_item_pos=0&amp;reco_backend_type=low_level&amp;reco_id=ae481b39-9ffb-4579-8852-0f71b1bbf312&amp;wid=MCO2799695908&amp;sid=recos</t>
    </r>
  </si>
  <si>
    <t>219,76</t>
  </si>
  <si>
    <r>
      <rPr>
        <sz val="10"/>
        <color theme="1"/>
        <rFont val="Arial"/>
      </rPr>
      <t xml:space="preserve">es un procesador de gama media-alta diseñado específicamente para entusiastas del gaming y la productividad que buscan dar el salto a la plataforma AM5 Modelo: 7600X. </t>
    </r>
    <r>
      <rPr>
        <u/>
        <sz val="10"/>
        <color rgb="FF1155CC"/>
        <rFont val="Arial"/>
      </rPr>
      <t>https://www.amazon.com/-/es/AMD-Procesador-desbloqueado-RyzenTM-9600X/dp/B0D6NN6TM7/ref=sr_1_3?__mk_es_US=%C3%85M%C3%85%C5%BD%C3%95%C3%91&amp;crid=1AH9NA5Z0VQJN&amp;dib=eyJ2IjoiMSJ9.z9fq0_6wXHuqejIEi2t8ldmGAKLVL7fdOStrySIhFgDdYhdp0KtgXIrN9EhJ6pxu8aoLNky7H3QLz6rC0jliEBFIHXasKAgbWITx-Ip5rBbng-Uq1TEYpsws__2PD-HwCw_1E1UAgta6CQ0EwOI2Y51Y4zsilwTR__AkYwl5xZ11QHtMD9Qypz07OVV6rTRXWBvDVtOp3rESfBm46xfZp3gIex0rz7d6JUMpQUtadgc.xmTWwP29NjQBaY1qOSBmTfdYW6FFdTRQ1bmn82x4-ws&amp;dib_tag=se&amp;keywords=Procesador%2BGamer%2BAMD%2BRyzen%2B5%2B7600X&amp;qid=1775520498&amp;sprefix=procesador%2Bgamer%2Bamd%2Bryzen%2B5%2B7600x%2B%2Caps%2C159&amp;sr=8-3&amp;th=1</t>
    </r>
  </si>
  <si>
    <t>Licenciamiento de Patentes y Venta de Chipsets: Las transacciones son corporativas y directas con los fabricantes de equipos originales (OEMs).</t>
  </si>
  <si>
    <t xml:space="preserve"> 30 dias de devolucion </t>
  </si>
  <si>
    <r>
      <rPr>
        <b/>
        <sz val="10"/>
        <color theme="1"/>
        <rFont val="Arial"/>
      </rP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</si>
  <si>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</si>
  <si>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</si>
  <si>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rgb="FF0F1111"/>
        <rFont val="Trebuchet MS"/>
      </rPr>
      <t>NIT Dirección, Teléfono</t>
    </r>
    <r>
      <rPr>
        <i/>
        <sz val="10"/>
        <color rgb="FF0F1111"/>
        <rFont val="Trebuchet MS"/>
      </rPr>
      <t xml:space="preserve">
</t>
    </r>
  </si>
  <si>
    <r>
      <rPr>
        <b/>
        <sz val="10"/>
        <color rgb="FF0F1111"/>
        <rFont val="Trebuchet MS"/>
      </rPr>
      <t>Descripción del
bien/ servicio (b)</t>
    </r>
    <r>
      <rPr>
        <i/>
        <sz val="10"/>
        <color rgb="FF0F1111"/>
        <rFont val="Trebuchet MS"/>
      </rPr>
      <t xml:space="preserve">
</t>
    </r>
    <r>
      <rPr>
        <i/>
        <sz val="8"/>
        <color rgb="FF0F1111"/>
        <rFont val="Trebuchet MS"/>
      </rPr>
      <t>Características de los bienes/ servicios</t>
    </r>
  </si>
  <si>
    <r>
      <rPr>
        <b/>
        <sz val="10"/>
        <color rgb="FF0F1111"/>
        <rFont val="Trebuchet MS"/>
      </rPr>
      <t xml:space="preserve">Importe Unitario
</t>
    </r>
    <r>
      <rPr>
        <i/>
        <sz val="8"/>
        <color rgb="FF0F111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</si>
  <si>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</si>
  <si>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</si>
  <si>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</si>
  <si>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</si>
  <si>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falabella</t>
  </si>
  <si>
    <t>900.047.981-8 , cuenta con multiples locales, 018000 958780</t>
  </si>
  <si>
    <r>
      <rPr>
        <sz val="10"/>
        <color rgb="FF0F1111"/>
        <rFont val="Arial"/>
      </rPr>
      <t xml:space="preserve">Teclado USB Genius Smart KB-100 </t>
    </r>
    <r>
      <rPr>
        <u/>
        <sz val="10"/>
        <color rgb="FF1155CC"/>
        <rFont val="Arial"/>
      </rPr>
      <t>https://www.falabella.com.co/falabella-co/product/140143182/Teclado-USB-Genius-Smart-KB-100-Con-Teclas-12-Multimedia-FN/140143183</t>
    </r>
  </si>
  <si>
    <t>3679,25</t>
  </si>
  <si>
    <t>Tarjeta CMR (crédito y débito), otras tarjetas de crédito/débito bancarias, PSE para cuentas de ahorros, CMR Puntos, Gift Cards y pago en efectivo</t>
  </si>
  <si>
    <t>Sin garantia</t>
  </si>
  <si>
    <r>
      <rPr>
        <sz val="10"/>
        <color rgb="FF0F1111"/>
        <rFont val="Arial"/>
      </rPr>
      <t xml:space="preserve">Teclado Hp 125 Alámbrico Usb Negro Español </t>
    </r>
    <r>
      <rPr>
        <u/>
        <sz val="10"/>
        <color rgb="FF1155CC"/>
        <rFont val="Arial"/>
      </rPr>
      <t>https://www.exito.com/teclado-hp-125-alambrico-usb-negro-espanol-104852239-mp/p</t>
    </r>
  </si>
  <si>
    <t>3 meses de garantia</t>
  </si>
  <si>
    <r>
      <rPr>
        <sz val="10"/>
        <color rgb="FF0F1111"/>
        <rFont val="Arial"/>
      </rPr>
      <t xml:space="preserve">Maxell Teclado Alambrico Kb-90 </t>
    </r>
    <r>
      <rPr>
        <u/>
        <sz val="10"/>
        <color rgb="FF1155CC"/>
        <rFont val="Arial"/>
      </rPr>
      <t>https://www.mercadolibre.com.co/maxell-teclado-alambr-kb-90-basico/p/MCO19931301</t>
    </r>
  </si>
  <si>
    <t xml:space="preserve">30 dias de devolucion </t>
  </si>
  <si>
    <t>3.679,28</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</si>
  <si>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</si>
  <si>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</si>
  <si>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</si>
  <si>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</si>
  <si>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</si>
  <si>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</si>
  <si>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</si>
  <si>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b/>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</si>
  <si>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</si>
  <si>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</si>
  <si>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r>
      <rPr>
        <sz val="10"/>
        <color rgb="FF0F1111"/>
        <rFont val="Arial"/>
      </rPr>
      <t xml:space="preserve">Mouse Logitech M90 Usb. Instalación rápida y fácil, puede conectar el cable a un puerto USB y usarlo inmediatamente </t>
    </r>
    <r>
      <rPr>
        <u/>
        <sz val="10"/>
        <color rgb="FF1155CC"/>
        <rFont val="Arial"/>
      </rPr>
      <t>https://www.falabella.com.co/falabella-co/product/120778408/Mouse-Logitech-M90-Usb/120778409</t>
    </r>
  </si>
  <si>
    <t>tarjetas bancarias, efectivo en establecimientos seleccionados y opciones de pago digital</t>
  </si>
  <si>
    <t>1 año de garantía por defectos de fabricación directamente con LOGITECH.</t>
  </si>
  <si>
    <r>
      <rPr>
        <sz val="11"/>
        <color rgb="FF000000"/>
        <rFont val="Arial"/>
        <scheme val="minor"/>
      </rPr>
      <t xml:space="preserve">Mouse Dell MS116 negro. Compatibilidad con Windows 10. 7. 8.1. 11. Linux. Chrome OS. Android. </t>
    </r>
    <r>
      <rPr>
        <u/>
        <sz val="10"/>
        <color rgb="FF1155CC"/>
        <rFont val="Arial"/>
        <scheme val="minor"/>
      </rPr>
      <t>https://www.mercadolibre.com.co/mouse-dell-ms116-negro/p/MCO6332790</t>
    </r>
  </si>
  <si>
    <r>
      <rPr>
        <sz val="10"/>
        <color rgb="FF1C1C1C"/>
        <rFont val="Arial"/>
      </rPr>
      <t xml:space="preserve">
Mouse ESENSES Inalámbrico Óptico WOM 2000-Negros </t>
    </r>
    <r>
      <rPr>
        <u/>
        <sz val="10"/>
        <color rgb="FF1155CC"/>
        <rFont val="Arial"/>
      </rPr>
      <t>https://www.mercadolibre.com.co/mouse-inalambrico-marca--esenses-1000-dpi-wom-1010/up/MCOU3842376372#polycard_client=recommendations_vip-v2p&amp;reco_backend=ranker_retrieval_system_org&amp;reco_model=rk_ent_v3_retsys_org&amp;reco_client=vip-v2p&amp;reco_item_pos=1&amp;reco_backend_type=low_level&amp;reco_id=30c5e1a3-7b01-45ad-aa7f-6a4e19091b0b&amp;wid=MCO1854512255&amp;sid=recos</t>
    </r>
  </si>
  <si>
    <t>tarjetas de crédito (Visa, Mastercard, American Express), PSE (débito bancario), Baloto, Efecty y consignación bancaria</t>
  </si>
  <si>
    <t>30 dias de garantia</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</si>
  <si>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</si>
  <si>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</si>
  <si>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</si>
  <si>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</si>
  <si>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</si>
  <si>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</si>
  <si>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 xml:space="preserve">Importe Total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</si>
  <si>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</si>
  <si>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</si>
  <si>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</si>
  <si>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 xml:space="preserve">Microsoft Coporation </t>
  </si>
  <si>
    <t>91-1144442 (EE. UU.)One Microsoft Way, Redmond, Washington 98052, Estados Unidos</t>
  </si>
  <si>
    <t>Desarrolla software como Windows y Office; soluciones empresariales y nube.</t>
  </si>
  <si>
    <t>$500.000 – $800.000 COP (pago único o suscripción anual)</t>
  </si>
  <si>
    <t>$714.000 COP</t>
  </si>
  <si>
    <t>150 – 200 USD</t>
  </si>
  <si>
    <t>(tarjeta / pago inmediato)</t>
  </si>
  <si>
    <t>Licencia propietaria; requiere pago para uso legal.
Puede incluir actualizaciones y soporte según el plan.</t>
  </si>
  <si>
    <t>Canonical Ltd</t>
  </si>
  <si>
    <t>No. 05515334 (Reino Unido)5th Floor, Blue Fin Building, 110 Southwark Street, Londres, Reino Unido</t>
  </si>
  <si>
    <t>Mantiene Ubuntu; sistemas operativos y servicios de soporte open source.</t>
  </si>
  <si>
    <t>$400.000+ COP/año</t>
  </si>
  <si>
    <t>$476.000 COP con IVA</t>
  </si>
  <si>
    <t>100 USD/año</t>
  </si>
  <si>
    <t>(especialmente en soporte)</t>
  </si>
  <si>
    <t>Ubuntu es gratuito y de código abierto.
El soporte técnico es opcional y de pago</t>
  </si>
  <si>
    <t>Google LLC</t>
  </si>
  <si>
    <t>EIN 77-0493581 (EE. UU.)1600 Amphitheatre Parkway, Mountain View, California 94043, Estados Unidos</t>
  </si>
  <si>
    <t>Ofrece servicios digitales como buscador, Chrome y herramientas en la nube.</t>
  </si>
  <si>
    <t>$25.000 – $60.000 COP/mes por usuario</t>
  </si>
  <si>
    <t>$35.700 COP/mes</t>
  </si>
  <si>
    <t>6 – 12 USD/mes por usuario</t>
  </si>
  <si>
    <t xml:space="preserve">3.679,25 </t>
  </si>
  <si>
    <t>(suscripción mensual automática)</t>
  </si>
  <si>
    <t>Modelo freemium: gratis con opciones premium.</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</si>
  <si>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</si>
  <si>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</si>
  <si>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NIT Dirección, Teléfono</t>
    </r>
    <r>
      <rPr>
        <i/>
        <sz val="10"/>
        <color theme="1"/>
        <rFont val="Trebuchet MS"/>
      </rPr>
      <t xml:space="preserve">
</t>
    </r>
  </si>
  <si>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</si>
  <si>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</si>
  <si>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</si>
  <si>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</si>
  <si>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 xml:space="preserve">Importe Total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</si>
  <si>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</si>
  <si>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</si>
  <si>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</si>
  <si>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Creative Commons (CC BY)</t>
  </si>
  <si>
    <r>
      <t xml:space="preserve">444 Castro Street, Suite 900, Mountain View, California, Estados Unidos
</t>
    </r>
    <r>
      <rPr>
        <u/>
        <sz val="10"/>
        <color rgb="FF1155CC"/>
        <rFont val="Arial"/>
      </rPr>
      <t>https://creativecommons.org/licenses/by/4.0/deed.es</t>
    </r>
  </si>
  <si>
    <t>Permite uso comercial
Permite modificaciones
Obligatorio dar crédito al autor</t>
  </si>
  <si>
    <t>$0 COP (gratuita)</t>
  </si>
  <si>
    <t>$0 COP</t>
  </si>
  <si>
    <t>0 USD</t>
  </si>
  <si>
    <t>(gratuita)</t>
  </si>
  <si>
    <t>Permite uso comercial sin restricciones adicionales.
No exige compartir con la misma licencia.
Solo requiere atribución al autor.</t>
  </si>
  <si>
    <t>Creative Commons (CC BY-NC)</t>
  </si>
  <si>
    <t>444 Castro Street, Suite 900, Mountain View, California, Estados Unidos</t>
  </si>
  <si>
    <t>No permite uso comercial
Permite modificar
Requiere atribución</t>
  </si>
  <si>
    <t>Prohíbe cualquier uso con fines comerciales.
Puede generar dudas en qué se considera “comercial”.
Requiere atribución al autor.</t>
  </si>
  <si>
    <t>Creative Commons (CC BY-SA)</t>
  </si>
  <si>
    <t>Permite uso comercial
Permite modificar
Debe conservar la misma licencia
Requiere atribución</t>
  </si>
  <si>
    <t>Obliga a licenciar las obras derivadas con la misma licencia.
Compatible con proyectos colaborativos (ej: contenido abierto).
Requiere atribución al autor.</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</si>
  <si>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</si>
  <si>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</si>
  <si>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</si>
  <si>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</si>
  <si>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</si>
  <si>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</si>
  <si>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</si>
  <si>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</si>
  <si>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</si>
  <si>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</si>
  <si>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Windows 11 Home (Licencia OEM)</t>
  </si>
  <si>
    <t xml:space="preserve">EIN (EE. UU.): 91-1144442 </t>
  </si>
  <si>
    <t>Licencia ligada al equipo (no transferible)
Funciones esenciales (navegación, apps, juegos)
Más económico que otras versiones</t>
  </si>
  <si>
    <t>≈ $500.000 COP</t>
  </si>
  <si>
    <t>$95.000 COP</t>
  </si>
  <si>
    <t>161 USD</t>
  </si>
  <si>
    <t>Contado</t>
  </si>
  <si>
    <t>Viene preinstalado en equipos nuevos.
No se puede transferir a otro dispositivo.
Funcionalidad limitada frente a versiones superiores.</t>
  </si>
  <si>
    <t>Windows 11 Pro (Licencia Retail)</t>
  </si>
  <si>
    <t>One Microsoft Way, Redmond, Washington 98052, Estados Unidos</t>
  </si>
  <si>
    <t>Transferible a otro equipo
Incluye herramientas empresariales (BitLocker, escritorio remoto)
Mayor control de seguridad</t>
  </si>
  <si>
    <t>≈ $800.000 COP</t>
  </si>
  <si>
    <t>152.000 COP</t>
  </si>
  <si>
    <t>257 USD</t>
  </si>
  <si>
    <t>Permite transferencia entre equipos.
Incluye funciones avanzadas de seguridad y gestión.
Requiere activación con clave de producto.
Windows 11 Enterprise (Volumen)
Uso exclusivo para empresas.
Requiere contrato de licenciamiento por volumen.
Incluye herramientas avanzadas de administración y seguridad.
✅ Con esto ya tienes todo completo para tu trabajo 👍</t>
  </si>
  <si>
    <t>Windows 11 Enterprise (Licencia por volumen)</t>
  </si>
  <si>
    <t xml:space="preserve"> 1 425-882-8080</t>
  </si>
  <si>
    <t>Licencias por volumen
Seguridad avanzada y administración de dispositivos
Activación mediante servidores (KMS o MAK)</t>
  </si>
  <si>
    <t>≈ $1.200.000 COP</t>
  </si>
  <si>
    <t>228.000 COP</t>
  </si>
  <si>
    <t>386 USD</t>
  </si>
  <si>
    <t>Uso exclusivo para empresas.
Requiere contrato de licenciamiento por volumen.
Incluye herramientas avanzadas de administración y seguridad.</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</si>
  <si>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</si>
  <si>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</si>
  <si>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</si>
  <si>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</si>
  <si>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</si>
  <si>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</si>
  <si>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 xml:space="preserve">Importe Total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</si>
  <si>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</si>
  <si>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</si>
  <si>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</si>
  <si>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LINKS</t>
  </si>
  <si>
    <t>Microsoft SQL Server Express</t>
  </si>
  <si>
    <t>EIN (EE. UU.): 91-1144442</t>
  </si>
  <si>
    <r>
      <rPr>
        <u/>
        <sz val="10"/>
        <color theme="1"/>
        <rFont val="Arial"/>
      </rPr>
      <t xml:space="preserve">Sin costo
Limitado en tamaño de base de datos y recursos
Ideal para estudiantes y pequeños proyectos 
 </t>
    </r>
    <r>
      <rPr>
        <u/>
        <sz val="10"/>
        <color rgb="FF1155CC"/>
        <rFont val="Arial"/>
      </rPr>
      <t>https://www.microsoft.com/es-cl/download/details.aspx?id=104781&amp;utm_source=chatgpt.com</t>
    </r>
  </si>
  <si>
    <t>$0 COP (gratuito)</t>
  </si>
  <si>
    <t>No aplica (gratuito)</t>
  </si>
  <si>
    <t>Tiene limitaciones en tamaño de base de datos y uso de recursos.
No incluye soporte técnico oficial completo.
Ideal para aprendizaje y desarrollo básico.</t>
  </si>
  <si>
    <t>Microsoft SQL Server Standard</t>
  </si>
  <si>
    <r>
      <rPr>
        <sz val="10"/>
        <color theme="1"/>
        <rFont val="Arial"/>
      </rPr>
      <t xml:space="preserve">Licencia de pago
Buen rendimiento y seguridad
Soporta aplicaciones empresariales
</t>
    </r>
    <r>
      <rPr>
        <u/>
        <sz val="10"/>
        <color rgb="FF1155CC"/>
        <rFont val="Arial"/>
      </rPr>
      <t>https://www.microsoft.com/es-co/sql-server?utm_source=chatgpt.com</t>
    </r>
  </si>
  <si>
    <t>≈ $3.000.000 COP (por licencia)</t>
  </si>
  <si>
    <t>$3.570.000 COP</t>
  </si>
  <si>
    <t>965 USD</t>
  </si>
  <si>
    <t>Contado (pago único o licencia por núcleo)</t>
  </si>
  <si>
    <t>Licenciamiento por núcleo o servidor + CAL.
Escalable para empresas medianas.
Incluye soporte y actualizaciones según contrato.</t>
  </si>
  <si>
    <t>Microsoft SQL Server Enterprise</t>
  </si>
  <si>
    <t>1 425-882-8080</t>
  </si>
  <si>
    <t>Máximo rendimiento y escalabilidad
Alta seguridad y análisis de datos
Soporte para grandes volúmenes de información
https://info.microsoft.com/ww-landing-sql-server-2025.html?utm_source=chatgpt.com</t>
  </si>
  <si>
    <t>≈ $10.000.000 COP (por licencia)</t>
  </si>
  <si>
    <t>11.900.000 COP</t>
  </si>
  <si>
    <t>3.216 USD</t>
  </si>
  <si>
    <t>Contado (contrato empresarial o licenciamiento por volumen)</t>
  </si>
  <si>
    <t>Licenciamiento más costoso y complejo.
Ofrece alta disponibilidad (clustering, replicación avanzada).
Diseñado para entornos críticos y grandes volúmenes de datos.</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</si>
  <si>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</si>
  <si>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</si>
  <si>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IaaS</t>
  </si>
  <si>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</si>
  <si>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</si>
  <si>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</si>
  <si>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</si>
  <si>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 xml:space="preserve">Importe Total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</si>
  <si>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</si>
  <si>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</si>
  <si>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</si>
  <si>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Amazon Web Services (AWS)</t>
  </si>
  <si>
    <t xml:space="preserve">901003327, 
CR  7 # 71-52 TO  B P  10, </t>
  </si>
  <si>
    <t>Computación (Amazon EC2)</t>
  </si>
  <si>
    <t>61,96                     247,83</t>
  </si>
  <si>
    <t>73.73                            294.92</t>
  </si>
  <si>
    <t>0.0168                           0,0672</t>
  </si>
  <si>
    <t>Tarjeta o Cuenta Bancaria</t>
  </si>
  <si>
    <t>Modelo de Pago Pay as you go, Precio por hora</t>
  </si>
  <si>
    <t>Microsoft</t>
  </si>
  <si>
    <t>Empresa extranjera</t>
  </si>
  <si>
    <t>Azure Virtual Machines</t>
  </si>
  <si>
    <t>152698,39</t>
  </si>
  <si>
    <t>41,75</t>
  </si>
  <si>
    <t>Precio mensual, con contrato a suscripcion anual, el valor puede ser disminuido al disminuir las horas de funcionamiento de la aplicacion</t>
  </si>
  <si>
    <t>Google</t>
  </si>
  <si>
    <t>900214217-0 KR 11 A N°  94 45 OF 801</t>
  </si>
  <si>
    <t>Computer Engine</t>
  </si>
  <si>
    <t>177276,43</t>
  </si>
  <si>
    <t>48,47</t>
  </si>
  <si>
    <t>SaaS</t>
  </si>
  <si>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</si>
  <si>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</si>
  <si>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</si>
  <si>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</si>
  <si>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 xml:space="preserve">Importe Total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</si>
  <si>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</si>
  <si>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</si>
  <si>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</si>
  <si>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GitHub Copilot</t>
  </si>
  <si>
    <t>Ninguna</t>
  </si>
  <si>
    <t>SooS de gestion de versiones de Codigo abierto (es Gratuita)</t>
  </si>
  <si>
    <t>Bubble</t>
  </si>
  <si>
    <t>.bubble</t>
  </si>
  <si>
    <t>Soos de Desarrollo de aplicaciones, cuenta con vercion gratuita</t>
  </si>
  <si>
    <t>Vercel</t>
  </si>
  <si>
    <t>V0</t>
  </si>
  <si>
    <t>SooS de Desarrollo de aplicaciones potenciada por intelengia artificial que usa .js</t>
  </si>
  <si>
    <t>PaaS</t>
  </si>
  <si>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</si>
  <si>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</si>
  <si>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</si>
  <si>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</si>
  <si>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 xml:space="preserve">Importe Total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</si>
  <si>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</si>
  <si>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</si>
  <si>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</si>
  <si>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Heroku</t>
  </si>
  <si>
    <t xml:space="preserve"> Classic 1CPU-0.5GB</t>
  </si>
  <si>
    <t>91436,16</t>
  </si>
  <si>
    <t>PaaS de desarrollo de aplicaciones con base en linux que maneja la escalabilidad y segurad de la aplicacion</t>
  </si>
  <si>
    <t>Azure App Service</t>
  </si>
  <si>
    <t>200245,20</t>
  </si>
  <si>
    <t>54,75</t>
  </si>
  <si>
    <t>Servicio de Desarrollo de aplicaciones que tambien se encarga del funcionamiento constante de la aplicacion</t>
  </si>
  <si>
    <t>Google App Engine</t>
  </si>
  <si>
    <t>182,87</t>
  </si>
  <si>
    <t>PaaS de desarrollo de aplicaciones que controla la gestion de la misma y se asugra de su escalibilidad, cobra por hora y por uso</t>
  </si>
  <si>
    <t>CaaS</t>
  </si>
  <si>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</si>
  <si>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</si>
  <si>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</si>
  <si>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</si>
  <si>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 xml:space="preserve">Importe Total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</si>
  <si>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</si>
  <si>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</si>
  <si>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</si>
  <si>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Amazon Elastic Kubernetes Service</t>
  </si>
  <si>
    <t>109302,72                  365,74</t>
  </si>
  <si>
    <t>130070.24                                    435.23</t>
  </si>
  <si>
    <t>50.00                              0.10</t>
  </si>
  <si>
    <t>Caas de alta confiabilidad y permite manejo total de los kubernetes que trabaja con los demas servicios de AWS pero no gestiona escalado</t>
  </si>
  <si>
    <t>Azure Kubernetes Service</t>
  </si>
  <si>
    <t>265969,95</t>
  </si>
  <si>
    <t>CaaS que se encarga de el manejo de el escalado y acutalizacion de los Kubernetes de la aplicacion que solo cobra por la Vm y no por el manejo de los Kubernetes</t>
  </si>
  <si>
    <t>Google Kubernetes Engine</t>
  </si>
  <si>
    <t>182872,32                  365,74</t>
  </si>
  <si>
    <t>217618.06                                    435.23</t>
  </si>
  <si>
    <t xml:space="preserve">CaaS que se encarga de el manejo de el escalado y acutalizacion de los Kubernetes de la aplicacion </t>
  </si>
  <si>
    <t>FaaS</t>
  </si>
  <si>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</si>
  <si>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</si>
  <si>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</si>
  <si>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</si>
  <si>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 xml:space="preserve">Importe Total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</si>
  <si>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</si>
  <si>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</si>
  <si>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</si>
  <si>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Amazon Web Services</t>
  </si>
  <si>
    <t xml:space="preserve">901003327CR 
 7 # 71-52 TO  B P  10, </t>
  </si>
  <si>
    <t>AWS Lambda</t>
  </si>
  <si>
    <t>Servicio sin servidor que ejecuta código en respuesta a eventos. Modelo de pago por ejecución y tiempo de uso.</t>
  </si>
  <si>
    <t>900214217
KR 11 A N°  94 45 OF 801</t>
  </si>
  <si>
    <t>Google Cloud functions/ cloude run functions</t>
  </si>
  <si>
    <t>Ejecución de código basada en eventos. Integración con servicios de Google y cobro por uso.</t>
  </si>
  <si>
    <t>Azure Functions</t>
  </si>
  <si>
    <t>Permite ejecutar funciones bajo demanda. Escala automáticamente y cobra según ejecuciones y consumo.</t>
  </si>
  <si>
    <t>DBaaS</t>
  </si>
  <si>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</si>
  <si>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</si>
  <si>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</si>
  <si>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</si>
  <si>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 xml:space="preserve">Importe Total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</si>
  <si>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</si>
  <si>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</si>
  <si>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</si>
  <si>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AWS RDS</t>
  </si>
  <si>
    <t>Base de datos relacional gestionada. Automatiza backups, escalabilidad y mantenimiento.</t>
  </si>
  <si>
    <t>Google Cloud SQL</t>
  </si>
  <si>
    <t>Base de datos administrada compatible con MySQL, PostgreSQL y SQL Server. Escalable y segura.</t>
  </si>
  <si>
    <t>Azure SQL Database</t>
  </si>
  <si>
    <t>Servicio de base de datos en la nube totalmente administrado con alta disponibilidad y seguridad.</t>
  </si>
  <si>
    <t>AaaS</t>
  </si>
  <si>
    <r>
      <rPr>
        <b/>
        <sz val="10"/>
        <color theme="1"/>
        <rFont val="Trebuchet MS"/>
      </rPr>
      <t>Empresa</t>
    </r>
    <r>
      <rPr>
        <i/>
        <sz val="8"/>
        <color theme="1"/>
        <rFont val="Trebuchet MS"/>
      </rPr>
      <t xml:space="preserve">
(Nombre fiscal de la empresa)</t>
    </r>
  </si>
  <si>
    <r>
      <rPr>
        <b/>
        <sz val="10"/>
        <color theme="1"/>
        <rFont val="Trebuchet MS"/>
      </rPr>
      <t>NIT Dirección, Teléfono</t>
    </r>
    <r>
      <rPr>
        <i/>
        <sz val="10"/>
        <color theme="1"/>
        <rFont val="Trebuchet MS"/>
      </rPr>
      <t xml:space="preserve">
</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</si>
  <si>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</si>
  <si>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</si>
  <si>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 xml:space="preserve">Importe Total
 IVA incluido
</t>
    </r>
    <r>
      <rPr>
        <i/>
        <u/>
        <sz val="8"/>
        <color theme="1"/>
        <rFont val="Trebuchet MS"/>
      </rPr>
      <t>(moneda nacional)</t>
    </r>
  </si>
  <si>
    <r>
      <rPr>
        <b/>
        <sz val="10"/>
        <color theme="1"/>
        <rFont val="Arial"/>
      </rPr>
      <t xml:space="preserve">Importe Total
</t>
    </r>
    <r>
      <rPr>
        <i/>
        <sz val="8"/>
        <color theme="1"/>
        <rFont val="Arial"/>
      </rPr>
      <t>(moneda extranjera)</t>
    </r>
  </si>
  <si>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</si>
  <si>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</si>
  <si>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IBM</t>
  </si>
  <si>
    <t>NIT Núm. 860.002.120 - 5
Carrera 53 # 100-25</t>
  </si>
  <si>
    <t>IBM Watson</t>
  </si>
  <si>
    <t>Servicios de inteligencia artificial enfocados en procesamiento de lenguaje natural y análisis de datos.</t>
  </si>
  <si>
    <t>Google vertex AI</t>
  </si>
  <si>
    <t>Plataforma de IA para entrenamiento y despliegue de modelos. Escalable y basada en uso.</t>
  </si>
  <si>
    <t>Azure AI</t>
  </si>
  <si>
    <t>Servicios de inteligencia artificial como visión, lenguaje y chatbots. Pago según consumo.</t>
  </si>
  <si>
    <t>Nomina</t>
  </si>
  <si>
    <t>Salario Minimo</t>
  </si>
  <si>
    <t>Auxilio de Transporte</t>
  </si>
  <si>
    <t>Salario Minimo Integral</t>
  </si>
  <si>
    <t>Aportes Fiscales</t>
  </si>
  <si>
    <t>Total Empresa</t>
  </si>
  <si>
    <t>Total Empleado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</si>
</sst>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d/mm/yyyy"/>
    <numFmt numFmtId="165" formatCode="&quot;$&quot;#,##0"/>
    <numFmt numFmtId="166" formatCode="&quot;$&quot;#,##0.00"/>
    <numFmt numFmtId="167" formatCode="_-&quot;$&quot;\ * #,##0.00_-;\-&quot;$&quot;\ * #,##0.00_-;_-&quot;$&quot;\ * &quot;-&quot;??_-;_-@"/>
    <numFmt numFmtId="168" formatCode="_-[$$-409]* #,##0.00_ ;_-[$$-409]* \-#,##0.00\ ;_-[$$-409]* &quot;-&quot;??_ ;_-@_ "/>
    <numFmt numFmtId="169" formatCode="_([$$-409]* #,##0.00_);_([$$-409]* \(#,##0.00\);_([$$-409]* &quot;-&quot;??_);_(@_)"/>
    <numFmt numFmtId="170" formatCode="_-[$$-240A]\ * #,##0.00_-;\-[$$-240A]\ * #,##0.00_-;_-[$$-240A]\ * &quot;-&quot;??_-;_-@"/>
    <numFmt numFmtId="171" formatCode="_(&quot;$&quot;* #,##0.00_);_(&quot;$&quot;* \(#,##0.00\);_(&quot;$&quot;* &quot;-&quot;??_);_(@_)"/>
    <numFmt numFmtId="172" formatCode="&quot;$&quot;#,##0.0000"/>
  </numFmts>
  <fonts count="129">
    <font>
      <sz val="10"/>
      <color rgb="FF000000"/>
      <name val="Arial"/>
      <scheme val="minor"/>
    </font>
    <font>
      <sz val="10"/>
      <color rgb="FF000000"/>
      <name val="Arial"/>
    </font>
    <font>
      <b/>
      <sz val="25"/>
      <color rgb="FF000000"/>
      <name val="Times New Roman"/>
    </font>
    <font>
      <sz val="10"/>
      <name val="Arial"/>
    </font>
    <font>
      <sz val="23"/>
      <color rgb="FF000000"/>
      <name val="Times New Roman"/>
    </font>
    <font>
      <sz val="25"/>
      <color rgb="FF000000"/>
      <name val="Times New Roman"/>
    </font>
    <font>
      <sz val="24"/>
      <color rgb="FF000000"/>
      <name val="Times New Roman"/>
    </font>
    <font>
      <sz val="22"/>
      <color rgb="FF000000"/>
      <name val="Times New Roman"/>
    </font>
    <font>
      <sz val="10"/>
      <color theme="1"/>
      <name val="Arial"/>
    </font>
    <font>
      <sz val="16"/>
      <color theme="1"/>
      <name val="Times New Roman"/>
    </font>
    <font>
      <b/>
      <sz val="13"/>
      <color theme="1"/>
      <name val="Times New Roman"/>
    </font>
    <font>
      <sz val="13"/>
      <color theme="1"/>
      <name val="Times New Roman"/>
    </font>
    <font>
      <sz val="10"/>
      <color theme="1"/>
      <name val="Arial"/>
      <scheme val="minor"/>
    </font>
    <font>
      <u/>
      <sz val="13"/>
      <color rgb="FF0000FF"/>
      <name val="Times New Roman"/>
    </font>
    <font>
      <u/>
      <sz val="10"/>
      <color rgb="FF0000FF"/>
      <name val="Arial"/>
    </font>
    <font>
      <u/>
      <sz val="13"/>
      <color theme="1"/>
      <name val="Times New Roman"/>
    </font>
    <font>
      <u/>
      <sz val="10"/>
      <color rgb="FF0000FF"/>
      <name val="Arial"/>
    </font>
    <font>
      <u/>
      <sz val="13"/>
      <color rgb="FF0000FF"/>
      <name val="Times New Roman"/>
    </font>
    <font>
      <sz val="11"/>
      <color theme="1"/>
      <name val="Arial"/>
      <scheme val="minor"/>
    </font>
    <font>
      <sz val="11"/>
      <color theme="1"/>
      <name val="Calibri"/>
    </font>
    <font>
      <b/>
      <sz val="11"/>
      <color theme="1"/>
      <name val="Calibri"/>
    </font>
    <font>
      <b/>
      <sz val="12"/>
      <color theme="1"/>
      <name val="Arial"/>
    </font>
    <font>
      <b/>
      <sz val="10"/>
      <color theme="1"/>
      <name val="Arial"/>
    </font>
    <font>
      <b/>
      <sz val="10"/>
      <color theme="1"/>
      <name val="Trebuchet MS"/>
    </font>
    <font>
      <b/>
      <u/>
      <sz val="10"/>
      <color theme="1"/>
      <name val="Trebuchet MS"/>
    </font>
    <font>
      <i/>
      <sz val="10"/>
      <color theme="1"/>
      <name val="Arial"/>
    </font>
    <font>
      <sz val="10"/>
      <color rgb="FF000000"/>
      <name val="Trebuchet MS"/>
    </font>
    <font>
      <u/>
      <sz val="10"/>
      <color rgb="FF000000"/>
      <name val="Arial"/>
    </font>
    <font>
      <u/>
      <sz val="10"/>
      <color rgb="FF000000"/>
      <name val="Trebuchet MS"/>
    </font>
    <font>
      <sz val="10"/>
      <color theme="1"/>
      <name val="Trebuchet MS"/>
    </font>
    <font>
      <sz val="10"/>
      <color theme="1"/>
      <name val="Proxima Nova"/>
    </font>
    <font>
      <sz val="10"/>
      <color rgb="FF231F20"/>
      <name val="Trebuchet MS"/>
    </font>
    <font>
      <sz val="10"/>
      <color theme="1"/>
      <name val="Open Sans"/>
    </font>
    <font>
      <sz val="10"/>
      <color theme="1"/>
      <name val="Montserrat"/>
    </font>
    <font>
      <sz val="10"/>
      <color theme="1"/>
      <name val="Arial Narrow"/>
    </font>
    <font>
      <b/>
      <u/>
      <sz val="10"/>
      <color theme="1"/>
      <name val="Arial"/>
    </font>
    <font>
      <u/>
      <sz val="10"/>
      <color rgb="FF0000FF"/>
      <name val="Arial"/>
    </font>
    <font>
      <u/>
      <sz val="10"/>
      <color rgb="FF0000FF"/>
      <name val="Arial"/>
    </font>
    <font>
      <b/>
      <u/>
      <sz val="10"/>
      <color theme="1"/>
      <name val="Trebuchet MS"/>
    </font>
    <font>
      <sz val="10"/>
      <color rgb="FF231F20"/>
      <name val="Arial"/>
    </font>
    <font>
      <sz val="10"/>
      <color rgb="FF333333"/>
      <name val="Arial"/>
    </font>
    <font>
      <u/>
      <sz val="10"/>
      <color rgb="FF0000FF"/>
      <name val="Arial"/>
    </font>
    <font>
      <u/>
      <sz val="10"/>
      <color rgb="FF000000"/>
      <name val="Trebuchet MS"/>
    </font>
    <font>
      <u/>
      <sz val="10"/>
      <color rgb="FF000000"/>
      <name val="Arial"/>
    </font>
    <font>
      <u/>
      <sz val="10"/>
      <color rgb="FF0000FF"/>
      <name val="Arial"/>
    </font>
    <font>
      <b/>
      <sz val="10"/>
      <color rgb="FF000000"/>
      <name val="Arial"/>
    </font>
    <font>
      <b/>
      <sz val="10"/>
      <color rgb="FF000000"/>
      <name val="Trebuchet MS"/>
    </font>
    <font>
      <b/>
      <u/>
      <sz val="10"/>
      <color rgb="FF000000"/>
      <name val="Trebuchet MS"/>
    </font>
    <font>
      <u/>
      <sz val="10"/>
      <color rgb="FF0000FF"/>
      <name val="Arial"/>
    </font>
    <font>
      <b/>
      <u/>
      <sz val="10"/>
      <color theme="1"/>
      <name val="Trebuchet MS"/>
    </font>
    <font>
      <u/>
      <sz val="10"/>
      <color rgb="FF000000"/>
      <name val="Arial"/>
    </font>
    <font>
      <sz val="10"/>
      <color rgb="FF202124"/>
      <name val="&quot;Google Sans&quot;"/>
    </font>
    <font>
      <u/>
      <sz val="10"/>
      <color rgb="FF000000"/>
      <name val="Arial"/>
    </font>
    <font>
      <u/>
      <sz val="10"/>
      <color rgb="FF000000"/>
      <name val="Lato"/>
    </font>
    <font>
      <sz val="10"/>
      <color rgb="FF444444"/>
      <name val="Arial"/>
    </font>
    <font>
      <sz val="10"/>
      <color rgb="FF001D35"/>
      <name val="Arial"/>
    </font>
    <font>
      <u/>
      <sz val="11"/>
      <color rgb="FF000000"/>
      <name val="&quot;Proxima Nova&quot;"/>
    </font>
    <font>
      <b/>
      <u/>
      <sz val="10"/>
      <color theme="1"/>
      <name val="Trebuchet MS"/>
    </font>
    <font>
      <u/>
      <sz val="10"/>
      <color rgb="FF0F1111"/>
      <name val="Arial"/>
    </font>
    <font>
      <sz val="10"/>
      <color rgb="FF0F1111"/>
      <name val="Arial"/>
    </font>
    <font>
      <u/>
      <sz val="10"/>
      <color rgb="FF000000"/>
      <name val="Arial"/>
    </font>
    <font>
      <u/>
      <sz val="10"/>
      <color rgb="FF000000"/>
      <name val="&quot;Proxima Nova&quot;"/>
    </font>
    <font>
      <u/>
      <sz val="10"/>
      <color rgb="FF262626"/>
      <name val="Lato"/>
    </font>
    <font>
      <sz val="11"/>
      <color rgb="FF333333"/>
      <name val="Lato"/>
    </font>
    <font>
      <u/>
      <sz val="10"/>
      <color rgb="FF000000"/>
      <name val="&quot;Proxima Nova&quot;"/>
    </font>
    <font>
      <u/>
      <sz val="10"/>
      <color theme="1"/>
      <name val="Arial"/>
    </font>
    <font>
      <sz val="10"/>
      <color rgb="FF333333"/>
      <name val="Lato"/>
    </font>
    <font>
      <u/>
      <sz val="10"/>
      <color theme="1"/>
      <name val="Arial"/>
    </font>
    <font>
      <sz val="12"/>
      <color rgb="FF0A0A0A"/>
      <name val="&quot;Google Sans&quot;"/>
    </font>
    <font>
      <sz val="10"/>
      <color rgb="FF0A0A0A"/>
      <name val="&quot;Google Sans&quot;"/>
    </font>
    <font>
      <u/>
      <sz val="10"/>
      <color rgb="FF000000"/>
      <name val="&quot;Titillium Web&quot;"/>
    </font>
    <font>
      <sz val="10"/>
      <color rgb="FF0F1111"/>
      <name val="Arial"/>
      <scheme val="minor"/>
    </font>
    <font>
      <b/>
      <sz val="10"/>
      <color rgb="FF0F1111"/>
      <name val="Trebuchet MS"/>
    </font>
    <font>
      <u/>
      <sz val="10"/>
      <color rgb="FF000000"/>
      <name val="Arial"/>
    </font>
    <font>
      <u/>
      <sz val="10"/>
      <color theme="1"/>
      <name val="Arial"/>
    </font>
    <font>
      <sz val="10"/>
      <color rgb="FF666666"/>
      <name val="Arial"/>
    </font>
    <font>
      <u/>
      <sz val="10"/>
      <color rgb="FF0F1111"/>
      <name val="Arial"/>
    </font>
    <font>
      <u/>
      <sz val="10"/>
      <color rgb="FF000000"/>
      <name val="Arial"/>
    </font>
    <font>
      <sz val="10"/>
      <color rgb="FF0F1111"/>
      <name val="Trebuchet MS"/>
    </font>
    <font>
      <u/>
      <sz val="10"/>
      <color rgb="FF000000"/>
      <name val="Poppins"/>
    </font>
    <font>
      <u/>
      <sz val="10"/>
      <color theme="1"/>
      <name val="Arial"/>
    </font>
    <font>
      <u/>
      <sz val="10"/>
      <color rgb="FF000000"/>
      <name val="&quot;Proxima Nova&quot;"/>
    </font>
    <font>
      <sz val="10"/>
      <color rgb="FF000000"/>
      <name val="&quot;Proxima Nova&quot;"/>
    </font>
    <font>
      <u/>
      <sz val="10"/>
      <color rgb="FF231F20"/>
      <name val="Poppins"/>
    </font>
    <font>
      <sz val="12"/>
      <color rgb="FF001D35"/>
      <name val="&quot;Google Sans&quot;"/>
    </font>
    <font>
      <sz val="15"/>
      <color rgb="FF231F20"/>
      <name val="Poppins"/>
    </font>
    <font>
      <u/>
      <sz val="10"/>
      <color theme="1"/>
      <name val="Arial"/>
    </font>
    <font>
      <u/>
      <sz val="10"/>
      <color rgb="FF000000"/>
      <name val="Arial"/>
    </font>
    <font>
      <u/>
      <sz val="10"/>
      <color rgb="FF000000"/>
      <name val="Arial"/>
    </font>
    <font>
      <b/>
      <sz val="12"/>
      <color rgb="FF0F1111"/>
      <name val="Arial"/>
    </font>
    <font>
      <u/>
      <sz val="10"/>
      <color rgb="FF0F1111"/>
      <name val="Arial"/>
    </font>
    <font>
      <sz val="10"/>
      <color rgb="FF0F1111"/>
      <name val="Arial Narrow"/>
    </font>
    <font>
      <u/>
      <sz val="10"/>
      <color rgb="FF0F1111"/>
      <name val="Arial"/>
    </font>
    <font>
      <u/>
      <sz val="10"/>
      <color rgb="FF1C1C1C"/>
      <name val="Arial"/>
    </font>
    <font>
      <b/>
      <u/>
      <sz val="10"/>
      <color theme="1"/>
      <name val="Trebuchet MS"/>
    </font>
    <font>
      <b/>
      <u/>
      <sz val="10"/>
      <color theme="1"/>
      <name val="Trebuchet MS"/>
    </font>
    <font>
      <u/>
      <sz val="10"/>
      <color rgb="FF0000FF"/>
      <name val="Arial"/>
    </font>
    <font>
      <u/>
      <sz val="10"/>
      <color theme="1"/>
      <name val="Arial"/>
    </font>
    <font>
      <sz val="9"/>
      <color theme="1"/>
      <name val="Arial"/>
    </font>
    <font>
      <u/>
      <sz val="9"/>
      <color theme="1"/>
      <name val="Arial"/>
    </font>
    <font>
      <b/>
      <u/>
      <sz val="10"/>
      <color theme="1"/>
      <name val="Trebuchet MS"/>
    </font>
    <font>
      <u/>
      <sz val="10"/>
      <color theme="1"/>
      <name val="Arial"/>
    </font>
    <font>
      <u/>
      <sz val="10"/>
      <color rgb="FF0000FF"/>
      <name val="Arial"/>
    </font>
    <font>
      <u/>
      <sz val="10"/>
      <color rgb="FF0000FF"/>
      <name val="Arial"/>
    </font>
    <font>
      <u/>
      <sz val="10"/>
      <color theme="1"/>
      <name val="Arial"/>
    </font>
    <font>
      <u/>
      <sz val="10"/>
      <color rgb="FF0000FF"/>
      <name val="Arial"/>
    </font>
    <font>
      <i/>
      <sz val="8"/>
      <color theme="1"/>
      <name val="Trebuchet MS"/>
    </font>
    <font>
      <i/>
      <sz val="10"/>
      <color theme="1"/>
      <name val="Trebuchet MS"/>
    </font>
    <font>
      <i/>
      <u/>
      <sz val="8"/>
      <color theme="1"/>
      <name val="Trebuchet MS"/>
    </font>
    <font>
      <i/>
      <sz val="8"/>
      <color theme="1"/>
      <name val="Arial"/>
    </font>
    <font>
      <i/>
      <u/>
      <sz val="10"/>
      <color theme="1"/>
      <name val="Arial"/>
    </font>
    <font>
      <i/>
      <sz val="8"/>
      <color rgb="FF000000"/>
      <name val="Trebuchet MS"/>
    </font>
    <font>
      <i/>
      <sz val="10"/>
      <color rgb="FF000000"/>
      <name val="Trebuchet MS"/>
    </font>
    <font>
      <i/>
      <u/>
      <sz val="8"/>
      <color rgb="FF000000"/>
      <name val="Trebuchet MS"/>
    </font>
    <font>
      <i/>
      <sz val="8"/>
      <color rgb="FF000000"/>
      <name val="Arial"/>
    </font>
    <font>
      <b/>
      <i/>
      <sz val="8"/>
      <color theme="1"/>
      <name val="Arial"/>
    </font>
    <font>
      <u/>
      <sz val="10"/>
      <color rgb="FF1155CC"/>
      <name val="Arial"/>
    </font>
    <font>
      <u/>
      <sz val="10"/>
      <color rgb="FF1155CC"/>
      <name val="Arial"/>
      <scheme val="minor"/>
    </font>
    <font>
      <sz val="11"/>
      <color rgb="FF000000"/>
      <name val="Arial"/>
      <scheme val="minor"/>
    </font>
    <font>
      <u/>
      <sz val="11"/>
      <color rgb="FF1155CC"/>
      <name val="Arial"/>
      <scheme val="minor"/>
    </font>
    <font>
      <sz val="10"/>
      <color rgb="FF262626"/>
      <name val="Lato, sans-serif"/>
    </font>
    <font>
      <u/>
      <sz val="10"/>
      <color rgb="FF1155CC"/>
      <name val="Lato, sans-serif"/>
    </font>
    <font>
      <i/>
      <sz val="10"/>
      <color rgb="FF0F1111"/>
      <name val="Trebuchet MS"/>
    </font>
    <font>
      <sz val="10"/>
      <color rgb="FF000000"/>
      <name val="Poppins, sans-serif"/>
    </font>
    <font>
      <u/>
      <sz val="10"/>
      <color rgb="FF1155CC"/>
      <name val="Poppins, sans-serif"/>
    </font>
    <font>
      <sz val="10"/>
      <color rgb="FF231F20"/>
      <name val="Poppins, Helvetica, sans-serif"/>
    </font>
    <font>
      <u/>
      <sz val="10"/>
      <color rgb="FF1155CC"/>
      <name val="Poppins, Helvetica, sans-serif"/>
    </font>
    <font>
      <i/>
      <sz val="8"/>
      <color rgb="FF0F1111"/>
      <name val="Trebuchet MS"/>
    </font>
    <font>
      <sz val="10"/>
      <color rgb="FF1C1C1C"/>
      <name val="Arial"/>
    </font>
  </fonts>
  <fills count="14">
    <fill>
      <patternFill patternType="none"/>
    </fill>
    <fill>
      <patternFill patternType="gray125"/>
    </fill>
    <fill>
      <patternFill patternType="solid">
        <fgColor rgb="FF6AA84F"/>
        <bgColor rgb="FF6AA84F"/>
      </patternFill>
    </fill>
    <fill>
      <patternFill patternType="solid">
        <fgColor rgb="FFD5A6BD"/>
        <bgColor rgb="FFD5A6BD"/>
      </patternFill>
    </fill>
    <fill>
      <patternFill patternType="solid">
        <fgColor rgb="FFFFFFFF"/>
        <bgColor rgb="FFFFFFFF"/>
      </patternFill>
    </fill>
    <fill>
      <patternFill patternType="solid">
        <fgColor rgb="FFC5E0B3"/>
        <bgColor rgb="FFC5E0B3"/>
      </patternFill>
    </fill>
    <fill>
      <patternFill patternType="solid">
        <fgColor rgb="FFE2EFD9"/>
        <bgColor rgb="FFE2EFD9"/>
      </patternFill>
    </fill>
    <fill>
      <patternFill patternType="solid">
        <fgColor rgb="FFDADADA"/>
        <bgColor rgb="FFDADADA"/>
      </patternFill>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5F5F5"/>
        <bgColor rgb="FFF5F5F5"/>
      </patternFill>
    </fill>
    <fill>
      <patternFill patternType="solid">
        <fgColor rgb="FFF8F8F8"/>
        <bgColor rgb="FFF8F8F8"/>
      </patternFill>
    </fill>
  </fills>
  <borders count="47">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top style="thin">
        <color rgb="FF000000"/>
      </top>
      <bottom/>
      <diagonal/>
    </border>
    <border>
      <left/>
      <right style="medium">
        <color rgb="FF000000"/>
      </right>
      <top/>
      <bottom style="thin">
        <color rgb="FF000000"/>
      </bottom>
      <diagonal/>
    </border>
    <border>
      <left style="medium">
        <color rgb="FF000000"/>
      </left>
      <right style="medium">
        <color rgb="FF000000"/>
      </right>
      <top style="thin">
        <color rgb="FF000000"/>
      </top>
      <bottom/>
      <diagonal/>
    </border>
    <border>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style="thin">
        <color rgb="FF000000"/>
      </top>
      <bottom/>
      <diagonal/>
    </border>
    <border>
      <left style="medium">
        <color rgb="FF000000"/>
      </left>
      <right style="medium">
        <color rgb="FF000000"/>
      </right>
      <top/>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s>
  <cellStyleXfs count="1">
    <xf numFmtId="0" fontId="0" fillId="0" borderId="0"/>
  </cellStyleXfs>
  <cellXfs count="324">
    <xf numFmtId="0" fontId="0" fillId="0" borderId="0" xfId="0"/>
    <xf numFmtId="0" fontId="1" fillId="2" borderId="1" xfId="0" applyFont="1" applyFill="1" applyBorder="1"/>
    <xf numFmtId="0" fontId="4" fillId="2" borderId="1" xfId="0" applyFont="1" applyFill="1" applyBorder="1"/>
    <xf numFmtId="0" fontId="5" fillId="2" borderId="1" xfId="0" applyFont="1" applyFill="1" applyBorder="1"/>
    <xf numFmtId="0" fontId="6" fillId="2" borderId="1" xfId="0" applyFont="1" applyFill="1" applyBorder="1"/>
    <xf numFmtId="0" fontId="7" fillId="2" borderId="1" xfId="0" applyFont="1" applyFill="1" applyBorder="1"/>
    <xf numFmtId="0" fontId="5" fillId="2" borderId="1" xfId="0" applyFont="1" applyFill="1" applyBorder="1" applyAlignment="1">
      <alignment horizontal="center"/>
    </xf>
    <xf numFmtId="164" fontId="5" fillId="2" borderId="1" xfId="0" applyNumberFormat="1" applyFont="1" applyFill="1" applyBorder="1"/>
    <xf numFmtId="0" fontId="8" fillId="0" borderId="0" xfId="0" applyFont="1"/>
    <xf numFmtId="0" fontId="9" fillId="0" borderId="0" xfId="0" applyFont="1"/>
    <xf numFmtId="0" fontId="10" fillId="0" borderId="0" xfId="0" applyFont="1"/>
    <xf numFmtId="0" fontId="11" fillId="0" borderId="0" xfId="0" applyFont="1"/>
    <xf numFmtId="0" fontId="12" fillId="4" borderId="3" xfId="0" applyFont="1" applyFill="1" applyBorder="1"/>
    <xf numFmtId="0" fontId="11" fillId="4" borderId="6" xfId="0" applyFont="1" applyFill="1" applyBorder="1"/>
    <xf numFmtId="0" fontId="12" fillId="0" borderId="3" xfId="0" applyFont="1" applyBorder="1"/>
    <xf numFmtId="0" fontId="11" fillId="0" borderId="4" xfId="0" applyFont="1" applyBorder="1"/>
    <xf numFmtId="0" fontId="11" fillId="0" borderId="5" xfId="0" applyFont="1" applyBorder="1"/>
    <xf numFmtId="0" fontId="13" fillId="0" borderId="0" xfId="0" applyFont="1"/>
    <xf numFmtId="0" fontId="11" fillId="3" borderId="7" xfId="0" applyFont="1" applyFill="1" applyBorder="1"/>
    <xf numFmtId="0" fontId="11" fillId="0" borderId="0" xfId="0" applyFont="1" applyAlignment="1">
      <alignment horizontal="center"/>
    </xf>
    <xf numFmtId="0" fontId="14" fillId="4" borderId="7" xfId="0" applyFont="1" applyFill="1" applyBorder="1" applyAlignment="1">
      <alignment horizontal="center" vertical="center" wrapText="1"/>
    </xf>
    <xf numFmtId="0" fontId="11" fillId="0" borderId="7" xfId="0" applyFont="1" applyBorder="1" applyAlignment="1">
      <alignment horizontal="center" vertical="center" wrapText="1"/>
    </xf>
    <xf numFmtId="165" fontId="11" fillId="0" borderId="7" xfId="0" applyNumberFormat="1" applyFont="1" applyBorder="1" applyAlignment="1">
      <alignment horizontal="center" vertical="center" wrapText="1"/>
    </xf>
    <xf numFmtId="0" fontId="15" fillId="0" borderId="7" xfId="0" applyFont="1" applyBorder="1" applyAlignment="1">
      <alignment horizontal="center" vertical="center" wrapText="1"/>
    </xf>
    <xf numFmtId="166" fontId="11" fillId="0" borderId="7" xfId="0" applyNumberFormat="1" applyFont="1" applyBorder="1" applyAlignment="1">
      <alignment horizontal="center" vertical="center" wrapText="1"/>
    </xf>
    <xf numFmtId="0" fontId="12" fillId="0" borderId="0" xfId="0" applyFont="1" applyAlignment="1">
      <alignment horizontal="center" vertical="center" wrapText="1"/>
    </xf>
    <xf numFmtId="49" fontId="11" fillId="0" borderId="7" xfId="0" applyNumberFormat="1" applyFont="1" applyBorder="1" applyAlignment="1">
      <alignment horizontal="center" vertical="center" wrapText="1"/>
    </xf>
    <xf numFmtId="49" fontId="16" fillId="0" borderId="7" xfId="0" applyNumberFormat="1" applyFont="1" applyBorder="1" applyAlignment="1">
      <alignment horizontal="center" vertical="center" wrapText="1"/>
    </xf>
    <xf numFmtId="0" fontId="12" fillId="0" borderId="0" xfId="0" applyFont="1" applyAlignment="1">
      <alignment vertical="center" wrapText="1"/>
    </xf>
    <xf numFmtId="0" fontId="11" fillId="0" borderId="0" xfId="0" applyFont="1" applyAlignment="1">
      <alignment horizontal="center" vertical="center" wrapText="1"/>
    </xf>
    <xf numFmtId="0" fontId="17" fillId="0" borderId="7" xfId="0" applyFont="1" applyBorder="1" applyAlignment="1">
      <alignment horizontal="center" vertical="center" wrapText="1"/>
    </xf>
    <xf numFmtId="0" fontId="12" fillId="0" borderId="7" xfId="0" applyFont="1" applyBorder="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xf>
    <xf numFmtId="0" fontId="11" fillId="0" borderId="7" xfId="0" applyFont="1" applyBorder="1" applyAlignment="1">
      <alignment vertical="center" wrapText="1"/>
    </xf>
    <xf numFmtId="0" fontId="11" fillId="0" borderId="7" xfId="0" applyFont="1" applyBorder="1" applyAlignment="1">
      <alignment horizontal="center" vertical="center"/>
    </xf>
    <xf numFmtId="166" fontId="11" fillId="0" borderId="7" xfId="0" applyNumberFormat="1" applyFont="1" applyBorder="1" applyAlignment="1">
      <alignment horizontal="center" vertical="center"/>
    </xf>
    <xf numFmtId="0" fontId="18" fillId="0" borderId="7" xfId="0" applyFont="1" applyBorder="1" applyAlignment="1">
      <alignment horizontal="center" vertical="center" wrapText="1"/>
    </xf>
    <xf numFmtId="0" fontId="19" fillId="0" borderId="0" xfId="0" applyFont="1" applyAlignment="1">
      <alignment vertical="center" wrapText="1"/>
    </xf>
    <xf numFmtId="0" fontId="20" fillId="5" borderId="8" xfId="0" applyFont="1" applyFill="1" applyBorder="1" applyAlignment="1">
      <alignment horizontal="center" vertical="center" wrapText="1"/>
    </xf>
    <xf numFmtId="0" fontId="20" fillId="5" borderId="12" xfId="0" applyFont="1" applyFill="1" applyBorder="1" applyAlignment="1">
      <alignment horizontal="center" vertical="center" wrapText="1"/>
    </xf>
    <xf numFmtId="0" fontId="20" fillId="5" borderId="13" xfId="0" applyFont="1" applyFill="1" applyBorder="1" applyAlignment="1">
      <alignment horizontal="center" vertical="center" wrapText="1"/>
    </xf>
    <xf numFmtId="0" fontId="20" fillId="5" borderId="15" xfId="0" applyFont="1" applyFill="1" applyBorder="1" applyAlignment="1">
      <alignment horizontal="center" vertical="center" wrapText="1"/>
    </xf>
    <xf numFmtId="0" fontId="20" fillId="5" borderId="16" xfId="0" applyFont="1" applyFill="1" applyBorder="1" applyAlignment="1">
      <alignment horizontal="center" vertical="center" wrapText="1"/>
    </xf>
    <xf numFmtId="0" fontId="20" fillId="5" borderId="17" xfId="0" applyFont="1" applyFill="1" applyBorder="1" applyAlignment="1">
      <alignment horizontal="center" vertical="center" wrapText="1"/>
    </xf>
    <xf numFmtId="0" fontId="19" fillId="0" borderId="19" xfId="0" applyFont="1" applyBorder="1" applyAlignment="1">
      <alignment vertical="center" wrapText="1"/>
    </xf>
    <xf numFmtId="167" fontId="19" fillId="0" borderId="20" xfId="0" applyNumberFormat="1" applyFont="1" applyBorder="1" applyAlignment="1">
      <alignment horizontal="right" vertical="center" wrapText="1"/>
    </xf>
    <xf numFmtId="1" fontId="19" fillId="0" borderId="19" xfId="0" applyNumberFormat="1" applyFont="1" applyBorder="1" applyAlignment="1">
      <alignment horizontal="right" vertical="center" wrapText="1"/>
    </xf>
    <xf numFmtId="167" fontId="19" fillId="6" borderId="21" xfId="0" applyNumberFormat="1" applyFont="1" applyFill="1" applyBorder="1" applyAlignment="1">
      <alignment horizontal="right" vertical="center" wrapText="1"/>
    </xf>
    <xf numFmtId="167" fontId="19" fillId="6" borderId="22" xfId="0" applyNumberFormat="1" applyFont="1" applyFill="1" applyBorder="1" applyAlignment="1">
      <alignment horizontal="right" vertical="center" wrapText="1"/>
    </xf>
    <xf numFmtId="167" fontId="19" fillId="6" borderId="20" xfId="0" applyNumberFormat="1" applyFont="1" applyFill="1" applyBorder="1" applyAlignment="1">
      <alignment horizontal="right" vertical="center" wrapText="1"/>
    </xf>
    <xf numFmtId="167" fontId="19" fillId="6" borderId="23" xfId="0" applyNumberFormat="1" applyFont="1" applyFill="1" applyBorder="1" applyAlignment="1">
      <alignment horizontal="right" vertical="center" wrapText="1"/>
    </xf>
    <xf numFmtId="0" fontId="19" fillId="0" borderId="24" xfId="0" applyFont="1" applyBorder="1" applyAlignment="1">
      <alignment vertical="center" wrapText="1"/>
    </xf>
    <xf numFmtId="167" fontId="19" fillId="0" borderId="25" xfId="0" applyNumberFormat="1" applyFont="1" applyBorder="1" applyAlignment="1">
      <alignment horizontal="right" vertical="center" wrapText="1"/>
    </xf>
    <xf numFmtId="1" fontId="19" fillId="0" borderId="24" xfId="0" applyNumberFormat="1" applyFont="1" applyBorder="1" applyAlignment="1">
      <alignment horizontal="right" vertical="center" wrapText="1"/>
    </xf>
    <xf numFmtId="167" fontId="19" fillId="6" borderId="26" xfId="0" applyNumberFormat="1" applyFont="1" applyFill="1" applyBorder="1" applyAlignment="1">
      <alignment horizontal="right" vertical="center" wrapText="1"/>
    </xf>
    <xf numFmtId="167" fontId="19" fillId="6" borderId="27" xfId="0" applyNumberFormat="1" applyFont="1" applyFill="1" applyBorder="1" applyAlignment="1">
      <alignment horizontal="right" vertical="center" wrapText="1"/>
    </xf>
    <xf numFmtId="167" fontId="19" fillId="0" borderId="25" xfId="0" applyNumberFormat="1" applyFont="1" applyBorder="1" applyAlignment="1">
      <alignment vertical="center" wrapText="1"/>
    </xf>
    <xf numFmtId="167" fontId="19" fillId="0" borderId="24" xfId="0" applyNumberFormat="1" applyFont="1" applyBorder="1" applyAlignment="1">
      <alignment vertical="center" wrapText="1"/>
    </xf>
    <xf numFmtId="0" fontId="19" fillId="0" borderId="28" xfId="0" applyFont="1" applyBorder="1" applyAlignment="1">
      <alignment vertical="center" wrapText="1"/>
    </xf>
    <xf numFmtId="167" fontId="19" fillId="0" borderId="29" xfId="0" applyNumberFormat="1" applyFont="1" applyBorder="1" applyAlignment="1">
      <alignment vertical="center" wrapText="1"/>
    </xf>
    <xf numFmtId="167" fontId="19" fillId="0" borderId="28" xfId="0" applyNumberFormat="1" applyFont="1" applyBorder="1" applyAlignment="1">
      <alignment vertical="center" wrapText="1"/>
    </xf>
    <xf numFmtId="0" fontId="20" fillId="5" borderId="12" xfId="0" applyFont="1" applyFill="1" applyBorder="1" applyAlignment="1">
      <alignment vertical="center" wrapText="1"/>
    </xf>
    <xf numFmtId="167" fontId="20" fillId="5" borderId="12" xfId="0" applyNumberFormat="1" applyFont="1" applyFill="1" applyBorder="1" applyAlignment="1">
      <alignment horizontal="right" vertical="center" wrapText="1"/>
    </xf>
    <xf numFmtId="0" fontId="19" fillId="5" borderId="12" xfId="0" applyFont="1" applyFill="1" applyBorder="1" applyAlignment="1">
      <alignment vertical="center" wrapText="1"/>
    </xf>
    <xf numFmtId="167" fontId="20" fillId="5" borderId="20" xfId="0" applyNumberFormat="1" applyFont="1" applyFill="1" applyBorder="1" applyAlignment="1">
      <alignment horizontal="right" vertical="center" wrapText="1"/>
    </xf>
    <xf numFmtId="167" fontId="20" fillId="5" borderId="13" xfId="0" applyNumberFormat="1" applyFont="1" applyFill="1" applyBorder="1" applyAlignment="1">
      <alignment horizontal="right" vertical="center" wrapText="1"/>
    </xf>
    <xf numFmtId="167" fontId="19" fillId="0" borderId="0" xfId="0" applyNumberFormat="1" applyFont="1" applyAlignment="1">
      <alignment vertical="center" wrapText="1"/>
    </xf>
    <xf numFmtId="0" fontId="19" fillId="7" borderId="19" xfId="0" applyFont="1" applyFill="1" applyBorder="1" applyAlignment="1">
      <alignment vertical="center" wrapText="1"/>
    </xf>
    <xf numFmtId="167" fontId="19" fillId="6" borderId="30" xfId="0" applyNumberFormat="1" applyFont="1" applyFill="1" applyBorder="1" applyAlignment="1">
      <alignment horizontal="right" vertical="center" wrapText="1"/>
    </xf>
    <xf numFmtId="0" fontId="19" fillId="7" borderId="24" xfId="0" applyFont="1" applyFill="1" applyBorder="1" applyAlignment="1">
      <alignment vertical="center" wrapText="1"/>
    </xf>
    <xf numFmtId="0" fontId="19" fillId="7" borderId="31" xfId="0" applyFont="1" applyFill="1" applyBorder="1" applyAlignment="1">
      <alignment vertical="center" wrapText="1"/>
    </xf>
    <xf numFmtId="0" fontId="20" fillId="6" borderId="15" xfId="0" applyFont="1" applyFill="1" applyBorder="1" applyAlignment="1">
      <alignment vertical="center" wrapText="1"/>
    </xf>
    <xf numFmtId="167" fontId="20" fillId="6" borderId="32" xfId="0" applyNumberFormat="1" applyFont="1" applyFill="1" applyBorder="1" applyAlignment="1">
      <alignment horizontal="right" vertical="center" wrapText="1"/>
    </xf>
    <xf numFmtId="0" fontId="19" fillId="7" borderId="22" xfId="0" applyFont="1" applyFill="1" applyBorder="1" applyAlignment="1">
      <alignment vertical="center" wrapText="1"/>
    </xf>
    <xf numFmtId="167" fontId="19" fillId="6" borderId="19" xfId="0" applyNumberFormat="1" applyFont="1" applyFill="1" applyBorder="1" applyAlignment="1">
      <alignment horizontal="right" vertical="center" wrapText="1"/>
    </xf>
    <xf numFmtId="0" fontId="19" fillId="7" borderId="27" xfId="0" applyFont="1" applyFill="1" applyBorder="1" applyAlignment="1">
      <alignment vertical="center" wrapText="1"/>
    </xf>
    <xf numFmtId="0" fontId="19" fillId="7" borderId="34" xfId="0" applyFont="1" applyFill="1" applyBorder="1" applyAlignment="1">
      <alignment vertical="center" wrapText="1"/>
    </xf>
    <xf numFmtId="167" fontId="20" fillId="6" borderId="35" xfId="0" applyNumberFormat="1" applyFont="1" applyFill="1" applyBorder="1" applyAlignment="1">
      <alignment horizontal="right" vertical="center" wrapText="1"/>
    </xf>
    <xf numFmtId="0" fontId="20" fillId="6" borderId="12" xfId="0" applyFont="1" applyFill="1" applyBorder="1" applyAlignment="1">
      <alignment vertical="center" wrapText="1"/>
    </xf>
    <xf numFmtId="167" fontId="20" fillId="6" borderId="36" xfId="0" applyNumberFormat="1" applyFont="1" applyFill="1" applyBorder="1" applyAlignment="1">
      <alignment horizontal="right" vertical="center" wrapText="1"/>
    </xf>
    <xf numFmtId="0" fontId="22" fillId="9" borderId="7" xfId="0" applyFont="1" applyFill="1" applyBorder="1" applyAlignment="1">
      <alignment horizontal="center" vertical="center" wrapText="1"/>
    </xf>
    <xf numFmtId="0" fontId="23" fillId="0" borderId="7" xfId="0" applyFont="1" applyBorder="1" applyAlignment="1">
      <alignment horizontal="center" vertical="center" wrapText="1"/>
    </xf>
    <xf numFmtId="0" fontId="24" fillId="10" borderId="7" xfId="0" applyFont="1" applyFill="1" applyBorder="1" applyAlignment="1">
      <alignment horizontal="center" vertical="center" wrapText="1"/>
    </xf>
    <xf numFmtId="0" fontId="22" fillId="11" borderId="37" xfId="0" applyFont="1" applyFill="1" applyBorder="1" applyAlignment="1">
      <alignment horizontal="center" vertical="center" wrapText="1"/>
    </xf>
    <xf numFmtId="0" fontId="25" fillId="0" borderId="0" xfId="0" applyFont="1" applyAlignment="1">
      <alignment horizontal="center" vertical="center"/>
    </xf>
    <xf numFmtId="0" fontId="22" fillId="0" borderId="7" xfId="0" applyFont="1" applyBorder="1" applyAlignment="1">
      <alignment horizontal="center" vertical="center"/>
    </xf>
    <xf numFmtId="0" fontId="26" fillId="0" borderId="7" xfId="0" applyFont="1" applyBorder="1" applyAlignment="1">
      <alignment horizontal="center" vertical="center" wrapText="1"/>
    </xf>
    <xf numFmtId="0" fontId="27" fillId="0" borderId="7" xfId="0" applyFont="1" applyBorder="1" applyAlignment="1">
      <alignment horizontal="center" vertical="center" wrapText="1"/>
    </xf>
    <xf numFmtId="165" fontId="26" fillId="0" borderId="7" xfId="0" applyNumberFormat="1" applyFont="1" applyBorder="1" applyAlignment="1">
      <alignment horizontal="center" vertical="center" wrapText="1"/>
    </xf>
    <xf numFmtId="168" fontId="28" fillId="0" borderId="7" xfId="0" applyNumberFormat="1" applyFont="1" applyBorder="1" applyAlignment="1">
      <alignment horizontal="center" vertical="center" wrapText="1"/>
    </xf>
    <xf numFmtId="0" fontId="29" fillId="0" borderId="7" xfId="0" applyFont="1" applyBorder="1" applyAlignment="1">
      <alignment horizontal="center" vertical="center" wrapText="1"/>
    </xf>
    <xf numFmtId="0" fontId="30" fillId="4" borderId="38" xfId="0" applyFont="1" applyFill="1" applyBorder="1" applyAlignment="1">
      <alignment horizontal="center" vertical="center" wrapText="1"/>
    </xf>
    <xf numFmtId="0" fontId="31" fillId="0" borderId="7" xfId="0" applyFont="1" applyBorder="1" applyAlignment="1">
      <alignment horizontal="center" vertical="center" wrapText="1"/>
    </xf>
    <xf numFmtId="0" fontId="32" fillId="4" borderId="38" xfId="0" applyFont="1" applyFill="1" applyBorder="1" applyAlignment="1">
      <alignment horizontal="center" vertical="center" wrapText="1"/>
    </xf>
    <xf numFmtId="0" fontId="33" fillId="4" borderId="38" xfId="0" applyFont="1" applyFill="1" applyBorder="1" applyAlignment="1">
      <alignment horizontal="center" vertical="center" wrapText="1"/>
    </xf>
    <xf numFmtId="0" fontId="8" fillId="0" borderId="7" xfId="0" applyFont="1" applyBorder="1"/>
    <xf numFmtId="0" fontId="29" fillId="0" borderId="7" xfId="0" applyFont="1" applyBorder="1" applyAlignment="1">
      <alignment horizontal="left" vertical="top" wrapText="1"/>
    </xf>
    <xf numFmtId="0" fontId="34" fillId="0" borderId="0" xfId="0" applyFont="1" applyAlignment="1">
      <alignment horizontal="center" vertical="center" wrapText="1"/>
    </xf>
    <xf numFmtId="0" fontId="22" fillId="0" borderId="7" xfId="0" applyFont="1" applyBorder="1" applyAlignment="1">
      <alignment horizontal="center" vertical="center" wrapText="1"/>
    </xf>
    <xf numFmtId="0" fontId="35" fillId="10" borderId="7" xfId="0" applyFont="1" applyFill="1" applyBorder="1" applyAlignment="1">
      <alignment horizontal="center" vertical="center" wrapText="1"/>
    </xf>
    <xf numFmtId="0" fontId="36" fillId="0" borderId="7" xfId="0" applyFont="1" applyBorder="1" applyAlignment="1">
      <alignment horizontal="center" vertical="center" wrapText="1"/>
    </xf>
    <xf numFmtId="166" fontId="1" fillId="0" borderId="7" xfId="0" applyNumberFormat="1" applyFont="1" applyBorder="1" applyAlignment="1">
      <alignment horizontal="center" vertical="center" wrapText="1"/>
    </xf>
    <xf numFmtId="166" fontId="8" fillId="0" borderId="7" xfId="0" applyNumberFormat="1" applyFont="1" applyBorder="1" applyAlignment="1">
      <alignment horizontal="center" vertical="center" wrapText="1"/>
    </xf>
    <xf numFmtId="0" fontId="37" fillId="4" borderId="38" xfId="0" applyFont="1" applyFill="1" applyBorder="1" applyAlignment="1">
      <alignment horizontal="center" vertical="center" wrapText="1"/>
    </xf>
    <xf numFmtId="0" fontId="22" fillId="9" borderId="39" xfId="0" applyFont="1" applyFill="1" applyBorder="1" applyAlignment="1">
      <alignment horizontal="center" vertical="center" wrapText="1"/>
    </xf>
    <xf numFmtId="0" fontId="23" fillId="0" borderId="40" xfId="0" applyFont="1" applyBorder="1" applyAlignment="1">
      <alignment horizontal="center" vertical="center" wrapText="1"/>
    </xf>
    <xf numFmtId="0" fontId="38" fillId="10" borderId="39" xfId="0" applyFont="1" applyFill="1" applyBorder="1" applyAlignment="1">
      <alignment horizontal="center" vertical="center" wrapText="1"/>
    </xf>
    <xf numFmtId="0" fontId="22" fillId="11" borderId="41" xfId="0" applyFont="1" applyFill="1" applyBorder="1" applyAlignment="1">
      <alignment horizontal="center" vertical="center" wrapText="1"/>
    </xf>
    <xf numFmtId="0" fontId="1" fillId="0" borderId="7" xfId="0" applyFont="1" applyBorder="1" applyAlignment="1">
      <alignment horizontal="center" vertical="center" wrapText="1"/>
    </xf>
    <xf numFmtId="49" fontId="1" fillId="0" borderId="7" xfId="0" applyNumberFormat="1" applyFont="1" applyBorder="1" applyAlignment="1">
      <alignment horizontal="center" vertical="center" wrapText="1"/>
    </xf>
    <xf numFmtId="49" fontId="8" fillId="0" borderId="7" xfId="0" applyNumberFormat="1" applyFont="1" applyBorder="1" applyAlignment="1">
      <alignment horizontal="center" vertical="center" wrapText="1"/>
    </xf>
    <xf numFmtId="0" fontId="1" fillId="4" borderId="7" xfId="0" applyFont="1" applyFill="1" applyBorder="1" applyAlignment="1">
      <alignment horizontal="center" vertical="center" wrapText="1"/>
    </xf>
    <xf numFmtId="0" fontId="39" fillId="0" borderId="7" xfId="0" applyFont="1" applyBorder="1" applyAlignment="1">
      <alignment horizontal="center" vertical="center" wrapText="1"/>
    </xf>
    <xf numFmtId="0" fontId="40" fillId="4" borderId="39" xfId="0" applyFont="1" applyFill="1" applyBorder="1" applyAlignment="1">
      <alignment horizontal="center" vertical="center" wrapText="1"/>
    </xf>
    <xf numFmtId="0" fontId="40" fillId="4" borderId="7" xfId="0" applyFont="1" applyFill="1" applyBorder="1" applyAlignment="1">
      <alignment horizontal="center" vertical="center" wrapText="1"/>
    </xf>
    <xf numFmtId="0" fontId="8" fillId="0" borderId="7" xfId="0" applyFont="1" applyBorder="1" applyAlignment="1">
      <alignment vertical="center"/>
    </xf>
    <xf numFmtId="49" fontId="8" fillId="0" borderId="7" xfId="0" applyNumberFormat="1" applyFont="1" applyBorder="1" applyAlignment="1">
      <alignment horizontal="left" vertical="center" wrapText="1"/>
    </xf>
    <xf numFmtId="0" fontId="8" fillId="0" borderId="7" xfId="0" applyFont="1" applyBorder="1" applyAlignment="1">
      <alignment horizontal="left" vertical="center" wrapText="1"/>
    </xf>
    <xf numFmtId="0" fontId="22" fillId="0" borderId="3" xfId="0" applyFont="1" applyBorder="1" applyAlignment="1">
      <alignment horizontal="center" vertical="center"/>
    </xf>
    <xf numFmtId="49" fontId="1" fillId="4" borderId="7" xfId="0" applyNumberFormat="1" applyFont="1" applyFill="1" applyBorder="1" applyAlignment="1">
      <alignment horizontal="center" vertical="center" wrapText="1"/>
    </xf>
    <xf numFmtId="0" fontId="29" fillId="0" borderId="42" xfId="0" applyFont="1" applyBorder="1" applyAlignment="1">
      <alignment horizontal="left" vertical="center" wrapText="1"/>
    </xf>
    <xf numFmtId="49" fontId="42" fillId="0" borderId="7" xfId="0" applyNumberFormat="1" applyFont="1" applyBorder="1" applyAlignment="1">
      <alignment horizontal="center" vertical="center" wrapText="1"/>
    </xf>
    <xf numFmtId="49" fontId="39" fillId="0" borderId="7" xfId="0" applyNumberFormat="1" applyFont="1" applyBorder="1" applyAlignment="1">
      <alignment horizontal="center" vertical="center" wrapText="1"/>
    </xf>
    <xf numFmtId="49" fontId="43" fillId="0" borderId="7" xfId="0" applyNumberFormat="1" applyFont="1" applyBorder="1" applyAlignment="1">
      <alignment horizontal="center" vertical="center" wrapText="1"/>
    </xf>
    <xf numFmtId="49" fontId="44" fillId="4" borderId="7" xfId="0" applyNumberFormat="1" applyFont="1" applyFill="1" applyBorder="1" applyAlignment="1">
      <alignment horizontal="center" vertical="center" wrapText="1"/>
    </xf>
    <xf numFmtId="49" fontId="29" fillId="0" borderId="42" xfId="0" applyNumberFormat="1" applyFont="1" applyBorder="1" applyAlignment="1">
      <alignment horizontal="left" vertical="center" wrapText="1"/>
    </xf>
    <xf numFmtId="169" fontId="22" fillId="11" borderId="41" xfId="0" applyNumberFormat="1" applyFont="1" applyFill="1" applyBorder="1" applyAlignment="1">
      <alignment horizontal="center" vertical="center" wrapText="1"/>
    </xf>
    <xf numFmtId="0" fontId="29" fillId="0" borderId="42" xfId="0" applyFont="1" applyBorder="1" applyAlignment="1">
      <alignment horizontal="left" vertical="top" wrapText="1"/>
    </xf>
    <xf numFmtId="49" fontId="45" fillId="9" borderId="7" xfId="0" applyNumberFormat="1" applyFont="1" applyFill="1" applyBorder="1" applyAlignment="1">
      <alignment horizontal="center" vertical="center" wrapText="1"/>
    </xf>
    <xf numFmtId="49" fontId="46" fillId="0" borderId="40" xfId="0" applyNumberFormat="1" applyFont="1" applyBorder="1" applyAlignment="1">
      <alignment horizontal="center" vertical="center" wrapText="1"/>
    </xf>
    <xf numFmtId="49" fontId="46" fillId="0" borderId="7" xfId="0" applyNumberFormat="1" applyFont="1" applyBorder="1" applyAlignment="1">
      <alignment horizontal="center" vertical="center" wrapText="1"/>
    </xf>
    <xf numFmtId="49" fontId="47" fillId="10" borderId="39" xfId="0" applyNumberFormat="1" applyFont="1" applyFill="1" applyBorder="1" applyAlignment="1">
      <alignment horizontal="center" vertical="center" wrapText="1"/>
    </xf>
    <xf numFmtId="49" fontId="45" fillId="11" borderId="41" xfId="0" applyNumberFormat="1" applyFont="1" applyFill="1" applyBorder="1" applyAlignment="1">
      <alignment horizontal="center" vertical="center" wrapText="1"/>
    </xf>
    <xf numFmtId="49" fontId="45" fillId="0" borderId="3" xfId="0" applyNumberFormat="1" applyFont="1" applyBorder="1" applyAlignment="1">
      <alignment horizontal="center" vertical="center" wrapText="1"/>
    </xf>
    <xf numFmtId="49" fontId="1" fillId="4" borderId="7" xfId="0" applyNumberFormat="1" applyFont="1" applyFill="1" applyBorder="1" applyAlignment="1">
      <alignment vertical="center" wrapText="1"/>
    </xf>
    <xf numFmtId="49" fontId="1" fillId="12" borderId="7" xfId="0" applyNumberFormat="1" applyFont="1" applyFill="1" applyBorder="1" applyAlignment="1">
      <alignment vertical="center" wrapText="1"/>
    </xf>
    <xf numFmtId="49" fontId="1" fillId="0" borderId="7" xfId="0" applyNumberFormat="1" applyFont="1" applyBorder="1" applyAlignment="1">
      <alignment horizontal="left" vertical="center" wrapText="1"/>
    </xf>
    <xf numFmtId="49" fontId="1" fillId="0" borderId="3" xfId="0" applyNumberFormat="1" applyFont="1" applyBorder="1" applyAlignment="1">
      <alignment vertical="center" wrapText="1"/>
    </xf>
    <xf numFmtId="49" fontId="1" fillId="0" borderId="42" xfId="0" applyNumberFormat="1" applyFont="1" applyBorder="1" applyAlignment="1">
      <alignment horizontal="center" vertical="center" wrapText="1"/>
    </xf>
    <xf numFmtId="49" fontId="22" fillId="9" borderId="7" xfId="0" applyNumberFormat="1" applyFont="1" applyFill="1" applyBorder="1" applyAlignment="1">
      <alignment horizontal="center" vertical="center" wrapText="1"/>
    </xf>
    <xf numFmtId="49" fontId="23" fillId="0" borderId="40" xfId="0" applyNumberFormat="1" applyFont="1" applyBorder="1" applyAlignment="1">
      <alignment horizontal="center" vertical="center" wrapText="1"/>
    </xf>
    <xf numFmtId="49" fontId="23" fillId="0" borderId="7" xfId="0" applyNumberFormat="1" applyFont="1" applyBorder="1" applyAlignment="1">
      <alignment horizontal="center" vertical="center" wrapText="1"/>
    </xf>
    <xf numFmtId="49" fontId="49" fillId="10" borderId="39" xfId="0" applyNumberFormat="1" applyFont="1" applyFill="1" applyBorder="1" applyAlignment="1">
      <alignment horizontal="center" vertical="center" wrapText="1"/>
    </xf>
    <xf numFmtId="49" fontId="22" fillId="11" borderId="41" xfId="0" applyNumberFormat="1" applyFont="1" applyFill="1" applyBorder="1" applyAlignment="1">
      <alignment horizontal="center" vertical="center" wrapText="1"/>
    </xf>
    <xf numFmtId="49" fontId="22" fillId="0" borderId="3" xfId="0" applyNumberFormat="1" applyFont="1" applyBorder="1" applyAlignment="1">
      <alignment horizontal="center" vertical="center" wrapText="1"/>
    </xf>
    <xf numFmtId="49" fontId="1" fillId="4" borderId="38" xfId="0" applyNumberFormat="1" applyFont="1" applyFill="1" applyBorder="1" applyAlignment="1">
      <alignment horizontal="center" vertical="center" wrapText="1"/>
    </xf>
    <xf numFmtId="0" fontId="12" fillId="0" borderId="0" xfId="0" applyFont="1" applyAlignment="1">
      <alignment horizontal="center"/>
    </xf>
    <xf numFmtId="0" fontId="12" fillId="0" borderId="0" xfId="0" applyFont="1"/>
    <xf numFmtId="0" fontId="22" fillId="11" borderId="43" xfId="0" applyFont="1" applyFill="1" applyBorder="1" applyAlignment="1">
      <alignment horizontal="center" vertical="center" wrapText="1"/>
    </xf>
    <xf numFmtId="0" fontId="8" fillId="0" borderId="7" xfId="0" applyFont="1" applyBorder="1" applyAlignment="1">
      <alignment horizontal="center" vertical="center" wrapText="1"/>
    </xf>
    <xf numFmtId="0" fontId="50" fillId="0" borderId="7" xfId="0" applyFont="1" applyBorder="1" applyAlignment="1">
      <alignment vertical="center" wrapText="1"/>
    </xf>
    <xf numFmtId="166" fontId="1" fillId="0" borderId="7" xfId="0" applyNumberFormat="1" applyFont="1" applyBorder="1" applyAlignment="1">
      <alignment vertical="center"/>
    </xf>
    <xf numFmtId="166" fontId="51" fillId="4" borderId="7" xfId="0" applyNumberFormat="1" applyFont="1" applyFill="1" applyBorder="1" applyAlignment="1">
      <alignment horizontal="center" vertical="center"/>
    </xf>
    <xf numFmtId="168" fontId="52" fillId="4" borderId="7" xfId="0" applyNumberFormat="1" applyFont="1" applyFill="1" applyBorder="1" applyAlignment="1">
      <alignment horizontal="center" vertical="center" wrapText="1"/>
    </xf>
    <xf numFmtId="0" fontId="53" fillId="4" borderId="7" xfId="0" applyFont="1" applyFill="1" applyBorder="1" applyAlignment="1">
      <alignment wrapText="1"/>
    </xf>
    <xf numFmtId="170" fontId="12" fillId="0" borderId="0" xfId="0" applyNumberFormat="1" applyFont="1" applyAlignment="1">
      <alignment horizontal="center" vertical="center"/>
    </xf>
    <xf numFmtId="170" fontId="1" fillId="4" borderId="7" xfId="0" applyNumberFormat="1" applyFont="1" applyFill="1" applyBorder="1" applyAlignment="1">
      <alignment horizontal="center" vertical="center" wrapText="1"/>
    </xf>
    <xf numFmtId="0" fontId="54" fillId="12" borderId="7" xfId="0" applyFont="1" applyFill="1" applyBorder="1" applyAlignment="1">
      <alignment horizontal="center" vertical="center" wrapText="1"/>
    </xf>
    <xf numFmtId="0" fontId="55" fillId="0" borderId="7" xfId="0" applyFont="1" applyBorder="1" applyAlignment="1">
      <alignment wrapText="1"/>
    </xf>
    <xf numFmtId="0" fontId="56" fillId="4" borderId="7" xfId="0" applyFont="1" applyFill="1" applyBorder="1" applyAlignment="1">
      <alignment vertical="center" wrapText="1"/>
    </xf>
    <xf numFmtId="0" fontId="29" fillId="0" borderId="42" xfId="0" applyFont="1" applyBorder="1" applyAlignment="1">
      <alignment horizontal="center" vertical="top" wrapText="1"/>
    </xf>
    <xf numFmtId="166" fontId="12" fillId="0" borderId="0" xfId="0" applyNumberFormat="1" applyFont="1" applyAlignment="1">
      <alignment horizontal="center"/>
    </xf>
    <xf numFmtId="166" fontId="12" fillId="0" borderId="0" xfId="0" applyNumberFormat="1" applyFont="1" applyAlignment="1">
      <alignment horizontal="left"/>
    </xf>
    <xf numFmtId="166" fontId="23" fillId="0" borderId="40" xfId="0" applyNumberFormat="1" applyFont="1" applyBorder="1" applyAlignment="1">
      <alignment horizontal="center" vertical="center" wrapText="1"/>
    </xf>
    <xf numFmtId="166" fontId="57" fillId="10" borderId="39" xfId="0" applyNumberFormat="1" applyFont="1" applyFill="1" applyBorder="1" applyAlignment="1">
      <alignment horizontal="center" vertical="center" wrapText="1"/>
    </xf>
    <xf numFmtId="166" fontId="22" fillId="11" borderId="41" xfId="0" applyNumberFormat="1" applyFont="1" applyFill="1" applyBorder="1" applyAlignment="1">
      <alignment horizontal="left" vertical="center" wrapText="1"/>
    </xf>
    <xf numFmtId="0" fontId="58" fillId="4" borderId="7" xfId="0" applyFont="1" applyFill="1" applyBorder="1" applyAlignment="1">
      <alignment vertical="center" wrapText="1"/>
    </xf>
    <xf numFmtId="166" fontId="59" fillId="4" borderId="7" xfId="0" applyNumberFormat="1" applyFont="1" applyFill="1" applyBorder="1" applyAlignment="1">
      <alignment horizontal="center" vertical="center"/>
    </xf>
    <xf numFmtId="166" fontId="1" fillId="4" borderId="7" xfId="0" applyNumberFormat="1" applyFont="1" applyFill="1" applyBorder="1" applyAlignment="1">
      <alignment horizontal="center" vertical="center" wrapText="1"/>
    </xf>
    <xf numFmtId="166" fontId="60" fillId="4" borderId="7" xfId="0" applyNumberFormat="1" applyFont="1" applyFill="1" applyBorder="1" applyAlignment="1">
      <alignment horizontal="center" vertical="center" wrapText="1"/>
    </xf>
    <xf numFmtId="0" fontId="59" fillId="4" borderId="7" xfId="0" applyFont="1" applyFill="1" applyBorder="1" applyAlignment="1">
      <alignment horizontal="center" vertical="center" wrapText="1"/>
    </xf>
    <xf numFmtId="0" fontId="61" fillId="4" borderId="0" xfId="0" applyFont="1" applyFill="1" applyAlignment="1">
      <alignment vertical="center" wrapText="1"/>
    </xf>
    <xf numFmtId="166" fontId="40" fillId="4" borderId="7" xfId="0" applyNumberFormat="1" applyFont="1" applyFill="1" applyBorder="1" applyAlignment="1">
      <alignment horizontal="center" vertical="center" wrapText="1"/>
    </xf>
    <xf numFmtId="0" fontId="1" fillId="4" borderId="7" xfId="0" applyFont="1" applyFill="1" applyBorder="1" applyAlignment="1">
      <alignment vertical="center" wrapText="1"/>
    </xf>
    <xf numFmtId="0" fontId="62" fillId="4" borderId="7" xfId="0" applyFont="1" applyFill="1" applyBorder="1" applyAlignment="1">
      <alignment vertical="center" wrapText="1"/>
    </xf>
    <xf numFmtId="0" fontId="63" fillId="4" borderId="7" xfId="0" applyFont="1" applyFill="1" applyBorder="1" applyAlignment="1">
      <alignment horizontal="center" vertical="center" wrapText="1"/>
    </xf>
    <xf numFmtId="166" fontId="29" fillId="0" borderId="42" xfId="0" applyNumberFormat="1" applyFont="1" applyBorder="1" applyAlignment="1">
      <alignment horizontal="center" vertical="top" wrapText="1"/>
    </xf>
    <xf numFmtId="166" fontId="29" fillId="0" borderId="42" xfId="0" applyNumberFormat="1" applyFont="1" applyBorder="1" applyAlignment="1">
      <alignment horizontal="left" vertical="top" wrapText="1"/>
    </xf>
    <xf numFmtId="166" fontId="34" fillId="0" borderId="0" xfId="0" applyNumberFormat="1" applyFont="1" applyAlignment="1">
      <alignment horizontal="center" vertical="center" wrapText="1"/>
    </xf>
    <xf numFmtId="166" fontId="8" fillId="0" borderId="0" xfId="0" applyNumberFormat="1" applyFont="1" applyAlignment="1">
      <alignment horizontal="center"/>
    </xf>
    <xf numFmtId="166" fontId="8" fillId="0" borderId="0" xfId="0" applyNumberFormat="1" applyFont="1" applyAlignment="1">
      <alignment horizontal="left"/>
    </xf>
    <xf numFmtId="0" fontId="64" fillId="4" borderId="0" xfId="0" applyFont="1" applyFill="1" applyAlignment="1">
      <alignment horizontal="center" vertical="center" wrapText="1"/>
    </xf>
    <xf numFmtId="166" fontId="8" fillId="4" borderId="7" xfId="0" applyNumberFormat="1" applyFont="1" applyFill="1" applyBorder="1" applyAlignment="1">
      <alignment horizontal="center" vertical="center" wrapText="1"/>
    </xf>
    <xf numFmtId="166" fontId="65" fillId="4" borderId="7"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66" fillId="4" borderId="7" xfId="0" applyFont="1" applyFill="1" applyBorder="1" applyAlignment="1">
      <alignment horizontal="left" vertical="center" wrapText="1"/>
    </xf>
    <xf numFmtId="0" fontId="67" fillId="4" borderId="7" xfId="0" applyFont="1" applyFill="1" applyBorder="1" applyAlignment="1">
      <alignment horizontal="center" vertical="center" wrapText="1"/>
    </xf>
    <xf numFmtId="0" fontId="68" fillId="4" borderId="7" xfId="0" applyFont="1" applyFill="1" applyBorder="1" applyAlignment="1">
      <alignment horizontal="center" vertical="center" wrapText="1"/>
    </xf>
    <xf numFmtId="0" fontId="69" fillId="4" borderId="7" xfId="0" applyFont="1" applyFill="1" applyBorder="1" applyAlignment="1">
      <alignment horizontal="center" vertical="center" wrapText="1"/>
    </xf>
    <xf numFmtId="0" fontId="70" fillId="4" borderId="7" xfId="0" applyFont="1" applyFill="1" applyBorder="1" applyAlignment="1">
      <alignment horizontal="center" vertical="center" wrapText="1"/>
    </xf>
    <xf numFmtId="0" fontId="71" fillId="0" borderId="0" xfId="0" applyFont="1"/>
    <xf numFmtId="0" fontId="72" fillId="0" borderId="7" xfId="0" applyFont="1" applyBorder="1" applyAlignment="1">
      <alignment horizontal="center" vertical="center" wrapText="1"/>
    </xf>
    <xf numFmtId="0" fontId="59" fillId="0" borderId="7" xfId="0" applyFont="1" applyBorder="1" applyAlignment="1">
      <alignment horizontal="center" vertical="center" wrapText="1"/>
    </xf>
    <xf numFmtId="0" fontId="73" fillId="0" borderId="7" xfId="0" applyFont="1" applyBorder="1" applyAlignment="1">
      <alignment horizontal="center" vertical="center" wrapText="1"/>
    </xf>
    <xf numFmtId="170" fontId="1" fillId="0" borderId="7" xfId="0" applyNumberFormat="1" applyFont="1" applyBorder="1" applyAlignment="1">
      <alignment horizontal="center" vertical="center" wrapText="1"/>
    </xf>
    <xf numFmtId="169" fontId="8" fillId="4" borderId="7" xfId="0" applyNumberFormat="1" applyFont="1" applyFill="1" applyBorder="1" applyAlignment="1">
      <alignment horizontal="center" vertical="center" wrapText="1"/>
    </xf>
    <xf numFmtId="168" fontId="74" fillId="4" borderId="7" xfId="0" applyNumberFormat="1" applyFont="1" applyFill="1" applyBorder="1" applyAlignment="1">
      <alignment horizontal="center" vertical="center" wrapText="1"/>
    </xf>
    <xf numFmtId="0" fontId="75" fillId="4" borderId="7" xfId="0" applyFont="1" applyFill="1" applyBorder="1" applyAlignment="1">
      <alignment horizontal="center" vertical="center" wrapText="1"/>
    </xf>
    <xf numFmtId="0" fontId="76" fillId="0" borderId="7" xfId="0" applyFont="1" applyBorder="1" applyAlignment="1">
      <alignment horizontal="center" vertical="center" wrapText="1"/>
    </xf>
    <xf numFmtId="0" fontId="77" fillId="4" borderId="7" xfId="0" applyFont="1" applyFill="1" applyBorder="1" applyAlignment="1">
      <alignment horizontal="center" vertical="center" wrapText="1"/>
    </xf>
    <xf numFmtId="0" fontId="78" fillId="0" borderId="42" xfId="0" applyFont="1" applyBorder="1" applyAlignment="1">
      <alignment horizontal="left" vertical="top" wrapText="1"/>
    </xf>
    <xf numFmtId="0" fontId="79" fillId="0" borderId="0" xfId="0" applyFont="1" applyAlignment="1">
      <alignment vertical="center" wrapText="1"/>
    </xf>
    <xf numFmtId="170" fontId="80" fillId="4" borderId="7" xfId="0" applyNumberFormat="1" applyFont="1" applyFill="1" applyBorder="1" applyAlignment="1">
      <alignment horizontal="center" vertical="center" wrapText="1"/>
    </xf>
    <xf numFmtId="0" fontId="81" fillId="4" borderId="7" xfId="0" applyFont="1" applyFill="1" applyBorder="1" applyAlignment="1">
      <alignment vertical="center" wrapText="1"/>
    </xf>
    <xf numFmtId="166" fontId="82" fillId="4" borderId="7" xfId="0" applyNumberFormat="1" applyFont="1" applyFill="1" applyBorder="1" applyAlignment="1">
      <alignment horizontal="center" vertical="center"/>
    </xf>
    <xf numFmtId="166" fontId="82" fillId="4" borderId="0" xfId="0" applyNumberFormat="1" applyFont="1" applyFill="1" applyAlignment="1">
      <alignment horizontal="center" vertical="center"/>
    </xf>
    <xf numFmtId="0" fontId="83" fillId="0" borderId="7" xfId="0" applyFont="1" applyBorder="1" applyAlignment="1">
      <alignment horizontal="left" vertical="center" wrapText="1"/>
    </xf>
    <xf numFmtId="0" fontId="84" fillId="4" borderId="7" xfId="0" applyFont="1" applyFill="1" applyBorder="1" applyAlignment="1">
      <alignment horizontal="center" vertical="center" wrapText="1"/>
    </xf>
    <xf numFmtId="0" fontId="85" fillId="0" borderId="0" xfId="0" applyFont="1" applyAlignment="1">
      <alignment horizontal="left"/>
    </xf>
    <xf numFmtId="166" fontId="12" fillId="0" borderId="0" xfId="0" applyNumberFormat="1" applyFont="1"/>
    <xf numFmtId="165" fontId="12" fillId="0" borderId="0" xfId="0" applyNumberFormat="1" applyFont="1"/>
    <xf numFmtId="165" fontId="22" fillId="11" borderId="41" xfId="0" applyNumberFormat="1" applyFont="1" applyFill="1" applyBorder="1" applyAlignment="1">
      <alignment horizontal="center" vertical="center" wrapText="1"/>
    </xf>
    <xf numFmtId="165" fontId="86" fillId="4" borderId="7" xfId="0" applyNumberFormat="1" applyFont="1" applyFill="1" applyBorder="1" applyAlignment="1">
      <alignment horizontal="center" vertical="center" wrapText="1"/>
    </xf>
    <xf numFmtId="165" fontId="8" fillId="0" borderId="7" xfId="0" applyNumberFormat="1" applyFont="1" applyBorder="1" applyAlignment="1">
      <alignment horizontal="center" vertical="center" wrapText="1"/>
    </xf>
    <xf numFmtId="165" fontId="29" fillId="0" borderId="42" xfId="0" applyNumberFormat="1" applyFont="1" applyBorder="1" applyAlignment="1">
      <alignment horizontal="left" vertical="top" wrapText="1"/>
    </xf>
    <xf numFmtId="166" fontId="8" fillId="0" borderId="0" xfId="0" applyNumberFormat="1" applyFont="1"/>
    <xf numFmtId="165" fontId="8" fillId="0" borderId="0" xfId="0" applyNumberFormat="1" applyFont="1"/>
    <xf numFmtId="166" fontId="22" fillId="11" borderId="41" xfId="0" applyNumberFormat="1" applyFont="1" applyFill="1" applyBorder="1" applyAlignment="1">
      <alignment horizontal="center" vertical="center" wrapText="1"/>
    </xf>
    <xf numFmtId="0" fontId="87" fillId="4" borderId="7" xfId="0" applyFont="1" applyFill="1" applyBorder="1" applyAlignment="1">
      <alignment vertical="center" wrapText="1"/>
    </xf>
    <xf numFmtId="0" fontId="88" fillId="4" borderId="0" xfId="0" applyFont="1" applyFill="1" applyAlignment="1">
      <alignment vertical="center" wrapText="1"/>
    </xf>
    <xf numFmtId="166" fontId="71" fillId="0" borderId="0" xfId="0" applyNumberFormat="1" applyFont="1"/>
    <xf numFmtId="0" fontId="72" fillId="0" borderId="40" xfId="0" applyFont="1" applyBorder="1" applyAlignment="1">
      <alignment horizontal="center" vertical="center" wrapText="1"/>
    </xf>
    <xf numFmtId="166" fontId="72" fillId="0" borderId="40" xfId="0" applyNumberFormat="1" applyFont="1" applyBorder="1" applyAlignment="1">
      <alignment horizontal="center" vertical="center" wrapText="1"/>
    </xf>
    <xf numFmtId="0" fontId="90" fillId="4" borderId="7" xfId="0" applyFont="1" applyFill="1" applyBorder="1" applyAlignment="1">
      <alignment horizontal="center" vertical="center" wrapText="1"/>
    </xf>
    <xf numFmtId="166" fontId="59" fillId="4" borderId="7" xfId="0" applyNumberFormat="1" applyFont="1" applyFill="1" applyBorder="1" applyAlignment="1">
      <alignment horizontal="center" vertical="center" wrapText="1"/>
    </xf>
    <xf numFmtId="166" fontId="78" fillId="0" borderId="42" xfId="0" applyNumberFormat="1" applyFont="1" applyBorder="1" applyAlignment="1">
      <alignment horizontal="left" vertical="top" wrapText="1"/>
    </xf>
    <xf numFmtId="0" fontId="91" fillId="0" borderId="0" xfId="0" applyFont="1" applyAlignment="1">
      <alignment horizontal="center" vertical="center" wrapText="1"/>
    </xf>
    <xf numFmtId="166" fontId="91" fillId="0" borderId="0" xfId="0" applyNumberFormat="1" applyFont="1" applyAlignment="1">
      <alignment horizontal="center" vertical="center" wrapText="1"/>
    </xf>
    <xf numFmtId="0" fontId="92" fillId="4" borderId="7" xfId="0" applyFont="1" applyFill="1" applyBorder="1" applyAlignment="1">
      <alignment horizontal="center" vertical="center" wrapText="1"/>
    </xf>
    <xf numFmtId="0" fontId="68" fillId="0" borderId="7" xfId="0" applyFont="1" applyBorder="1" applyAlignment="1">
      <alignment horizontal="center" vertical="center" wrapText="1"/>
    </xf>
    <xf numFmtId="166" fontId="1" fillId="4" borderId="5" xfId="0" applyNumberFormat="1" applyFont="1" applyFill="1" applyBorder="1" applyAlignment="1">
      <alignment horizontal="center" vertical="center" wrapText="1"/>
    </xf>
    <xf numFmtId="0" fontId="59" fillId="4" borderId="38" xfId="0" applyFont="1" applyFill="1" applyBorder="1" applyAlignment="1">
      <alignment horizontal="center" vertical="center" wrapText="1"/>
    </xf>
    <xf numFmtId="0" fontId="93" fillId="4" borderId="7" xfId="0" applyFont="1" applyFill="1" applyBorder="1" applyAlignment="1">
      <alignment horizontal="center" vertical="center" wrapText="1"/>
    </xf>
    <xf numFmtId="0" fontId="1" fillId="4" borderId="5" xfId="0" applyFont="1" applyFill="1" applyBorder="1" applyAlignment="1">
      <alignment horizontal="center" vertical="center" wrapText="1"/>
    </xf>
    <xf numFmtId="166" fontId="94" fillId="10" borderId="40" xfId="0" applyNumberFormat="1" applyFont="1" applyFill="1" applyBorder="1" applyAlignment="1">
      <alignment horizontal="center" vertical="center" wrapText="1"/>
    </xf>
    <xf numFmtId="166" fontId="22" fillId="11" borderId="43" xfId="0" applyNumberFormat="1" applyFont="1" applyFill="1" applyBorder="1" applyAlignment="1">
      <alignment horizontal="center" vertical="center" wrapText="1"/>
    </xf>
    <xf numFmtId="0" fontId="12" fillId="0" borderId="7" xfId="0" applyFont="1" applyBorder="1" applyAlignment="1">
      <alignment horizontal="left" vertical="top" wrapText="1"/>
    </xf>
    <xf numFmtId="0" fontId="12" fillId="0" borderId="7" xfId="0" applyFont="1" applyBorder="1" applyAlignment="1">
      <alignment wrapText="1"/>
    </xf>
    <xf numFmtId="166" fontId="12" fillId="0" borderId="7" xfId="0" applyNumberFormat="1" applyFont="1" applyBorder="1" applyAlignment="1">
      <alignment wrapText="1"/>
    </xf>
    <xf numFmtId="166" fontId="12" fillId="0" borderId="7" xfId="0" applyNumberFormat="1" applyFont="1" applyBorder="1" applyAlignment="1">
      <alignment horizontal="center" vertical="center" wrapText="1"/>
    </xf>
    <xf numFmtId="168" fontId="12" fillId="0" borderId="7" xfId="0" applyNumberFormat="1" applyFont="1" applyBorder="1" applyAlignment="1">
      <alignment horizontal="center" vertical="center" wrapText="1"/>
    </xf>
    <xf numFmtId="0" fontId="12" fillId="0" borderId="7" xfId="0" applyFont="1" applyBorder="1" applyAlignment="1">
      <alignment vertical="top" wrapText="1"/>
    </xf>
    <xf numFmtId="166" fontId="12" fillId="0" borderId="7" xfId="0" applyNumberFormat="1" applyFont="1" applyBorder="1" applyAlignment="1">
      <alignment vertical="center" wrapText="1"/>
    </xf>
    <xf numFmtId="166" fontId="12" fillId="0" borderId="7" xfId="0" applyNumberFormat="1" applyFont="1" applyBorder="1" applyAlignment="1">
      <alignment horizontal="center" vertical="center"/>
    </xf>
    <xf numFmtId="0" fontId="12" fillId="0" borderId="7" xfId="0" applyFont="1" applyBorder="1" applyAlignment="1">
      <alignment vertical="center" wrapText="1"/>
    </xf>
    <xf numFmtId="166" fontId="29" fillId="0" borderId="7" xfId="0" applyNumberFormat="1" applyFont="1" applyBorder="1" applyAlignment="1">
      <alignment horizontal="center" vertical="top" wrapText="1"/>
    </xf>
    <xf numFmtId="0" fontId="95" fillId="10" borderId="40" xfId="0" applyFont="1" applyFill="1" applyBorder="1" applyAlignment="1">
      <alignment horizontal="center" vertical="center" wrapText="1"/>
    </xf>
    <xf numFmtId="0" fontId="96" fillId="0" borderId="7" xfId="0" applyFont="1" applyBorder="1" applyAlignment="1">
      <alignment horizontal="center" vertical="center" wrapText="1"/>
    </xf>
    <xf numFmtId="0" fontId="97" fillId="0" borderId="7" xfId="0" applyFont="1" applyBorder="1" applyAlignment="1">
      <alignment horizontal="center" vertical="top" wrapText="1"/>
    </xf>
    <xf numFmtId="171" fontId="12" fillId="0" borderId="7" xfId="0" applyNumberFormat="1" applyFont="1" applyBorder="1" applyAlignment="1">
      <alignment horizontal="center" vertical="center" wrapText="1"/>
    </xf>
    <xf numFmtId="169" fontId="12" fillId="0" borderId="7" xfId="0" applyNumberFormat="1" applyFont="1" applyBorder="1" applyAlignment="1">
      <alignment horizontal="center" vertical="center" wrapText="1"/>
    </xf>
    <xf numFmtId="0" fontId="8" fillId="0" borderId="7" xfId="0" applyFont="1" applyBorder="1" applyAlignment="1">
      <alignment horizontal="center" vertical="top" wrapText="1"/>
    </xf>
    <xf numFmtId="0" fontId="98" fillId="4" borderId="7" xfId="0" applyFont="1" applyFill="1" applyBorder="1" applyAlignment="1">
      <alignment horizontal="center" vertical="center" wrapText="1"/>
    </xf>
    <xf numFmtId="0" fontId="99" fillId="0" borderId="7" xfId="0" applyFont="1" applyBorder="1" applyAlignment="1">
      <alignment horizontal="center" vertical="center" wrapText="1"/>
    </xf>
    <xf numFmtId="0" fontId="100" fillId="10" borderId="40" xfId="0" applyFont="1" applyFill="1" applyBorder="1" applyAlignment="1">
      <alignment horizontal="center" vertical="center" wrapText="1"/>
    </xf>
    <xf numFmtId="0" fontId="101" fillId="0" borderId="7" xfId="0" applyFont="1" applyBorder="1" applyAlignment="1">
      <alignment horizontal="center" vertical="center" wrapText="1"/>
    </xf>
    <xf numFmtId="170" fontId="12" fillId="0" borderId="7" xfId="0" applyNumberFormat="1" applyFont="1" applyBorder="1" applyAlignment="1">
      <alignment horizontal="center" vertical="center" wrapText="1"/>
    </xf>
    <xf numFmtId="0" fontId="102" fillId="0" borderId="7" xfId="0" applyFont="1" applyBorder="1" applyAlignment="1">
      <alignment horizontal="center" vertical="center" wrapText="1"/>
    </xf>
    <xf numFmtId="0" fontId="103" fillId="13" borderId="7" xfId="0" applyFont="1" applyFill="1" applyBorder="1" applyAlignment="1">
      <alignment horizontal="center" vertical="center" wrapText="1"/>
    </xf>
    <xf numFmtId="0" fontId="12" fillId="8" borderId="0" xfId="0" applyFont="1" applyFill="1"/>
    <xf numFmtId="0" fontId="22" fillId="0" borderId="0" xfId="0" applyFont="1" applyAlignment="1">
      <alignment horizontal="center" vertical="center"/>
    </xf>
    <xf numFmtId="0" fontId="104" fillId="0" borderId="7" xfId="0" applyFont="1" applyBorder="1" applyAlignment="1">
      <alignment horizontal="center" vertical="center" wrapText="1"/>
    </xf>
    <xf numFmtId="166" fontId="12" fillId="0" borderId="0" xfId="0" applyNumberFormat="1" applyFont="1" applyAlignment="1">
      <alignment horizontal="center" vertical="center" wrapText="1"/>
    </xf>
    <xf numFmtId="0" fontId="22" fillId="0" borderId="3" xfId="0" applyFont="1" applyBorder="1" applyAlignment="1">
      <alignment horizontal="center" vertical="center" wrapText="1"/>
    </xf>
    <xf numFmtId="172" fontId="12" fillId="0" borderId="7" xfId="0" applyNumberFormat="1" applyFont="1" applyBorder="1" applyAlignment="1">
      <alignment horizontal="center" vertical="center" wrapText="1"/>
    </xf>
    <xf numFmtId="0" fontId="105" fillId="0" borderId="7" xfId="0" applyFont="1" applyBorder="1" applyAlignment="1">
      <alignment horizontal="center" vertical="center"/>
    </xf>
    <xf numFmtId="166" fontId="12" fillId="0" borderId="0" xfId="0" applyNumberFormat="1" applyFont="1" applyAlignment="1">
      <alignment horizontal="center" vertical="center"/>
    </xf>
    <xf numFmtId="0" fontId="12" fillId="0" borderId="7" xfId="0" applyFont="1" applyBorder="1" applyAlignment="1">
      <alignment horizontal="center" vertical="center"/>
    </xf>
    <xf numFmtId="0" fontId="1" fillId="4" borderId="0" xfId="0" applyFont="1" applyFill="1" applyAlignment="1">
      <alignment horizontal="center" vertical="center"/>
    </xf>
    <xf numFmtId="0" fontId="12" fillId="0" borderId="7" xfId="0" applyFont="1" applyBorder="1" applyAlignment="1">
      <alignment horizontal="center" wrapText="1"/>
    </xf>
    <xf numFmtId="0" fontId="19" fillId="0" borderId="0" xfId="0" applyFont="1"/>
    <xf numFmtId="0" fontId="19" fillId="7" borderId="19" xfId="0" applyFont="1" applyFill="1" applyBorder="1"/>
    <xf numFmtId="167" fontId="19" fillId="0" borderId="19" xfId="0" applyNumberFormat="1" applyFont="1" applyBorder="1" applyAlignment="1">
      <alignment horizontal="right"/>
    </xf>
    <xf numFmtId="0" fontId="19" fillId="7" borderId="24" xfId="0" applyFont="1" applyFill="1" applyBorder="1"/>
    <xf numFmtId="167" fontId="19" fillId="0" borderId="24" xfId="0" applyNumberFormat="1" applyFont="1" applyBorder="1" applyAlignment="1">
      <alignment horizontal="right"/>
    </xf>
    <xf numFmtId="0" fontId="19" fillId="7" borderId="44" xfId="0" applyFont="1" applyFill="1" applyBorder="1"/>
    <xf numFmtId="167" fontId="19" fillId="0" borderId="44" xfId="0" applyNumberFormat="1" applyFont="1" applyBorder="1" applyAlignment="1">
      <alignment horizontal="right"/>
    </xf>
    <xf numFmtId="9" fontId="19" fillId="6" borderId="30" xfId="0" applyNumberFormat="1" applyFont="1" applyFill="1" applyBorder="1" applyAlignment="1">
      <alignment horizontal="right"/>
    </xf>
    <xf numFmtId="9" fontId="19" fillId="6" borderId="45" xfId="0" applyNumberFormat="1" applyFont="1" applyFill="1" applyBorder="1" applyAlignment="1">
      <alignment horizontal="right"/>
    </xf>
    <xf numFmtId="0" fontId="19" fillId="7" borderId="31" xfId="0" applyFont="1" applyFill="1" applyBorder="1"/>
    <xf numFmtId="9" fontId="19" fillId="6" borderId="46" xfId="0" applyNumberFormat="1" applyFont="1" applyFill="1" applyBorder="1" applyAlignment="1">
      <alignment horizontal="right"/>
    </xf>
    <xf numFmtId="0" fontId="20" fillId="5" borderId="15" xfId="0" applyFont="1" applyFill="1" applyBorder="1"/>
    <xf numFmtId="9" fontId="20" fillId="5" borderId="32" xfId="0" applyNumberFormat="1" applyFont="1" applyFill="1" applyBorder="1" applyAlignment="1">
      <alignment horizontal="right"/>
    </xf>
    <xf numFmtId="10" fontId="19" fillId="6" borderId="19" xfId="0" applyNumberFormat="1" applyFont="1" applyFill="1" applyBorder="1" applyAlignment="1">
      <alignment horizontal="right"/>
    </xf>
    <xf numFmtId="10" fontId="19" fillId="6" borderId="24" xfId="0" applyNumberFormat="1" applyFont="1" applyFill="1" applyBorder="1" applyAlignment="1">
      <alignment horizontal="right"/>
    </xf>
    <xf numFmtId="10" fontId="19" fillId="6" borderId="31" xfId="0" applyNumberFormat="1" applyFont="1" applyFill="1" applyBorder="1" applyAlignment="1">
      <alignment horizontal="right"/>
    </xf>
    <xf numFmtId="10" fontId="20" fillId="5" borderId="15" xfId="0" applyNumberFormat="1" applyFont="1" applyFill="1" applyBorder="1" applyAlignment="1">
      <alignment horizontal="right"/>
    </xf>
    <xf numFmtId="10" fontId="19" fillId="6" borderId="44" xfId="0" applyNumberFormat="1" applyFont="1" applyFill="1" applyBorder="1" applyAlignment="1">
      <alignment horizontal="right"/>
    </xf>
    <xf numFmtId="0" fontId="20" fillId="5" borderId="24" xfId="0" applyFont="1" applyFill="1" applyBorder="1"/>
    <xf numFmtId="9" fontId="20" fillId="5" borderId="24" xfId="0" applyNumberFormat="1" applyFont="1" applyFill="1" applyBorder="1" applyAlignment="1">
      <alignment horizontal="right"/>
    </xf>
    <xf numFmtId="0" fontId="20" fillId="5" borderId="31" xfId="0" applyFont="1" applyFill="1" applyBorder="1"/>
    <xf numFmtId="9" fontId="20" fillId="5" borderId="31" xfId="0" applyNumberFormat="1" applyFont="1" applyFill="1" applyBorder="1" applyAlignment="1">
      <alignment horizontal="right"/>
    </xf>
    <xf numFmtId="0" fontId="20" fillId="5" borderId="12" xfId="0" applyFont="1" applyFill="1" applyBorder="1"/>
    <xf numFmtId="10" fontId="20" fillId="5" borderId="36" xfId="0" applyNumberFormat="1" applyFont="1" applyFill="1" applyBorder="1" applyAlignment="1">
      <alignment horizontal="right"/>
    </xf>
    <xf numFmtId="0" fontId="2" fillId="2" borderId="2" xfId="0" applyFont="1" applyFill="1" applyBorder="1"/>
    <xf numFmtId="0" fontId="11" fillId="3" borderId="3" xfId="0" applyFont="1" applyFill="1" applyBorder="1" applyAlignment="1">
      <alignment horizontal="center"/>
    </xf>
    <xf numFmtId="0" fontId="3" fillId="0" borderId="4" xfId="0" applyFont="1" applyBorder="1"/>
    <xf numFmtId="0" fontId="3" fillId="0" borderId="5" xfId="0" applyFont="1" applyBorder="1"/>
    <xf numFmtId="0" fontId="11" fillId="0" borderId="3" xfId="0" applyFont="1" applyBorder="1"/>
    <xf numFmtId="0" fontId="20" fillId="5" borderId="8" xfId="0" applyFont="1" applyFill="1" applyBorder="1" applyAlignment="1">
      <alignment horizontal="center" vertical="center" wrapText="1"/>
    </xf>
    <xf numFmtId="0" fontId="3" fillId="0" borderId="9" xfId="0" applyFont="1" applyBorder="1"/>
    <xf numFmtId="0" fontId="3" fillId="0" borderId="10" xfId="0" applyFont="1" applyBorder="1"/>
    <xf numFmtId="0" fontId="3" fillId="0" borderId="11" xfId="0" applyFont="1" applyBorder="1"/>
    <xf numFmtId="0" fontId="20" fillId="5" borderId="14" xfId="0" applyFont="1" applyFill="1" applyBorder="1" applyAlignment="1">
      <alignment horizontal="center" vertical="center" wrapText="1"/>
    </xf>
    <xf numFmtId="0" fontId="3" fillId="0" borderId="18" xfId="0" applyFont="1" applyBorder="1"/>
    <xf numFmtId="0" fontId="20" fillId="5" borderId="16" xfId="0" applyFont="1" applyFill="1" applyBorder="1" applyAlignment="1">
      <alignment horizontal="center" vertical="center" wrapText="1"/>
    </xf>
    <xf numFmtId="0" fontId="3" fillId="0" borderId="33" xfId="0" applyFont="1" applyBorder="1"/>
    <xf numFmtId="0" fontId="19" fillId="7" borderId="8" xfId="0" applyFont="1" applyFill="1" applyBorder="1" applyAlignment="1">
      <alignment horizontal="center" vertical="center" wrapText="1"/>
    </xf>
    <xf numFmtId="0" fontId="21" fillId="0" borderId="0" xfId="0" applyFont="1" applyAlignment="1">
      <alignment horizontal="center" vertical="center"/>
    </xf>
    <xf numFmtId="0" fontId="0" fillId="0" borderId="0" xfId="0"/>
    <xf numFmtId="0" fontId="21" fillId="8" borderId="3" xfId="0" applyFont="1" applyFill="1" applyBorder="1" applyAlignment="1">
      <alignment horizontal="center" vertical="center" wrapText="1"/>
    </xf>
    <xf numFmtId="0" fontId="22" fillId="0" borderId="3" xfId="0" applyFont="1" applyBorder="1" applyAlignment="1">
      <alignment horizontal="left" vertical="center" wrapText="1"/>
    </xf>
    <xf numFmtId="0" fontId="1" fillId="0" borderId="40" xfId="0" applyFont="1" applyBorder="1" applyAlignment="1">
      <alignment horizontal="center" vertical="center" wrapText="1"/>
    </xf>
    <xf numFmtId="0" fontId="3" fillId="0" borderId="42" xfId="0" applyFont="1" applyBorder="1"/>
    <xf numFmtId="0" fontId="41" fillId="0" borderId="40" xfId="0" applyFont="1" applyBorder="1" applyAlignment="1">
      <alignment horizontal="center" vertical="center" wrapText="1"/>
    </xf>
    <xf numFmtId="49" fontId="1" fillId="0" borderId="40" xfId="0" applyNumberFormat="1" applyFont="1" applyBorder="1" applyAlignment="1">
      <alignment horizontal="center" vertical="center" wrapText="1"/>
    </xf>
    <xf numFmtId="49" fontId="48" fillId="0" borderId="40" xfId="0" applyNumberFormat="1" applyFont="1" applyBorder="1" applyAlignment="1">
      <alignment horizontal="center" vertical="center" wrapText="1"/>
    </xf>
    <xf numFmtId="49" fontId="1" fillId="4" borderId="40" xfId="0" applyNumberFormat="1" applyFont="1" applyFill="1" applyBorder="1" applyAlignment="1">
      <alignment horizontal="center" vertical="center" wrapText="1"/>
    </xf>
    <xf numFmtId="0" fontId="89" fillId="0" borderId="0" xfId="0" applyFont="1" applyAlignment="1">
      <alignment horizontal="center" vertical="center"/>
    </xf>
    <xf numFmtId="0" fontId="21" fillId="0" borderId="3" xfId="0" applyFont="1" applyBorder="1" applyAlignment="1">
      <alignment horizontal="center" vertical="center" wrapText="1"/>
    </xf>
    <xf numFmtId="0" fontId="21" fillId="8" borderId="0" xfId="0" applyFont="1" applyFill="1" applyAlignment="1">
      <alignment horizontal="center" vertical="center" wrapText="1"/>
    </xf>
    <xf numFmtId="0" fontId="20" fillId="5" borderId="8" xfId="0" applyFont="1" applyFill="1" applyBorder="1" applyAlignment="1">
      <alignment horizontal="center"/>
    </xf>
    <xf numFmtId="0" fontId="19" fillId="7" borderId="8"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0"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jumbocolombia.com/teclado-usb-jaltech-forza-kb-05/p" TargetMode="External"/><Relationship Id="rId3" Type="http://schemas.openxmlformats.org/officeDocument/2006/relationships/hyperlink" Target="https://frontier.com.co/disco-de-estado-solido-25-512gb-sata-xue-blink-s500512-550mbs" TargetMode="External"/><Relationship Id="rId7" Type="http://schemas.openxmlformats.org/officeDocument/2006/relationships/hyperlink" Target="https://www.hostgator.co/" TargetMode="External"/><Relationship Id="rId2" Type="http://schemas.openxmlformats.org/officeDocument/2006/relationships/hyperlink" Target="https://powerdeal.com.co/products/monitor-acer-22-ea220qh-100hz-4m?_pos=1&amp;_sid=e4282356f&amp;_ss=r" TargetMode="External"/><Relationship Id="rId1" Type="http://schemas.openxmlformats.org/officeDocument/2006/relationships/hyperlink" Target="https://tigercomputadores.com/producto/c-gamer-amd-ryzen-5-5600g-a520m-wifi-16gb-512-m2-vega-7/" TargetMode="External"/><Relationship Id="rId6" Type="http://schemas.openxmlformats.org/officeDocument/2006/relationships/hyperlink" Target="https://donweb.com/es-co/" TargetMode="External"/><Relationship Id="rId5" Type="http://schemas.openxmlformats.org/officeDocument/2006/relationships/hyperlink" Target="https://todotintasysuministros.com/memoria-ram-adata/memoria-ram-adata-16gb-ddr4-3200-pc" TargetMode="External"/><Relationship Id="rId10" Type="http://schemas.openxmlformats.org/officeDocument/2006/relationships/hyperlink" Target="https://www.mercadolibre.com.co/portatil-asus-vivobook-15-amd-ryzen-7-16gb-512gb-windows-11-plateado/p/MCO63052946?pdp_filters=item_id%3AMCO1789962793&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058&amp;matt_target_id=aud-2200363567910:pla-2389933078058&amp;cq_src=google_ads&amp;cq_cmp=22126928786&amp;cq_net=g&amp;cq_plt=gp&amp;cq_med=pla&amp;gad_source=1&amp;gad_campaignid=22126928786&amp;gbraid=0AAAAAD1DcozRCWvWDKp-eHmX_1NPqrQx0&amp;gclid=Cj0KCQjws83OBhD4ARIsACblj1_bGFdwebhPcJAi9_rqQF3ZMyyWDJ6DbcuOuyAik44e8tIH7mJII14aApUrEALw_wcB" TargetMode="External"/><Relationship Id="rId4" Type="http://schemas.openxmlformats.org/officeDocument/2006/relationships/hyperlink" Target="https://todotintasysuministros.com/unidades-solidad-ssd-interna/unidad-solida-m2-xpress-legend-710-de-512-gb-adata" TargetMode="External"/><Relationship Id="rId9" Type="http://schemas.openxmlformats.org/officeDocument/2006/relationships/hyperlink" Target="https://www.exito.com/mouse-usb-logitech-m90-negro-100117715-mp/p"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tech.systems/producto/pc-gamer/linea-pro-gamer/pc-monster-a-ryzen-5-2400g-8-threads-vega-graphics/" TargetMode="External"/><Relationship Id="rId2" Type="http://schemas.openxmlformats.org/officeDocument/2006/relationships/hyperlink" Target="https://powerdeal.com.co/collections/pc-gamer-ensamblados/products/copia-de-pc-torre-kayn-amd-ryzen-5-5600g-a520m-16gb-ssd-512gb-pd" TargetMode="External"/><Relationship Id="rId1" Type="http://schemas.openxmlformats.org/officeDocument/2006/relationships/hyperlink" Target="https://tigercomputadores.com/producto/c-gamer-amd-ryzen-5-5600g-a520m-wifi-16gb-512-m2-vega-7/"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tech.systems/producto/monitores/monitor-gaming/monitor-gamer-ips-iceberg-specmax-24-1ms-100hz-gsync-freesync-displayport-hdmi-fullhd-g24xv3/" TargetMode="External"/><Relationship Id="rId2" Type="http://schemas.openxmlformats.org/officeDocument/2006/relationships/hyperlink" Target="https://powerdeal.com.co/products/monitor-acer-22-ea220qh-100hz-4m?_pos=1&amp;_sid=e4282356f&amp;_ss=r" TargetMode="External"/><Relationship Id="rId1" Type="http://schemas.openxmlformats.org/officeDocument/2006/relationships/hyperlink" Target="https://tigercomputadores.com/producto/monitor-asus-22-vp229hf-1080-100hz-fhd/"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systorecolombia.com/ssd-25/478-disco-solido-512gb-lexar-ns100-sata3-lns100-512rbna.html" TargetMode="External"/><Relationship Id="rId2" Type="http://schemas.openxmlformats.org/officeDocument/2006/relationships/hyperlink" Target="https://frontier.com.co/disco-de-estado-solido-25-512gb-sata-xue-blink-s500512-550mbs" TargetMode="External"/><Relationship Id="rId1" Type="http://schemas.openxmlformats.org/officeDocument/2006/relationships/hyperlink" Target="https://todotintasysuministros.com/unidades-solidad-ssd-interna/unidad-solida-m2-xpress-legend-710-de-512-gb-adata"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systorecolombia.com/m2-sata-pcie-nvme/341-disco-solido-m2-nvme-512gb-adata-legend-700-aleg-700-512gcs.html" TargetMode="External"/><Relationship Id="rId2" Type="http://schemas.openxmlformats.org/officeDocument/2006/relationships/hyperlink" Target="https://frontier.com.co/disco-de-estado-solido-ssd-sandisk-plus-500gb-m2-nvme-pcie-30" TargetMode="External"/><Relationship Id="rId1" Type="http://schemas.openxmlformats.org/officeDocument/2006/relationships/hyperlink" Target="https://todotintasysuministros.com/unidades-solidad-ssd-interna/unidad-solida-m2-xpress-legend-710-de-512-gb-adata"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systorecolombia.com/memoria-ram-pc/1072-memoria-ram-ddr4-pc-16gb-kingston-2666mhz-kvr26n17s816.html" TargetMode="External"/><Relationship Id="rId2" Type="http://schemas.openxmlformats.org/officeDocument/2006/relationships/hyperlink" Target="https://frontier.com.co/memoria-ram-para-pc-ddr4-16gb-kingston-3200mhz" TargetMode="External"/><Relationship Id="rId1" Type="http://schemas.openxmlformats.org/officeDocument/2006/relationships/hyperlink" Target="https://todotintasysuministros.com/memoria-ram-adata/memoria-ram-adata-16gb-ddr4-3200-pc"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hostinger.com/co/hosting-web" TargetMode="External"/><Relationship Id="rId2" Type="http://schemas.openxmlformats.org/officeDocument/2006/relationships/hyperlink" Target="https://www.hostgator.co/" TargetMode="External"/><Relationship Id="rId1" Type="http://schemas.openxmlformats.org/officeDocument/2006/relationships/hyperlink" Target="https://donweb.com/es-co/"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jumbocolombia.com/teclado-usb-jaltech-forza-kb-05/p" TargetMode="External"/><Relationship Id="rId2" Type="http://schemas.openxmlformats.org/officeDocument/2006/relationships/hyperlink" Target="https://www.exito.com/teclado-hp-125-alambrico-usb-negro-espanol-104852239-mp/p" TargetMode="External"/><Relationship Id="rId1" Type="http://schemas.openxmlformats.org/officeDocument/2006/relationships/hyperlink" Target="https://www.ktronix.com/teclado-esenses-alambrico-bk-108-negro/p/7707409109916"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jumbocolombia.com/mouse-hp-100-al-mbrico-negro/p" TargetMode="External"/><Relationship Id="rId2" Type="http://schemas.openxmlformats.org/officeDocument/2006/relationships/hyperlink" Target="https://www.exito.com/mouse-usb-logitech-m90-negro-100117715-mp/p" TargetMode="External"/><Relationship Id="rId1" Type="http://schemas.openxmlformats.org/officeDocument/2006/relationships/hyperlink" Target="https://www.ktronix.com/mouse-lenovo-alambrico-optico-300-negro/p/190793629318"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mercadolibre.com.co/portatil-asus-vivobook-15-amd-ryzen-7-16gb-512gb-windows-11-plateado/p/MCO63052946?pdp_filters=item_id%3AMCO1789962793&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058&amp;matt_target_id=aud-2200363567910:pla-2389933078058&amp;cq_src=google_ads&amp;cq_cmp=22126928786&amp;cq_net=g&amp;cq_plt=gp&amp;cq_med=pla&amp;gad_source=1&amp;gad_campaignid=22126928786&amp;gbraid=0AAAAAD1DcozRCWvWDKp-eHmX_1NPqrQx0&amp;gclid=Cj0KCQjws83OBhD4ARIsACblj1_bGFdwebhPcJAi9_rqQF3ZMyyWDJ6DbcuOuyAik44e8tIH7mJII14aApUrEALw_wcB" TargetMode="External"/><Relationship Id="rId2" Type="http://schemas.openxmlformats.org/officeDocument/2006/relationships/hyperlink" Target="https://www.panamericana.com.co/portatil-acer-aspire-go-de-15-6-intel-ci5-13420h-ram-16-gb-512gb-ssd-w11-721022/p?srsltid=AfmBOorSE7BB_BCG3W_AEhEnNHiu88VyaZDwv2a78r36L-vN7R7w4uIp" TargetMode="External"/><Relationship Id="rId1" Type="http://schemas.openxmlformats.org/officeDocument/2006/relationships/hyperlink" Target="https://www.mercadolibre.com.co/portatil-hp-15fc0260la-r57520u-8gb-1tb-ssd-w11/up/MCOU3414562067"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falabella.com.co/falabella-co/product/151085606/monitor-samsung-essential-24-s33gf-fhd-hdmi-vga-100hz/151085607?kid=shopp261fa&amp;gclsrc=aw.ds&amp;gad_source=4&amp;gad_campaignid=21861273110&amp;gbraid=0AAAAADtuoyRiS9fCQ81DE1qLD4RbYjXf_&amp;gclid=Cj0KCQjws83OBhD4ARIsACblj19tmGFANehD-r9pyg-MvjP09-FfU25Njr-tHtRDEliWIHJG4Fp3PXsaAns6EALw_wcB" TargetMode="External"/><Relationship Id="rId2" Type="http://schemas.openxmlformats.org/officeDocument/2006/relationships/hyperlink" Target="https://www.mercadolibre.com.co/monitor-aoc-22b35hm23-led-full-hd-22-120hz-con-hdmi-y-vga-negro/p/MCO57030646?pdp_filters=item_id%3AMCO3706011738&amp;from=gshop&amp;matt_tool=32927594&amp;matt_word=&amp;matt_source=google&amp;matt_campaign_id=22126928795&amp;matt_ad_group_id=173140665043&amp;matt_match_type=&amp;matt_network=g&amp;matt_device=c&amp;matt_creative=729917879993&amp;matt_keyword=&amp;matt_ad_position=&amp;matt_ad_type=pla&amp;matt_merchant_id=735127773&amp;matt_product_id=MCO57030646-product&amp;matt_product_partition_id=2388112038413&amp;matt_target_id=aud-2200363567910:pla-2388112038413&amp;cq_src=google_ads&amp;cq_cmp=22126928795&amp;cq_net=g&amp;cq_plt=gp&amp;cq_med=pla&amp;gad_source=1&amp;gad_campaignid=22126928795&amp;gbraid=0AAAAAD1DcoxfrUg4jabDNUTsmAg75yfkl&amp;gclid=Cj0KCQjws83OBhD4ARIsACblj185yFW1yg8KzpMWdpFYWWzKl0xAyKa12I-Icw5gkHuD8xm4BVN-t1waAs1SEALw_wcB" TargetMode="External"/><Relationship Id="rId1" Type="http://schemas.openxmlformats.org/officeDocument/2006/relationships/hyperlink" Target="https://www.amazon.com/Acer-Monitor-pulgadas-compatibilidad-sincronizaci%C3%B3n/dp/B0D9MK23S7?th=1&amp;language=es_US&amp;currency=COP"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mercadolibre.com.co/disco-duro-externo-portatil-toshiba-1-tb-usb-30-color-negro/p/MCO32418108" TargetMode="External"/><Relationship Id="rId2" Type="http://schemas.openxmlformats.org/officeDocument/2006/relationships/hyperlink" Target="https://www.falabella.com.co/falabella-co/product/118334759/Disco-duro-para-pc-1tb-western-digital-wd10ezex/118334761" TargetMode="External"/><Relationship Id="rId1" Type="http://schemas.openxmlformats.org/officeDocument/2006/relationships/hyperlink" Target="https://articulo.mercadolibre.com.co/MCO-639015765-disco-duro-interno-seagate-barracuda-1tb-_J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openmediavault.org/" TargetMode="External"/><Relationship Id="rId2" Type="http://schemas.openxmlformats.org/officeDocument/2006/relationships/hyperlink" Target="https://casaos.zimaspace.com/" TargetMode="External"/><Relationship Id="rId1" Type="http://schemas.openxmlformats.org/officeDocument/2006/relationships/hyperlink" Target="https://www.bluehost.com/pricing-and-plans?utm_campaign=brand_PPC&amp;utm_source=googleads&amp;utm_medium=brandsearch&amp;channelid=P61C101S570N0B5578A2D4499E0000V901&amp;siteid=46097236&amp;gclsrc=aw.ds&amp;gad_source=1&amp;gad_campaignid=22901189979&amp;gbraid=0AAAAADtGWPJCqV7uqcxDdvE1HAZTCw05N&amp;gclid=CjwKCAjw1tLOBhAMEiwAiPkRHjNyo_Q8Sy0ZXRi0JAPleXOqAVMLw8MjT7AclvHiHHONrM1fJ8zxgBoCeDMQAvD_BwE"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exito.com/memoria-ram-16gb-ddr4-3200mhz-attech-para-portatil-104852224-mp/p" TargetMode="External"/><Relationship Id="rId2" Type="http://schemas.openxmlformats.org/officeDocument/2006/relationships/hyperlink" Target="https://articulo.mercadolibre.com.co/MCO-1654528271-memoria-ram-timetec-16-gb-ddr4-2400-mhz-pc4-19200-udimm-_JM" TargetMode="External"/><Relationship Id="rId1" Type="http://schemas.openxmlformats.org/officeDocument/2006/relationships/hyperlink" Target="https://www.mercadolibre.com.co/memoria-ram-premier-color-verde-16gb-1x16gb-adata-ad4s320016g22-sgn/p/MCO18724279"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www.mercadolibre.com.co/tarjeta-de-video-gigabyte-radeon-rx-7600-gaming-oc-8g-gddr6/p/MCO27793940" TargetMode="External"/><Relationship Id="rId2" Type="http://schemas.openxmlformats.org/officeDocument/2006/relationships/hyperlink" Target="https://www.amazon.com/-/es/ASRock-Challenger-DisplayPort-Enfriamiento-Silencioso/dp/B0C626FFG2" TargetMode="External"/><Relationship Id="rId1" Type="http://schemas.openxmlformats.org/officeDocument/2006/relationships/hyperlink" Target="https://speedlogic.com.co/tienda/tarjetas-graficas/nvidia/tarjeta-de-video-nvidia-geforce-asus-rtx-3050-dual-oc-auto-ex-6-gigas/?srsltid=AfmBOoqg_EtgLot8X-RAR43LAG-LoS0XVaSITYZSn3uMzGvlACYI0OUf"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www.amazon.com/-/es/AMD-Procesador-desbloqueado-RyzenTM-9600X/dp/B0D6NN6TM7/ref=sr_1_3?__mk_es_US=%C3%85M%C3%85%C5%BD%C3%95%C3%91&amp;crid=1AH9NA5Z0VQJN&amp;dib=eyJ2IjoiMSJ9.z9fq0_6wXHuqejIEi2t8ldmGAKLVL7fdOStrySIhFgDdYhdp0KtgXIrN9EhJ6pxu8aoLNky7H3QLz6rC0jliEBFIHXasKAgbWITx-Ip5rBbng-Uq1TEYpsws__2PD-HwCw_1E1UAgta6CQ0EwOI2Y51Y4zsilwTR__AkYwl5xZ11QHtMD9Qypz07OVV6rTRXWBvDVtOp3rESfBm46xfZp3gIex0rz7d6JUMpQUtadgc.xmTWwP29NjQBaY1qOSBmTfdYW6FFdTRQ1bmn82x4-ws&amp;dib_tag=se&amp;keywords=Procesador%2BGamer%2BAMD%2BRyzen%2B5%2B7600X&amp;qid=1775520498&amp;sprefix=procesador%2Bgamer%2Bamd%2Bryzen%2B5%2B7600x%2B%2Caps%2C159&amp;sr=8-3&amp;th=1" TargetMode="External"/><Relationship Id="rId2" Type="http://schemas.openxmlformats.org/officeDocument/2006/relationships/hyperlink" Target="https://www.mercadolibre.com.co/procesador-amd-ryzen-5-5600gt-6-nucleos-am4-grafica-radeon/p/MCO32444906" TargetMode="External"/><Relationship Id="rId1" Type="http://schemas.openxmlformats.org/officeDocument/2006/relationships/hyperlink" Target="https://www.mercadolibre.com.co/procesador-gamer-intel-core-i5-12400f-bx8071512400f-de-6-nucleos-y-44ghz-de-frecuencia/p/MCO18733972"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www.mercadolibre.com.co/maxell-teclado-alambr-kb-90-basico/p/MCO19931301" TargetMode="External"/><Relationship Id="rId2" Type="http://schemas.openxmlformats.org/officeDocument/2006/relationships/hyperlink" Target="https://www.exito.com/teclado-hp-125-alambrico-usb-negro-espanol-104852239-mp/p" TargetMode="External"/><Relationship Id="rId1" Type="http://schemas.openxmlformats.org/officeDocument/2006/relationships/hyperlink" Target="https://www.falabella.com.co/falabella-co/product/140143182/Teclado-USB-Genius-Smart-KB-100-Con-Teclas-12-Multimedia-FN/140143183"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www.mercadolibre.com.co/mouse-inalambrico-marca--esenses-1000-dpi-wom-1010/up/MCOU3842376372" TargetMode="External"/><Relationship Id="rId2" Type="http://schemas.openxmlformats.org/officeDocument/2006/relationships/hyperlink" Target="https://www.mercadolibre.com.co/mouse-dell-ms116-negro/p/MCO6332790" TargetMode="External"/><Relationship Id="rId1" Type="http://schemas.openxmlformats.org/officeDocument/2006/relationships/hyperlink" Target="https://www.falabella.com.co/falabella-co/product/120778408/Mouse-Logitech-M90-Usb/120778409"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creativecommons.org/licenses/by/4.0/deed.es" TargetMode="External"/></Relationships>
</file>

<file path=xl/worksheets/_rels/sheet24.xml.rels><?xml version="1.0" encoding="UTF-8" standalone="yes"?>
<Relationships xmlns="http://schemas.openxmlformats.org/package/2006/relationships"><Relationship Id="rId2" Type="http://schemas.openxmlformats.org/officeDocument/2006/relationships/hyperlink" Target="https://www.microsoft.com/es-co/sql-server?utm_source=chatgpt.com" TargetMode="External"/><Relationship Id="rId1" Type="http://schemas.openxmlformats.org/officeDocument/2006/relationships/hyperlink" Target="https://www.microsoft.com/es-cl/download/details.aspx?id=104781&amp;utm_source=chatgpt.com"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azure.microsoft.com/es-es/products/app-service" TargetMode="External"/><Relationship Id="rId13" Type="http://schemas.openxmlformats.org/officeDocument/2006/relationships/hyperlink" Target="https://aws.amazon.com/es/lambda/" TargetMode="External"/><Relationship Id="rId18" Type="http://schemas.openxmlformats.org/officeDocument/2006/relationships/hyperlink" Target="https://azure.microsoft.com/es-es/products/azure-sql/database" TargetMode="External"/><Relationship Id="rId3" Type="http://schemas.openxmlformats.org/officeDocument/2006/relationships/hyperlink" Target="https://cloud.google.com/products/compute" TargetMode="External"/><Relationship Id="rId21" Type="http://schemas.openxmlformats.org/officeDocument/2006/relationships/hyperlink" Target="https://azure.microsoft.com/es-es/solutions/ai" TargetMode="External"/><Relationship Id="rId7" Type="http://schemas.openxmlformats.org/officeDocument/2006/relationships/hyperlink" Target="https://devcenter.heroku.com/articles/dyno-tiers" TargetMode="External"/><Relationship Id="rId12" Type="http://schemas.openxmlformats.org/officeDocument/2006/relationships/hyperlink" Target="https://cloud.google.com/kubernetes-engine" TargetMode="External"/><Relationship Id="rId17" Type="http://schemas.openxmlformats.org/officeDocument/2006/relationships/hyperlink" Target="https://cloud.google.com/sql" TargetMode="External"/><Relationship Id="rId2" Type="http://schemas.openxmlformats.org/officeDocument/2006/relationships/hyperlink" Target="https://azure.microsoft.com/es-es/products/virtual-machines" TargetMode="External"/><Relationship Id="rId16" Type="http://schemas.openxmlformats.org/officeDocument/2006/relationships/hyperlink" Target="https://aws.amazon.com/es/rds/" TargetMode="External"/><Relationship Id="rId20" Type="http://schemas.openxmlformats.org/officeDocument/2006/relationships/hyperlink" Target="https://cloud.google.com/vertex-ai" TargetMode="External"/><Relationship Id="rId1" Type="http://schemas.openxmlformats.org/officeDocument/2006/relationships/hyperlink" Target="https://aws.amazon.com/es/ec2/" TargetMode="External"/><Relationship Id="rId6" Type="http://schemas.openxmlformats.org/officeDocument/2006/relationships/hyperlink" Target="https://v0.app/" TargetMode="External"/><Relationship Id="rId11" Type="http://schemas.openxmlformats.org/officeDocument/2006/relationships/hyperlink" Target="https://azure.microsoft.com/es-es/products/kubernetes-service" TargetMode="External"/><Relationship Id="rId5" Type="http://schemas.openxmlformats.org/officeDocument/2006/relationships/hyperlink" Target="https://bubble.io/" TargetMode="External"/><Relationship Id="rId15" Type="http://schemas.openxmlformats.org/officeDocument/2006/relationships/hyperlink" Target="https://azure.microsoft.com/es-es/products/functions" TargetMode="External"/><Relationship Id="rId10" Type="http://schemas.openxmlformats.org/officeDocument/2006/relationships/hyperlink" Target="https://aws.amazon.com/es/eks/" TargetMode="External"/><Relationship Id="rId19" Type="http://schemas.openxmlformats.org/officeDocument/2006/relationships/hyperlink" Target="https://www.ibm.com/watson" TargetMode="External"/><Relationship Id="rId4" Type="http://schemas.openxmlformats.org/officeDocument/2006/relationships/hyperlink" Target="https://github.com/copilot" TargetMode="External"/><Relationship Id="rId9" Type="http://schemas.openxmlformats.org/officeDocument/2006/relationships/hyperlink" Target="https://cloud.google.com/appengine" TargetMode="External"/><Relationship Id="rId14" Type="http://schemas.openxmlformats.org/officeDocument/2006/relationships/hyperlink" Target="https://cloud.google.com/func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41"/>
  <sheetViews>
    <sheetView tabSelected="1" topLeftCell="B1" workbookViewId="0">
      <selection activeCell="J10" sqref="J10"/>
    </sheetView>
  </sheetViews>
  <sheetFormatPr baseColWidth="10" defaultColWidth="12.6640625" defaultRowHeight="15" customHeight="1"/>
  <cols>
    <col min="6" max="6" width="9" customWidth="1"/>
    <col min="7" max="7" width="20" customWidth="1"/>
  </cols>
  <sheetData>
    <row r="1" spans="1:15" ht="13.2">
      <c r="A1" s="1"/>
      <c r="B1" s="1"/>
      <c r="C1" s="1"/>
      <c r="D1" s="1"/>
      <c r="E1" s="1"/>
      <c r="F1" s="1"/>
      <c r="G1" s="1"/>
      <c r="H1" s="1"/>
      <c r="I1" s="1"/>
      <c r="J1" s="1"/>
      <c r="K1" s="1"/>
      <c r="L1" s="1"/>
      <c r="M1" s="1"/>
      <c r="N1" s="1"/>
      <c r="O1" s="1"/>
    </row>
    <row r="2" spans="1:15" ht="13.2">
      <c r="A2" s="1"/>
      <c r="B2" s="1"/>
      <c r="C2" s="1"/>
      <c r="D2" s="1"/>
      <c r="E2" s="1"/>
      <c r="F2" s="1"/>
      <c r="G2" s="1"/>
      <c r="H2" s="1"/>
      <c r="I2" s="1"/>
      <c r="J2" s="1"/>
      <c r="K2" s="1"/>
      <c r="L2" s="1"/>
      <c r="M2" s="1"/>
      <c r="N2" s="1"/>
      <c r="O2" s="1"/>
    </row>
    <row r="3" spans="1:15" ht="36" customHeight="1">
      <c r="A3" s="1"/>
      <c r="B3" s="1"/>
      <c r="C3" s="1"/>
      <c r="D3" s="1"/>
      <c r="E3" s="1"/>
      <c r="F3" s="295" t="s">
        <v>0</v>
      </c>
      <c r="G3" s="295"/>
      <c r="H3" s="295"/>
      <c r="I3" s="295"/>
      <c r="J3" s="1"/>
      <c r="K3" s="1"/>
      <c r="L3" s="1"/>
      <c r="M3" s="1"/>
      <c r="N3" s="1"/>
      <c r="O3" s="1"/>
    </row>
    <row r="4" spans="1:15" ht="13.2">
      <c r="A4" s="1"/>
      <c r="B4" s="1"/>
      <c r="C4" s="1"/>
      <c r="D4" s="1"/>
      <c r="E4" s="1"/>
      <c r="F4" s="1"/>
      <c r="G4" s="1"/>
      <c r="H4" s="1"/>
      <c r="I4" s="1"/>
      <c r="J4" s="1"/>
      <c r="K4" s="1"/>
      <c r="L4" s="1"/>
      <c r="M4" s="1"/>
      <c r="N4" s="1"/>
      <c r="O4" s="1"/>
    </row>
    <row r="5" spans="1:15" ht="13.2">
      <c r="A5" s="1"/>
      <c r="B5" s="1"/>
      <c r="C5" s="1"/>
      <c r="D5" s="1"/>
      <c r="E5" s="1"/>
      <c r="F5" s="1"/>
      <c r="G5" s="1"/>
      <c r="H5" s="1"/>
      <c r="I5" s="1"/>
      <c r="J5" s="1"/>
      <c r="K5" s="1"/>
      <c r="L5" s="1"/>
      <c r="M5" s="1"/>
      <c r="N5" s="1"/>
      <c r="O5" s="1"/>
    </row>
    <row r="6" spans="1:15" ht="15" customHeight="1">
      <c r="A6" s="1"/>
      <c r="B6" s="1"/>
      <c r="C6" s="1"/>
      <c r="D6" s="2"/>
      <c r="E6" s="2"/>
      <c r="F6" s="2"/>
      <c r="G6" s="2"/>
      <c r="H6" s="2"/>
      <c r="I6" s="1"/>
      <c r="J6" s="1"/>
      <c r="K6" s="1"/>
      <c r="L6" s="1"/>
      <c r="M6" s="1"/>
      <c r="N6" s="1"/>
      <c r="O6" s="1"/>
    </row>
    <row r="7" spans="1:15" ht="41.25" customHeight="1">
      <c r="A7" s="1"/>
      <c r="B7" s="1"/>
      <c r="C7" s="1"/>
      <c r="D7" s="3" t="s">
        <v>1</v>
      </c>
      <c r="E7" s="2"/>
      <c r="F7" s="2" t="s">
        <v>2</v>
      </c>
      <c r="G7" s="2"/>
      <c r="H7" s="2"/>
      <c r="I7" s="1"/>
      <c r="J7" s="1"/>
      <c r="K7" s="1"/>
      <c r="L7" s="1"/>
      <c r="M7" s="1"/>
      <c r="N7" s="1"/>
      <c r="O7" s="1"/>
    </row>
    <row r="8" spans="1:15" ht="32.25" customHeight="1">
      <c r="A8" s="1"/>
      <c r="B8" s="1"/>
      <c r="C8" s="1"/>
      <c r="D8" s="3"/>
      <c r="E8" s="3"/>
      <c r="F8" s="2" t="s">
        <v>3</v>
      </c>
      <c r="G8" s="4"/>
      <c r="H8" s="1"/>
      <c r="I8" s="1"/>
      <c r="J8" s="1"/>
      <c r="K8" s="1"/>
      <c r="L8" s="1"/>
      <c r="M8" s="1"/>
      <c r="N8" s="1"/>
      <c r="O8" s="1"/>
    </row>
    <row r="9" spans="1:15" ht="31.8">
      <c r="A9" s="1"/>
      <c r="B9" s="1"/>
      <c r="C9" s="1"/>
      <c r="D9" s="3"/>
      <c r="E9" s="1"/>
      <c r="F9" s="5" t="s">
        <v>4</v>
      </c>
      <c r="G9" s="3"/>
      <c r="H9" s="1"/>
      <c r="I9" s="1"/>
      <c r="J9" s="1"/>
      <c r="K9" s="1"/>
      <c r="L9" s="1"/>
      <c r="M9" s="1"/>
      <c r="N9" s="1"/>
      <c r="O9" s="1"/>
    </row>
    <row r="10" spans="1:15" ht="34.5" customHeight="1">
      <c r="A10" s="1"/>
      <c r="B10" s="1"/>
      <c r="C10" s="1"/>
      <c r="D10" s="3"/>
      <c r="E10" s="1"/>
      <c r="F10" s="3"/>
      <c r="G10" s="1"/>
      <c r="H10" s="3"/>
      <c r="I10" s="1"/>
      <c r="J10" s="1"/>
      <c r="K10" s="1"/>
      <c r="L10" s="1"/>
      <c r="M10" s="1"/>
      <c r="N10" s="1"/>
      <c r="O10" s="1"/>
    </row>
    <row r="11" spans="1:15" ht="31.8">
      <c r="A11" s="1"/>
      <c r="B11" s="1"/>
      <c r="C11" s="1"/>
      <c r="D11" s="3" t="s">
        <v>5</v>
      </c>
      <c r="E11" s="1"/>
      <c r="F11" s="1"/>
      <c r="G11" s="1"/>
      <c r="H11" s="1"/>
      <c r="I11" s="1"/>
      <c r="J11" s="1"/>
      <c r="K11" s="1"/>
      <c r="L11" s="1"/>
      <c r="M11" s="1"/>
      <c r="N11" s="1"/>
      <c r="O11" s="1"/>
    </row>
    <row r="12" spans="1:15" ht="31.8">
      <c r="A12" s="1"/>
      <c r="B12" s="1"/>
      <c r="C12" s="1"/>
      <c r="D12" s="3"/>
      <c r="E12" s="1"/>
      <c r="F12" s="1"/>
      <c r="G12" s="1"/>
      <c r="H12" s="1"/>
      <c r="I12" s="1"/>
      <c r="J12" s="1"/>
      <c r="K12" s="1"/>
      <c r="L12" s="1"/>
      <c r="M12" s="1"/>
      <c r="N12" s="1"/>
      <c r="O12" s="1"/>
    </row>
    <row r="13" spans="1:15" ht="13.2">
      <c r="A13" s="1"/>
      <c r="B13" s="1"/>
      <c r="C13" s="1"/>
      <c r="D13" s="1"/>
      <c r="E13" s="1"/>
      <c r="F13" s="1"/>
      <c r="G13" s="1"/>
      <c r="H13" s="1"/>
      <c r="I13" s="1"/>
      <c r="J13" s="1"/>
      <c r="K13" s="1"/>
      <c r="L13" s="1"/>
      <c r="M13" s="1"/>
      <c r="N13" s="1"/>
      <c r="O13" s="1"/>
    </row>
    <row r="14" spans="1:15" ht="27.75" customHeight="1">
      <c r="A14" s="1"/>
      <c r="B14" s="1"/>
      <c r="C14" s="1"/>
      <c r="D14" s="1"/>
      <c r="E14" s="1"/>
      <c r="F14" s="3"/>
      <c r="G14" s="6" t="s">
        <v>6</v>
      </c>
      <c r="H14" s="6"/>
      <c r="I14" s="1"/>
      <c r="J14" s="1"/>
      <c r="K14" s="1"/>
      <c r="L14" s="1"/>
      <c r="M14" s="1"/>
      <c r="N14" s="1"/>
      <c r="O14" s="1"/>
    </row>
    <row r="15" spans="1:15" ht="15" customHeight="1">
      <c r="A15" s="1"/>
      <c r="B15" s="1"/>
      <c r="C15" s="1"/>
      <c r="D15" s="1"/>
      <c r="E15" s="1"/>
      <c r="F15" s="1"/>
      <c r="G15" s="6"/>
      <c r="H15" s="1"/>
      <c r="I15" s="1"/>
      <c r="J15" s="1"/>
      <c r="K15" s="1"/>
      <c r="L15" s="1"/>
      <c r="M15" s="1"/>
      <c r="N15" s="1"/>
      <c r="O15" s="1"/>
    </row>
    <row r="16" spans="1:15" ht="31.8">
      <c r="A16" s="1"/>
      <c r="B16" s="1"/>
      <c r="C16" s="1"/>
      <c r="D16" s="1"/>
      <c r="E16" s="1"/>
      <c r="F16" s="1"/>
      <c r="G16" s="6" t="s">
        <v>7</v>
      </c>
      <c r="H16" s="1"/>
      <c r="I16" s="1"/>
      <c r="J16" s="1"/>
      <c r="K16" s="1"/>
      <c r="L16" s="1"/>
      <c r="M16" s="1"/>
      <c r="N16" s="1"/>
      <c r="O16" s="1"/>
    </row>
    <row r="17" spans="1:15" ht="15" customHeight="1">
      <c r="A17" s="1"/>
      <c r="B17" s="1"/>
      <c r="C17" s="1"/>
      <c r="D17" s="1"/>
      <c r="E17" s="1"/>
      <c r="F17" s="1"/>
      <c r="G17" s="7"/>
      <c r="H17" s="1"/>
      <c r="I17" s="1"/>
      <c r="J17" s="1"/>
      <c r="K17" s="1"/>
      <c r="L17" s="1"/>
      <c r="M17" s="1"/>
      <c r="N17" s="1"/>
      <c r="O17" s="1"/>
    </row>
    <row r="18" spans="1:15" ht="15" customHeight="1">
      <c r="A18" s="1"/>
      <c r="B18" s="1"/>
      <c r="C18" s="1"/>
      <c r="D18" s="1"/>
      <c r="E18" s="1"/>
      <c r="F18" s="1"/>
      <c r="G18" s="7"/>
      <c r="H18" s="1"/>
      <c r="I18" s="1"/>
      <c r="J18" s="1"/>
      <c r="K18" s="1"/>
      <c r="L18" s="1"/>
      <c r="M18" s="1"/>
      <c r="N18" s="1"/>
      <c r="O18" s="1"/>
    </row>
    <row r="19" spans="1:15" ht="13.2">
      <c r="A19" s="1"/>
      <c r="B19" s="1"/>
      <c r="C19" s="1"/>
      <c r="D19" s="1"/>
      <c r="E19" s="1"/>
      <c r="F19" s="1"/>
      <c r="G19" s="1"/>
      <c r="H19" s="1"/>
      <c r="I19" s="1"/>
      <c r="J19" s="1"/>
      <c r="K19" s="1"/>
      <c r="L19" s="1"/>
      <c r="M19" s="1"/>
      <c r="N19" s="1"/>
      <c r="O19" s="1"/>
    </row>
    <row r="20" spans="1:15" ht="13.2">
      <c r="A20" s="1"/>
      <c r="B20" s="1"/>
      <c r="C20" s="1"/>
      <c r="D20" s="1"/>
      <c r="E20" s="1"/>
      <c r="F20" s="1"/>
      <c r="G20" s="1"/>
      <c r="H20" s="1"/>
      <c r="I20" s="1"/>
      <c r="J20" s="1"/>
      <c r="K20" s="1"/>
      <c r="L20" s="1"/>
      <c r="M20" s="1"/>
      <c r="N20" s="1"/>
      <c r="O20" s="1"/>
    </row>
    <row r="21" spans="1:15" ht="13.2">
      <c r="A21" s="1"/>
      <c r="B21" s="1"/>
      <c r="C21" s="1"/>
      <c r="D21" s="1"/>
      <c r="E21" s="1"/>
      <c r="F21" s="1"/>
      <c r="G21" s="1"/>
      <c r="H21" s="1"/>
      <c r="I21" s="1"/>
      <c r="J21" s="1"/>
      <c r="K21" s="1"/>
      <c r="L21" s="1"/>
      <c r="M21" s="1"/>
      <c r="N21" s="1"/>
      <c r="O21" s="1"/>
    </row>
    <row r="22" spans="1:15" ht="13.2">
      <c r="A22" s="1"/>
      <c r="B22" s="1"/>
      <c r="C22" s="1"/>
      <c r="D22" s="1"/>
      <c r="E22" s="1"/>
      <c r="F22" s="1"/>
      <c r="G22" s="1"/>
      <c r="H22" s="1"/>
      <c r="I22" s="1"/>
      <c r="J22" s="1"/>
      <c r="K22" s="1"/>
      <c r="L22" s="1"/>
      <c r="M22" s="1"/>
      <c r="N22" s="1"/>
      <c r="O22" s="1"/>
    </row>
    <row r="23" spans="1:15" ht="13.2">
      <c r="A23" s="1"/>
      <c r="B23" s="1"/>
      <c r="C23" s="1"/>
      <c r="D23" s="1"/>
      <c r="E23" s="1"/>
      <c r="F23" s="1"/>
      <c r="G23" s="1"/>
      <c r="H23" s="1"/>
      <c r="I23" s="1"/>
      <c r="J23" s="1"/>
      <c r="K23" s="1"/>
      <c r="L23" s="1"/>
      <c r="M23" s="1"/>
      <c r="N23" s="1"/>
      <c r="O23" s="1"/>
    </row>
    <row r="24" spans="1:15" ht="13.2">
      <c r="A24" s="1"/>
      <c r="B24" s="1"/>
      <c r="C24" s="1"/>
      <c r="D24" s="1"/>
      <c r="E24" s="1"/>
      <c r="F24" s="1"/>
      <c r="G24" s="1"/>
      <c r="H24" s="1"/>
      <c r="I24" s="1"/>
      <c r="J24" s="1"/>
      <c r="K24" s="1"/>
      <c r="L24" s="1"/>
      <c r="M24" s="1"/>
      <c r="N24" s="1"/>
      <c r="O24" s="1"/>
    </row>
    <row r="25" spans="1:15" ht="13.2">
      <c r="A25" s="1"/>
      <c r="B25" s="1"/>
      <c r="C25" s="1"/>
      <c r="D25" s="1"/>
      <c r="E25" s="1"/>
      <c r="F25" s="1"/>
      <c r="G25" s="1"/>
      <c r="H25" s="1"/>
      <c r="I25" s="1"/>
      <c r="J25" s="1"/>
      <c r="K25" s="1"/>
      <c r="L25" s="1"/>
      <c r="M25" s="1"/>
      <c r="N25" s="1"/>
      <c r="O25" s="1"/>
    </row>
    <row r="26" spans="1:15" ht="13.2">
      <c r="A26" s="1"/>
      <c r="B26" s="1"/>
      <c r="C26" s="1"/>
      <c r="D26" s="1"/>
      <c r="E26" s="1"/>
      <c r="F26" s="1"/>
      <c r="G26" s="1"/>
      <c r="H26" s="1"/>
      <c r="I26" s="1"/>
      <c r="J26" s="1"/>
      <c r="K26" s="1"/>
      <c r="L26" s="1"/>
      <c r="M26" s="1"/>
      <c r="N26" s="1"/>
      <c r="O26" s="1"/>
    </row>
    <row r="27" spans="1:15" ht="13.2">
      <c r="A27" s="1"/>
      <c r="B27" s="1"/>
      <c r="C27" s="1"/>
      <c r="D27" s="1"/>
      <c r="E27" s="1"/>
      <c r="F27" s="1"/>
      <c r="G27" s="1"/>
      <c r="H27" s="1"/>
      <c r="I27" s="1"/>
      <c r="J27" s="1"/>
      <c r="K27" s="1"/>
      <c r="L27" s="1"/>
      <c r="M27" s="1"/>
      <c r="N27" s="1"/>
      <c r="O27" s="1"/>
    </row>
    <row r="28" spans="1:15" ht="13.2">
      <c r="A28" s="1"/>
      <c r="B28" s="1"/>
      <c r="C28" s="1"/>
      <c r="D28" s="1"/>
      <c r="E28" s="1"/>
      <c r="F28" s="1"/>
      <c r="G28" s="1"/>
      <c r="H28" s="1"/>
      <c r="I28" s="1"/>
      <c r="J28" s="1"/>
      <c r="K28" s="1"/>
      <c r="L28" s="1"/>
      <c r="M28" s="1"/>
      <c r="N28" s="1"/>
      <c r="O28" s="1"/>
    </row>
    <row r="29" spans="1:15" ht="13.2">
      <c r="A29" s="1"/>
      <c r="B29" s="1"/>
      <c r="C29" s="1"/>
      <c r="D29" s="1"/>
      <c r="E29" s="1"/>
      <c r="F29" s="1"/>
      <c r="G29" s="1"/>
      <c r="H29" s="1"/>
      <c r="I29" s="1"/>
      <c r="J29" s="1"/>
      <c r="K29" s="1"/>
      <c r="L29" s="1"/>
      <c r="M29" s="1"/>
      <c r="N29" s="1"/>
      <c r="O29" s="1"/>
    </row>
    <row r="30" spans="1:15" ht="13.2">
      <c r="A30" s="1"/>
      <c r="B30" s="1"/>
      <c r="C30" s="1"/>
      <c r="D30" s="1"/>
      <c r="E30" s="1"/>
      <c r="F30" s="1"/>
      <c r="G30" s="1"/>
      <c r="H30" s="1"/>
      <c r="I30" s="1"/>
      <c r="J30" s="1"/>
      <c r="K30" s="1"/>
      <c r="L30" s="1"/>
      <c r="M30" s="1"/>
      <c r="N30" s="1"/>
      <c r="O30" s="1"/>
    </row>
    <row r="31" spans="1:15" ht="13.2">
      <c r="A31" s="1"/>
      <c r="B31" s="1"/>
      <c r="C31" s="1"/>
      <c r="D31" s="1"/>
      <c r="E31" s="1"/>
      <c r="F31" s="1"/>
      <c r="G31" s="1"/>
      <c r="H31" s="1"/>
      <c r="I31" s="1"/>
      <c r="J31" s="1"/>
      <c r="K31" s="1"/>
      <c r="L31" s="1"/>
      <c r="M31" s="1"/>
      <c r="N31" s="1"/>
      <c r="O31" s="1"/>
    </row>
    <row r="32" spans="1:15" ht="13.2">
      <c r="A32" s="1"/>
      <c r="B32" s="1"/>
      <c r="C32" s="1"/>
      <c r="D32" s="1"/>
      <c r="E32" s="1"/>
      <c r="F32" s="1"/>
      <c r="G32" s="1"/>
      <c r="H32" s="1"/>
      <c r="I32" s="1"/>
      <c r="J32" s="1"/>
      <c r="K32" s="1"/>
      <c r="L32" s="1"/>
      <c r="M32" s="1"/>
      <c r="N32" s="1"/>
      <c r="O32" s="1"/>
    </row>
    <row r="33" spans="1:15" ht="13.2">
      <c r="A33" s="1"/>
      <c r="B33" s="1"/>
      <c r="C33" s="1"/>
      <c r="D33" s="1"/>
      <c r="E33" s="1"/>
      <c r="F33" s="1"/>
      <c r="G33" s="1"/>
      <c r="H33" s="1"/>
      <c r="I33" s="1"/>
      <c r="J33" s="1"/>
      <c r="K33" s="1"/>
      <c r="L33" s="1"/>
      <c r="M33" s="1"/>
      <c r="N33" s="1"/>
      <c r="O33" s="1"/>
    </row>
    <row r="34" spans="1:15" ht="13.2">
      <c r="A34" s="1"/>
      <c r="B34" s="1"/>
      <c r="C34" s="1"/>
      <c r="D34" s="1"/>
      <c r="E34" s="1"/>
      <c r="F34" s="1"/>
      <c r="G34" s="1"/>
      <c r="H34" s="1"/>
      <c r="I34" s="1"/>
      <c r="J34" s="1"/>
      <c r="K34" s="1"/>
      <c r="L34" s="1"/>
      <c r="M34" s="1"/>
      <c r="N34" s="1"/>
      <c r="O34" s="1"/>
    </row>
    <row r="35" spans="1:15" ht="13.2">
      <c r="A35" s="1"/>
      <c r="B35" s="1"/>
      <c r="C35" s="1"/>
      <c r="D35" s="1"/>
      <c r="E35" s="1"/>
      <c r="F35" s="1"/>
      <c r="G35" s="1"/>
      <c r="H35" s="1"/>
      <c r="I35" s="1"/>
      <c r="J35" s="1"/>
      <c r="K35" s="1"/>
      <c r="L35" s="1"/>
      <c r="M35" s="1"/>
      <c r="N35" s="1"/>
      <c r="O35" s="1"/>
    </row>
    <row r="36" spans="1:15" ht="13.2">
      <c r="A36" s="1"/>
      <c r="B36" s="1"/>
      <c r="C36" s="1"/>
      <c r="D36" s="1"/>
      <c r="E36" s="1"/>
      <c r="F36" s="1"/>
      <c r="G36" s="1"/>
      <c r="H36" s="1"/>
      <c r="I36" s="1"/>
      <c r="J36" s="1"/>
      <c r="K36" s="1"/>
      <c r="L36" s="1"/>
      <c r="M36" s="1"/>
      <c r="N36" s="1"/>
      <c r="O36" s="1"/>
    </row>
    <row r="37" spans="1:15" ht="13.2">
      <c r="A37" s="1"/>
      <c r="B37" s="1"/>
      <c r="C37" s="1"/>
      <c r="D37" s="1"/>
      <c r="E37" s="1"/>
      <c r="F37" s="1"/>
      <c r="G37" s="1"/>
      <c r="H37" s="1"/>
      <c r="I37" s="1"/>
      <c r="J37" s="1"/>
      <c r="K37" s="1"/>
      <c r="L37" s="1"/>
      <c r="M37" s="1"/>
      <c r="N37" s="1"/>
      <c r="O37" s="1"/>
    </row>
    <row r="38" spans="1:15" ht="13.2">
      <c r="A38" s="1"/>
      <c r="B38" s="1"/>
      <c r="C38" s="1"/>
      <c r="D38" s="1"/>
      <c r="E38" s="1"/>
      <c r="F38" s="1"/>
      <c r="G38" s="1"/>
      <c r="H38" s="1"/>
      <c r="I38" s="1"/>
      <c r="J38" s="1"/>
      <c r="K38" s="1"/>
      <c r="L38" s="1"/>
      <c r="M38" s="1"/>
      <c r="N38" s="1"/>
      <c r="O38" s="1"/>
    </row>
    <row r="39" spans="1:15" ht="13.2">
      <c r="A39" s="1"/>
      <c r="B39" s="1"/>
      <c r="C39" s="1"/>
      <c r="D39" s="1"/>
      <c r="E39" s="1"/>
      <c r="F39" s="1"/>
      <c r="G39" s="1"/>
      <c r="H39" s="1"/>
      <c r="I39" s="1"/>
      <c r="J39" s="1"/>
      <c r="K39" s="1"/>
      <c r="L39" s="1"/>
      <c r="M39" s="1"/>
      <c r="N39" s="1"/>
      <c r="O39" s="1"/>
    </row>
    <row r="40" spans="1:15" ht="13.2">
      <c r="A40" s="1"/>
      <c r="B40" s="1"/>
      <c r="C40" s="1"/>
      <c r="D40" s="1"/>
      <c r="E40" s="1"/>
      <c r="F40" s="1"/>
      <c r="G40" s="1"/>
      <c r="H40" s="1"/>
      <c r="I40" s="1"/>
      <c r="J40" s="1"/>
      <c r="K40" s="1"/>
      <c r="L40" s="1"/>
      <c r="M40" s="1"/>
      <c r="N40" s="1"/>
      <c r="O40" s="1"/>
    </row>
    <row r="41" spans="1:15" ht="13.2">
      <c r="A41" s="1"/>
      <c r="B41" s="1"/>
      <c r="C41" s="1"/>
      <c r="D41" s="1"/>
      <c r="E41" s="1"/>
      <c r="F41" s="1"/>
      <c r="G41" s="1"/>
      <c r="H41" s="1"/>
      <c r="I41" s="1"/>
      <c r="J41" s="1"/>
      <c r="K41" s="1"/>
      <c r="L41" s="1"/>
      <c r="M41" s="1"/>
      <c r="N41" s="1"/>
      <c r="O41" s="1"/>
    </row>
  </sheetData>
  <mergeCells count="1">
    <mergeCell ref="F3:I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AA321"/>
  <sheetViews>
    <sheetView workbookViewId="0"/>
  </sheetViews>
  <sheetFormatPr baseColWidth="10" defaultColWidth="12.6640625" defaultRowHeight="15" customHeight="1"/>
  <cols>
    <col min="2" max="2" width="28.109375" customWidth="1"/>
    <col min="3" max="3" width="18.77734375" customWidth="1"/>
    <col min="7" max="7" width="55.33203125" customWidth="1"/>
  </cols>
  <sheetData>
    <row r="1" spans="1:27" ht="15" customHeight="1">
      <c r="A1" s="8"/>
      <c r="G1" s="9"/>
    </row>
    <row r="4" spans="1:27" ht="15" customHeight="1">
      <c r="A4" s="10"/>
      <c r="B4" s="296" t="s">
        <v>8</v>
      </c>
      <c r="C4" s="297"/>
      <c r="D4" s="297"/>
      <c r="E4" s="297"/>
      <c r="F4" s="297"/>
      <c r="G4" s="298"/>
      <c r="H4" s="11"/>
      <c r="I4" s="11"/>
      <c r="J4" s="11"/>
      <c r="K4" s="11"/>
      <c r="L4" s="11"/>
      <c r="M4" s="11"/>
      <c r="N4" s="11"/>
      <c r="O4" s="11"/>
      <c r="P4" s="11"/>
      <c r="Q4" s="11"/>
      <c r="R4" s="11"/>
      <c r="S4" s="11"/>
      <c r="T4" s="11"/>
      <c r="U4" s="11"/>
      <c r="V4" s="11"/>
      <c r="W4" s="11"/>
      <c r="X4" s="11"/>
      <c r="Y4" s="11"/>
      <c r="Z4" s="11"/>
      <c r="AA4" s="11"/>
    </row>
    <row r="5" spans="1:27" ht="15" customHeight="1">
      <c r="A5" s="11"/>
      <c r="B5" s="299" t="s">
        <v>9</v>
      </c>
      <c r="C5" s="298"/>
      <c r="D5" s="299" t="s">
        <v>10</v>
      </c>
      <c r="E5" s="297"/>
      <c r="F5" s="297"/>
      <c r="G5" s="298"/>
      <c r="H5" s="11"/>
      <c r="I5" s="11"/>
      <c r="J5" s="11"/>
      <c r="K5" s="11"/>
      <c r="L5" s="11"/>
      <c r="M5" s="11"/>
      <c r="N5" s="11"/>
      <c r="O5" s="11"/>
      <c r="P5" s="11"/>
      <c r="Q5" s="11"/>
      <c r="R5" s="11"/>
      <c r="S5" s="11"/>
      <c r="T5" s="11"/>
      <c r="U5" s="11"/>
      <c r="V5" s="11"/>
      <c r="W5" s="11"/>
      <c r="X5" s="11"/>
      <c r="Y5" s="11"/>
      <c r="Z5" s="11"/>
      <c r="AA5" s="11"/>
    </row>
    <row r="6" spans="1:27" ht="15" customHeight="1">
      <c r="A6" s="11"/>
      <c r="B6" s="12" t="s">
        <v>11</v>
      </c>
      <c r="C6" s="13"/>
      <c r="D6" s="14" t="s">
        <v>12</v>
      </c>
      <c r="E6" s="15"/>
      <c r="F6" s="15"/>
      <c r="G6" s="16"/>
      <c r="H6" s="11"/>
      <c r="I6" s="11"/>
      <c r="J6" s="11"/>
      <c r="K6" s="11"/>
      <c r="L6" s="11"/>
      <c r="M6" s="11"/>
      <c r="N6" s="11"/>
      <c r="O6" s="11"/>
      <c r="P6" s="11"/>
      <c r="Q6" s="11"/>
      <c r="R6" s="11"/>
      <c r="S6" s="11"/>
      <c r="T6" s="11"/>
      <c r="U6" s="11"/>
      <c r="V6" s="11"/>
      <c r="W6" s="11"/>
      <c r="X6" s="11"/>
      <c r="Y6" s="11"/>
      <c r="Z6" s="11"/>
      <c r="AA6" s="11"/>
    </row>
    <row r="7" spans="1:27" ht="15" customHeight="1">
      <c r="A7" s="11"/>
      <c r="B7" s="12" t="s">
        <v>13</v>
      </c>
      <c r="C7" s="13"/>
      <c r="D7" s="14" t="s">
        <v>14</v>
      </c>
      <c r="E7" s="15"/>
      <c r="F7" s="15"/>
      <c r="G7" s="16"/>
      <c r="H7" s="11"/>
      <c r="I7" s="11"/>
      <c r="J7" s="11"/>
      <c r="K7" s="11"/>
      <c r="L7" s="11"/>
      <c r="M7" s="11"/>
      <c r="N7" s="11"/>
      <c r="O7" s="11"/>
      <c r="P7" s="11"/>
      <c r="Q7" s="11"/>
      <c r="R7" s="11"/>
      <c r="S7" s="11"/>
      <c r="T7" s="11"/>
      <c r="U7" s="11"/>
      <c r="V7" s="11"/>
      <c r="W7" s="11"/>
      <c r="X7" s="11"/>
      <c r="Y7" s="11"/>
      <c r="Z7" s="11"/>
      <c r="AA7" s="11"/>
    </row>
    <row r="8" spans="1:27" ht="15" customHeight="1">
      <c r="A8" s="11"/>
      <c r="B8" s="12" t="s">
        <v>15</v>
      </c>
      <c r="C8" s="13"/>
      <c r="D8" s="14" t="s">
        <v>16</v>
      </c>
      <c r="E8" s="15"/>
      <c r="F8" s="15"/>
      <c r="G8" s="16"/>
      <c r="H8" s="11"/>
      <c r="I8" s="11"/>
      <c r="J8" s="11"/>
      <c r="K8" s="11"/>
      <c r="L8" s="11"/>
      <c r="M8" s="11"/>
      <c r="N8" s="11"/>
      <c r="O8" s="11"/>
      <c r="P8" s="11"/>
      <c r="Q8" s="11"/>
      <c r="R8" s="11"/>
      <c r="S8" s="11"/>
      <c r="T8" s="11"/>
      <c r="U8" s="11"/>
      <c r="V8" s="11"/>
      <c r="W8" s="11"/>
      <c r="X8" s="11"/>
      <c r="Y8" s="11"/>
      <c r="Z8" s="11"/>
      <c r="AA8" s="11"/>
    </row>
    <row r="9" spans="1:27" ht="15" customHeight="1">
      <c r="A9" s="11"/>
      <c r="B9" s="296" t="s">
        <v>17</v>
      </c>
      <c r="C9" s="297"/>
      <c r="D9" s="297"/>
      <c r="E9" s="297"/>
      <c r="F9" s="297"/>
      <c r="G9" s="298"/>
      <c r="H9" s="11"/>
      <c r="I9" s="11"/>
      <c r="J9" s="11"/>
      <c r="K9" s="11"/>
      <c r="L9" s="11"/>
      <c r="M9" s="11"/>
      <c r="N9" s="11"/>
      <c r="O9" s="11"/>
      <c r="P9" s="11"/>
      <c r="Q9" s="11"/>
      <c r="R9" s="11"/>
      <c r="S9" s="11"/>
      <c r="T9" s="11"/>
      <c r="U9" s="11"/>
      <c r="V9" s="11"/>
      <c r="W9" s="11"/>
      <c r="X9" s="11"/>
      <c r="Y9" s="11"/>
      <c r="Z9" s="11"/>
      <c r="AA9" s="11"/>
    </row>
    <row r="10" spans="1:27" ht="15" customHeight="1">
      <c r="A10" s="17"/>
      <c r="B10" s="299" t="s">
        <v>18</v>
      </c>
      <c r="C10" s="298"/>
      <c r="D10" s="299" t="s">
        <v>19</v>
      </c>
      <c r="E10" s="297"/>
      <c r="F10" s="297"/>
      <c r="G10" s="298"/>
      <c r="H10" s="11"/>
      <c r="I10" s="11"/>
      <c r="J10" s="11"/>
      <c r="K10" s="11"/>
      <c r="L10" s="11"/>
      <c r="M10" s="11"/>
      <c r="N10" s="11"/>
      <c r="O10" s="11"/>
      <c r="P10" s="11"/>
      <c r="Q10" s="11"/>
      <c r="R10" s="11"/>
      <c r="S10" s="11"/>
      <c r="T10" s="11"/>
      <c r="U10" s="11"/>
      <c r="V10" s="11"/>
      <c r="W10" s="11"/>
      <c r="X10" s="11"/>
      <c r="Y10" s="11"/>
      <c r="Z10" s="11"/>
      <c r="AA10" s="11"/>
    </row>
    <row r="11" spans="1:27" ht="15" customHeight="1">
      <c r="A11" s="11"/>
      <c r="B11" s="299" t="s">
        <v>20</v>
      </c>
      <c r="C11" s="297"/>
      <c r="D11" s="297"/>
      <c r="E11" s="297"/>
      <c r="F11" s="297"/>
      <c r="G11" s="298"/>
      <c r="H11" s="11"/>
      <c r="I11" s="11"/>
      <c r="J11" s="11"/>
      <c r="K11" s="11"/>
      <c r="L11" s="11"/>
      <c r="M11" s="11"/>
      <c r="N11" s="11"/>
      <c r="O11" s="11"/>
      <c r="P11" s="11"/>
      <c r="Q11" s="11"/>
      <c r="R11" s="11"/>
      <c r="S11" s="11"/>
      <c r="T11" s="11"/>
      <c r="U11" s="11"/>
      <c r="V11" s="11"/>
      <c r="W11" s="11"/>
      <c r="X11" s="11"/>
      <c r="Y11" s="11"/>
      <c r="Z11" s="11"/>
      <c r="AA11" s="11"/>
    </row>
    <row r="12" spans="1:27" ht="16.8">
      <c r="A12" s="17"/>
      <c r="B12" s="18" t="s">
        <v>21</v>
      </c>
      <c r="C12" s="18" t="s">
        <v>18</v>
      </c>
      <c r="D12" s="18" t="s">
        <v>19</v>
      </c>
      <c r="E12" s="18" t="s">
        <v>22</v>
      </c>
      <c r="F12" s="18" t="s">
        <v>23</v>
      </c>
      <c r="G12" s="18" t="s">
        <v>24</v>
      </c>
      <c r="H12" s="11"/>
      <c r="I12" s="11"/>
      <c r="J12" s="11"/>
      <c r="K12" s="11"/>
      <c r="L12" s="11"/>
      <c r="M12" s="11"/>
      <c r="N12" s="11"/>
      <c r="O12" s="11"/>
      <c r="P12" s="11"/>
      <c r="Q12" s="11"/>
      <c r="R12" s="11"/>
      <c r="S12" s="11"/>
      <c r="T12" s="11"/>
      <c r="U12" s="11"/>
      <c r="V12" s="11"/>
      <c r="W12" s="11"/>
      <c r="X12" s="11"/>
      <c r="Y12" s="11"/>
      <c r="Z12" s="11"/>
      <c r="AA12" s="11"/>
    </row>
    <row r="13" spans="1:27" ht="75" customHeight="1">
      <c r="A13" s="19"/>
      <c r="B13" s="20" t="s">
        <v>25</v>
      </c>
      <c r="C13" s="21" t="s">
        <v>26</v>
      </c>
      <c r="D13" s="21" t="s">
        <v>27</v>
      </c>
      <c r="E13" s="21" t="s">
        <v>28</v>
      </c>
      <c r="F13" s="22" t="s">
        <v>29</v>
      </c>
      <c r="G13" s="21" t="s">
        <v>30</v>
      </c>
      <c r="H13" s="11"/>
      <c r="I13" s="11"/>
      <c r="J13" s="11"/>
      <c r="K13" s="11"/>
      <c r="L13" s="11"/>
      <c r="M13" s="11"/>
      <c r="N13" s="11"/>
      <c r="O13" s="11"/>
      <c r="P13" s="11"/>
      <c r="Q13" s="11"/>
      <c r="R13" s="11"/>
      <c r="S13" s="11"/>
      <c r="T13" s="11"/>
      <c r="U13" s="11"/>
      <c r="V13" s="11"/>
      <c r="W13" s="11"/>
      <c r="X13" s="11"/>
      <c r="Y13" s="11"/>
      <c r="Z13" s="11"/>
      <c r="AA13" s="11"/>
    </row>
    <row r="14" spans="1:27" ht="46.5" customHeight="1">
      <c r="A14" s="19"/>
      <c r="B14" s="20" t="s">
        <v>31</v>
      </c>
      <c r="C14" s="23" t="str">
        <f>'Monitor Admin'!D9</f>
        <v>MONITOR ACER 22" EK220Q 100Hz 1Ms 1920 X 1080 VA HDMI + VGA</v>
      </c>
      <c r="D14" s="21" t="s">
        <v>32</v>
      </c>
      <c r="E14" s="21" t="s">
        <v>28</v>
      </c>
      <c r="F14" s="24">
        <v>360000</v>
      </c>
      <c r="G14" s="21" t="s">
        <v>33</v>
      </c>
      <c r="H14" s="11"/>
      <c r="I14" s="11"/>
      <c r="J14" s="11"/>
      <c r="K14" s="11"/>
      <c r="L14" s="11"/>
      <c r="M14" s="11"/>
      <c r="N14" s="11"/>
      <c r="O14" s="11"/>
      <c r="P14" s="11"/>
      <c r="Q14" s="11"/>
      <c r="R14" s="11"/>
      <c r="S14" s="11"/>
      <c r="T14" s="11"/>
      <c r="U14" s="11"/>
      <c r="V14" s="11"/>
      <c r="W14" s="11"/>
      <c r="X14" s="11"/>
      <c r="Y14" s="11"/>
      <c r="Z14" s="11"/>
      <c r="AA14" s="11"/>
    </row>
    <row r="15" spans="1:27" ht="57.75" customHeight="1">
      <c r="A15" s="19"/>
      <c r="B15" s="20" t="s">
        <v>34</v>
      </c>
      <c r="C15" s="21" t="s">
        <v>35</v>
      </c>
      <c r="D15" s="25" t="s">
        <v>36</v>
      </c>
      <c r="E15" s="21" t="s">
        <v>28</v>
      </c>
      <c r="F15" s="26" t="s">
        <v>37</v>
      </c>
      <c r="G15" s="21" t="s">
        <v>38</v>
      </c>
      <c r="H15" s="11"/>
      <c r="I15" s="11"/>
      <c r="J15" s="11"/>
      <c r="K15" s="11"/>
      <c r="L15" s="11"/>
      <c r="M15" s="11"/>
      <c r="N15" s="11"/>
      <c r="O15" s="11"/>
      <c r="P15" s="11"/>
      <c r="Q15" s="11"/>
      <c r="R15" s="11"/>
      <c r="S15" s="11"/>
      <c r="T15" s="11"/>
      <c r="U15" s="11"/>
      <c r="V15" s="11"/>
      <c r="W15" s="11"/>
      <c r="X15" s="11"/>
      <c r="Y15" s="11"/>
      <c r="Z15" s="11"/>
      <c r="AA15" s="11"/>
    </row>
    <row r="16" spans="1:27" ht="41.25" customHeight="1">
      <c r="A16" s="19"/>
      <c r="B16" s="20" t="s">
        <v>39</v>
      </c>
      <c r="C16" s="21" t="s">
        <v>40</v>
      </c>
      <c r="D16" s="21" t="s">
        <v>41</v>
      </c>
      <c r="E16" s="21" t="s">
        <v>28</v>
      </c>
      <c r="F16" s="26" t="s">
        <v>42</v>
      </c>
      <c r="G16" s="21" t="s">
        <v>43</v>
      </c>
      <c r="H16" s="11"/>
      <c r="I16" s="11"/>
      <c r="J16" s="11"/>
      <c r="K16" s="11"/>
      <c r="L16" s="11"/>
      <c r="M16" s="11"/>
      <c r="N16" s="11"/>
      <c r="O16" s="11"/>
      <c r="P16" s="11"/>
      <c r="Q16" s="11"/>
      <c r="R16" s="11"/>
      <c r="S16" s="11"/>
      <c r="T16" s="11"/>
      <c r="U16" s="11"/>
      <c r="V16" s="11"/>
      <c r="W16" s="11"/>
      <c r="X16" s="11"/>
      <c r="Y16" s="11"/>
      <c r="Z16" s="11"/>
      <c r="AA16" s="11"/>
    </row>
    <row r="17" spans="1:27" ht="63" customHeight="1">
      <c r="A17" s="11"/>
      <c r="B17" s="27" t="s">
        <v>44</v>
      </c>
      <c r="C17" s="21" t="s">
        <v>40</v>
      </c>
      <c r="D17" s="28" t="s">
        <v>45</v>
      </c>
      <c r="E17" s="21" t="s">
        <v>28</v>
      </c>
      <c r="F17" s="26" t="s">
        <v>46</v>
      </c>
      <c r="G17" s="21" t="s">
        <v>47</v>
      </c>
      <c r="H17" s="11"/>
      <c r="I17" s="11"/>
      <c r="J17" s="11"/>
      <c r="K17" s="11"/>
      <c r="L17" s="11"/>
      <c r="M17" s="11"/>
      <c r="N17" s="11"/>
      <c r="O17" s="11"/>
      <c r="P17" s="11"/>
      <c r="Q17" s="11"/>
      <c r="R17" s="11"/>
      <c r="S17" s="11"/>
      <c r="T17" s="11"/>
      <c r="U17" s="11"/>
      <c r="V17" s="11"/>
      <c r="W17" s="11"/>
      <c r="X17" s="11"/>
      <c r="Y17" s="11"/>
      <c r="Z17" s="11"/>
      <c r="AA17" s="11"/>
    </row>
    <row r="18" spans="1:27" ht="68.25" customHeight="1">
      <c r="A18" s="11"/>
      <c r="B18" s="27" t="s">
        <v>48</v>
      </c>
      <c r="C18" s="21" t="s">
        <v>49</v>
      </c>
      <c r="D18" s="21" t="s">
        <v>50</v>
      </c>
      <c r="E18" s="21" t="s">
        <v>28</v>
      </c>
      <c r="F18" s="26" t="s">
        <v>51</v>
      </c>
      <c r="G18" s="21" t="s">
        <v>52</v>
      </c>
      <c r="H18" s="11"/>
      <c r="I18" s="11"/>
      <c r="J18" s="11"/>
      <c r="K18" s="11"/>
      <c r="L18" s="11"/>
      <c r="M18" s="11"/>
      <c r="N18" s="11"/>
      <c r="O18" s="11"/>
      <c r="P18" s="11"/>
      <c r="Q18" s="11"/>
      <c r="R18" s="11"/>
      <c r="S18" s="11"/>
      <c r="T18" s="11"/>
      <c r="U18" s="11"/>
      <c r="V18" s="11"/>
      <c r="W18" s="11"/>
      <c r="X18" s="11"/>
      <c r="Y18" s="11"/>
      <c r="Z18" s="11"/>
      <c r="AA18" s="11"/>
    </row>
    <row r="19" spans="1:27" ht="67.5" customHeight="1">
      <c r="A19" s="29"/>
      <c r="B19" s="27" t="s">
        <v>48</v>
      </c>
      <c r="C19" s="21" t="s">
        <v>53</v>
      </c>
      <c r="D19" s="21" t="s">
        <v>50</v>
      </c>
      <c r="E19" s="21" t="s">
        <v>54</v>
      </c>
      <c r="F19" s="26" t="s">
        <v>55</v>
      </c>
      <c r="G19" s="21" t="s">
        <v>56</v>
      </c>
      <c r="H19" s="11"/>
      <c r="I19" s="11"/>
      <c r="J19" s="11"/>
      <c r="K19" s="11"/>
      <c r="L19" s="11"/>
      <c r="M19" s="11"/>
      <c r="N19" s="11"/>
      <c r="O19" s="11"/>
      <c r="P19" s="11"/>
      <c r="Q19" s="11"/>
      <c r="R19" s="11"/>
      <c r="S19" s="11"/>
      <c r="T19" s="11"/>
      <c r="U19" s="11"/>
      <c r="V19" s="11"/>
      <c r="W19" s="11"/>
      <c r="X19" s="11"/>
      <c r="Y19" s="11"/>
      <c r="Z19" s="11"/>
      <c r="AA19" s="11"/>
    </row>
    <row r="20" spans="1:27" ht="71.25" customHeight="1">
      <c r="A20" s="21"/>
      <c r="B20" s="30" t="s">
        <v>57</v>
      </c>
      <c r="C20" s="31" t="s">
        <v>58</v>
      </c>
      <c r="D20" s="31" t="s">
        <v>59</v>
      </c>
      <c r="E20" s="21" t="s">
        <v>28</v>
      </c>
      <c r="F20" s="26" t="s">
        <v>60</v>
      </c>
      <c r="G20" s="21" t="s">
        <v>61</v>
      </c>
      <c r="H20" s="11"/>
      <c r="I20" s="11"/>
      <c r="J20" s="11"/>
      <c r="K20" s="11"/>
      <c r="L20" s="11"/>
      <c r="M20" s="11"/>
      <c r="N20" s="11"/>
      <c r="O20" s="11"/>
      <c r="P20" s="11"/>
      <c r="Q20" s="11"/>
      <c r="R20" s="11"/>
      <c r="S20" s="11"/>
      <c r="T20" s="11"/>
      <c r="U20" s="11"/>
      <c r="V20" s="11"/>
      <c r="W20" s="11"/>
      <c r="X20" s="11"/>
      <c r="Y20" s="11"/>
      <c r="Z20" s="11"/>
      <c r="AA20" s="11"/>
    </row>
    <row r="21" spans="1:27" ht="60" customHeight="1">
      <c r="A21" s="32"/>
      <c r="B21" s="27" t="s">
        <v>62</v>
      </c>
      <c r="C21" s="21" t="s">
        <v>63</v>
      </c>
      <c r="D21" s="21" t="s">
        <v>64</v>
      </c>
      <c r="E21" s="21" t="s">
        <v>28</v>
      </c>
      <c r="F21" s="26" t="s">
        <v>65</v>
      </c>
      <c r="G21" s="21" t="s">
        <v>66</v>
      </c>
      <c r="H21" s="11"/>
      <c r="I21" s="33"/>
      <c r="J21" s="11"/>
      <c r="K21" s="11"/>
      <c r="L21" s="11"/>
      <c r="M21" s="11"/>
      <c r="N21" s="11"/>
      <c r="O21" s="11"/>
      <c r="P21" s="11"/>
      <c r="Q21" s="11"/>
      <c r="R21" s="11"/>
      <c r="S21" s="11"/>
      <c r="T21" s="11"/>
      <c r="U21" s="11"/>
      <c r="V21" s="11"/>
      <c r="W21" s="11"/>
      <c r="X21" s="11"/>
      <c r="Y21" s="11"/>
      <c r="Z21" s="11"/>
      <c r="AA21" s="11"/>
    </row>
    <row r="22" spans="1:27" ht="80.25" customHeight="1">
      <c r="A22" s="29"/>
      <c r="B22" s="21" t="s">
        <v>67</v>
      </c>
      <c r="C22" s="21" t="s">
        <v>68</v>
      </c>
      <c r="D22" s="21" t="s">
        <v>69</v>
      </c>
      <c r="E22" s="21" t="s">
        <v>28</v>
      </c>
      <c r="F22" s="21"/>
      <c r="G22" s="21" t="s">
        <v>70</v>
      </c>
      <c r="H22" s="11"/>
      <c r="I22" s="11"/>
      <c r="J22" s="11"/>
      <c r="K22" s="11"/>
      <c r="L22" s="11"/>
      <c r="M22" s="11"/>
      <c r="N22" s="11"/>
      <c r="O22" s="11"/>
      <c r="P22" s="11"/>
      <c r="Q22" s="11"/>
      <c r="R22" s="11"/>
      <c r="S22" s="11"/>
      <c r="T22" s="11"/>
      <c r="U22" s="11"/>
      <c r="V22" s="11"/>
      <c r="W22" s="11"/>
      <c r="X22" s="11"/>
      <c r="Y22" s="11"/>
      <c r="Z22" s="11"/>
      <c r="AA22" s="11"/>
    </row>
    <row r="23" spans="1:27" ht="66.75" customHeight="1">
      <c r="A23" s="11"/>
      <c r="B23" s="34" t="s">
        <v>71</v>
      </c>
      <c r="C23" s="21" t="s">
        <v>68</v>
      </c>
      <c r="D23" s="21" t="s">
        <v>69</v>
      </c>
      <c r="E23" s="21" t="s">
        <v>28</v>
      </c>
      <c r="F23" s="21"/>
      <c r="G23" s="21" t="s">
        <v>72</v>
      </c>
      <c r="H23" s="11"/>
      <c r="I23" s="11"/>
      <c r="J23" s="11"/>
      <c r="K23" s="11"/>
      <c r="L23" s="11"/>
      <c r="M23" s="11"/>
      <c r="N23" s="11"/>
      <c r="O23" s="11"/>
      <c r="P23" s="11"/>
      <c r="Q23" s="11"/>
      <c r="R23" s="11"/>
      <c r="S23" s="11"/>
      <c r="T23" s="11"/>
      <c r="U23" s="11"/>
      <c r="V23" s="11"/>
      <c r="W23" s="11"/>
      <c r="X23" s="11"/>
      <c r="Y23" s="11"/>
      <c r="Z23" s="11"/>
      <c r="AA23" s="11"/>
    </row>
    <row r="24" spans="1:27" ht="66.75" customHeight="1">
      <c r="A24" s="11"/>
      <c r="B24" s="30" t="s">
        <v>73</v>
      </c>
      <c r="C24" s="35" t="s">
        <v>74</v>
      </c>
      <c r="D24" s="21" t="s">
        <v>75</v>
      </c>
      <c r="E24" s="35" t="s">
        <v>76</v>
      </c>
      <c r="F24" s="36">
        <v>2349000</v>
      </c>
      <c r="G24" s="37" t="s">
        <v>77</v>
      </c>
      <c r="H24" s="11"/>
      <c r="I24" s="11"/>
      <c r="J24" s="11"/>
      <c r="K24" s="11"/>
      <c r="L24" s="11"/>
      <c r="M24" s="11"/>
      <c r="N24" s="11"/>
      <c r="O24" s="11"/>
      <c r="P24" s="11"/>
      <c r="Q24" s="11"/>
      <c r="R24" s="11"/>
      <c r="S24" s="11"/>
      <c r="T24" s="11"/>
      <c r="U24" s="11"/>
      <c r="V24" s="11"/>
      <c r="W24" s="11"/>
      <c r="X24" s="11"/>
      <c r="Y24" s="11"/>
      <c r="Z24" s="11"/>
      <c r="AA24" s="11"/>
    </row>
    <row r="25" spans="1:27" ht="16.8">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spans="1:27" ht="16.8">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1:27" ht="17.25" customHeight="1">
      <c r="A27" s="17"/>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ht="16.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spans="1:27" ht="16.8">
      <c r="A29" s="17"/>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ht="16.8">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ht="16.8">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ht="16.8">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1:27" ht="16.8">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1:27" ht="16.8">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1:27" ht="16.8">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1:27" ht="16.8">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1:27" ht="16.8">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1:27" ht="16.8">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1:27" ht="16.8">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1:27" ht="16.8">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1:27" ht="16.8">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1:27" ht="16.8">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1:27" ht="16.8">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1:27" ht="16.8">
      <c r="A44" s="17"/>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1:27" ht="16.8">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1:27" ht="16.8">
      <c r="A46" s="17"/>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1:27" ht="16.8">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1:27" ht="16.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1:27" ht="16.8">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1:27" ht="16.8">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1:27" ht="16.8">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1:27" ht="16.8">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spans="1:27" ht="16.8">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1:27" ht="16.8">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1:27" ht="16.8">
      <c r="A55" s="10"/>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1:27" ht="16.8">
      <c r="A56" s="10"/>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1:27" ht="16.8">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1:27" ht="16.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1:27" ht="16.8">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1:27" ht="16.8">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1:27" ht="16.8">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1:27" ht="16.8">
      <c r="A62" s="17"/>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1:27" ht="16.8">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spans="1:27" ht="16.8">
      <c r="A64" s="17"/>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spans="1:27" ht="16.8">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spans="1:27" ht="16.8">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spans="1:27" ht="16.8">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spans="1:27" ht="1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spans="1:27" ht="16.8">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spans="1:27" ht="16.8">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spans="1:27" ht="16.8">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spans="1:27" ht="16.8">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spans="1:27" ht="16.8">
      <c r="A73" s="10"/>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spans="1:27" ht="16.8">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spans="1:27" ht="16.8">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spans="1:27" ht="16.8">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spans="1:27" ht="16.8">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spans="1:27" ht="16.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spans="1:27" ht="16.8">
      <c r="A79" s="17"/>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spans="1:27" ht="16.8">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spans="1:27" ht="16.8">
      <c r="A81" s="17"/>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spans="1:27" ht="16.8">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spans="1:27" ht="16.8">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spans="1:27" ht="16.8">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spans="1:27" ht="16.8">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spans="1:27" ht="16.8">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spans="1:27" ht="16.8">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spans="1:27" ht="16.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spans="1:27" ht="16.8">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spans="1:27" ht="16.8">
      <c r="A90" s="10"/>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spans="1:27" ht="16.8">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spans="1:27" ht="16.8">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spans="1:27" ht="16.8">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spans="1:27" ht="16.8">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spans="1:27" ht="16.8">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spans="1:27" ht="16.8">
      <c r="A96" s="17"/>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spans="1:27" ht="16.8">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spans="1:27" ht="16.8">
      <c r="A98" s="17"/>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spans="1:27" ht="16.8">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spans="1:27" ht="16.8">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ht="16.8">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ht="16.8">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ht="16.8">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ht="16.8">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ht="16.8">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ht="16.8">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ht="16.8">
      <c r="A107" s="10"/>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ht="16.8">
      <c r="A108" s="10"/>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ht="16.8">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1:27" ht="16.8">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1:27" ht="16.8">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1:27" ht="16.8">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1:27" ht="16.8">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1:27" ht="16.8">
      <c r="A114" s="17"/>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1:27" ht="16.8">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1:27" ht="16.8">
      <c r="A116" s="17"/>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1:27" ht="16.8">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1:27" ht="16.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1:27" ht="16.8">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spans="1:27" ht="16.8">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spans="1:27" ht="16.8">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spans="1:27" ht="16.8">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spans="1:27" ht="16.8">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spans="1:27" ht="16.8">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spans="1:27" ht="16.8">
      <c r="A125" s="1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spans="1:27" ht="16.8">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spans="1:27" ht="16.8">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spans="1:27" ht="16.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spans="1:27" ht="16.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spans="1:27" ht="16.8">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spans="1:27" ht="16.8">
      <c r="A131" s="17"/>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spans="1:27" ht="16.8">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spans="1:27" ht="16.8">
      <c r="A133" s="17"/>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spans="1:27" ht="16.8">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spans="1:27" ht="16.8">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spans="1:27" ht="16.8">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spans="1:27" ht="16.8">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spans="1:27" ht="16.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spans="1:27" ht="16.8">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spans="1:27" ht="16.8">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spans="1:27" ht="16.8">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spans="1:27" ht="16.8">
      <c r="A142" s="10"/>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spans="1:27" ht="16.8">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spans="1:27" ht="16.8">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spans="1:27" ht="16.8">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spans="1:27" ht="16.8">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spans="1:27" ht="16.8">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spans="1:27" ht="16.8">
      <c r="A148" s="17"/>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spans="1:27" ht="16.8">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spans="1:27" ht="16.8">
      <c r="A150" s="17"/>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spans="1:27" ht="16.8">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spans="1:27" ht="16.8">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spans="1:27" ht="16.8">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spans="1:27" ht="16.8">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spans="1:27" ht="16.8">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spans="1:27" ht="16.8">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spans="1:27" ht="16.8">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spans="1:27" ht="16.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spans="1:27" ht="16.8">
      <c r="A159" s="1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spans="1:27" ht="16.8">
      <c r="A160" s="1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spans="1:27" ht="16.8">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spans="1:27" ht="16.8">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spans="1:27" ht="16.8">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spans="1:27" ht="16.8">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spans="1:27" ht="16.8">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spans="1:27" ht="16.8">
      <c r="A166" s="17"/>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spans="1:27" ht="16.8">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spans="1:27" ht="16.8">
      <c r="A168" s="17"/>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spans="1:27" ht="16.8">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spans="1:27" ht="16.8">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spans="1:27" ht="16.8">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spans="1:27" ht="16.8">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spans="1:27" ht="16.8">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spans="1:27" ht="16.8">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spans="1:27" ht="16.8">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spans="1:27" ht="16.8">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spans="1:27" ht="16.8">
      <c r="A177" s="10"/>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spans="1:27" ht="16.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spans="1:27" ht="16.8">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spans="1:27" ht="16.8">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spans="1:27" ht="16.8">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spans="1:27" ht="16.8">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spans="1:27" ht="16.8">
      <c r="A183" s="17"/>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spans="1:27" ht="16.8">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spans="1:27" ht="16.8">
      <c r="A185" s="17"/>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spans="1:27" ht="16.8">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spans="1:27" ht="16.8">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spans="1:27" ht="16.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spans="1:27" ht="16.8">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spans="1:27" ht="16.8">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spans="1:27" ht="16.8">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spans="1:27" ht="16.8">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spans="1:27" ht="16.8">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spans="1:27" ht="16.8">
      <c r="A194" s="10"/>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spans="1:27" ht="16.8">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spans="1:27" ht="16.8">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spans="1:27" ht="16.8">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spans="1:27" ht="16.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spans="1:27" ht="16.8">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spans="1:27" ht="16.8">
      <c r="A200" s="17"/>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spans="1:27" ht="16.8">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spans="1:27" ht="16.8">
      <c r="A202" s="17"/>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spans="1:27" ht="16.8">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spans="1:27" ht="16.8">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spans="1:27" ht="16.8">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spans="1:27" ht="16.8">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spans="1:27" ht="16.8">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spans="1:27" ht="16.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spans="1:27" ht="16.8">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spans="1:27" ht="16.8">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spans="1:27" ht="16.8">
      <c r="A211" s="10"/>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spans="1:27" ht="16.8">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spans="1:27" ht="16.8">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spans="1:27" ht="16.8">
      <c r="A214" s="10"/>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spans="1:27" ht="16.8">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spans="1:27" ht="16.8">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spans="1:27" ht="16.8">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spans="1:27" ht="16.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spans="1:27" ht="16.8">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spans="1:27" ht="16.8">
      <c r="A220" s="17"/>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spans="1:27" ht="16.8">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spans="1:27" ht="16.8">
      <c r="A222" s="17"/>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spans="1:27" ht="16.8">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spans="1:27" ht="16.8">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spans="1:27" ht="16.8">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spans="1:27" ht="16.8">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spans="1:27" ht="16.8">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spans="1:27" ht="16.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spans="1:27" ht="16.8">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spans="1:27" ht="16.8">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spans="1:27" ht="16.8">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spans="1:27" ht="16.8">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spans="1:27" ht="16.8">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spans="1:27" ht="16.8">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spans="1:27" ht="16.8">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spans="1:27" ht="16.8">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spans="1:27" ht="16.8">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spans="1:27" ht="16.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spans="1:27" ht="16.8">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spans="1:27" ht="16.8">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spans="1:27" ht="16.8">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spans="1:27" ht="16.8">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spans="1:27" ht="16.8">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spans="1:27" ht="16.8">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spans="1:27" ht="16.8">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spans="1:27" ht="16.8">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spans="1:27" ht="16.8">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spans="1:27" ht="16.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spans="1:27" ht="16.8">
      <c r="A249" s="10"/>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spans="1:27" ht="16.8">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spans="1:27" ht="16.8">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spans="1:27" ht="16.8">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spans="1:27" ht="16.8">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spans="1:27" ht="16.8">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spans="1:27" ht="16.8">
      <c r="A255" s="17"/>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spans="1:27" ht="16.8">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spans="1:27" ht="16.8">
      <c r="A257" s="17"/>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spans="1:27" ht="16.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spans="1:27" ht="16.8">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spans="1:27" ht="16.8">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spans="1:27" ht="16.8">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spans="1:27" ht="16.8">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spans="1:27" ht="16.8">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spans="1:27" ht="16.8">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spans="1:27" ht="16.8">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spans="1:27" ht="16.8">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spans="1:27" ht="16.8">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spans="1:27" ht="1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spans="1:27" ht="16.8">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spans="1:27" ht="16.8">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spans="1:27" ht="16.8">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spans="1:27" ht="16.8">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spans="1:27" ht="16.8">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spans="1:27" ht="16.8">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spans="1:27" ht="16.8">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spans="1:27" ht="16.8">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spans="1:27" ht="16.8">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spans="1:27" ht="16.8">
      <c r="A278" s="10"/>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spans="1:27" ht="16.8">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spans="1:27" ht="16.8">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spans="1:27" ht="16.8">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spans="1:27" ht="16.8">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spans="1:27" ht="16.8">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spans="1:27" ht="16.8">
      <c r="A284" s="17"/>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spans="1:27" ht="16.8">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spans="1:27" ht="16.8">
      <c r="A286" s="17"/>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spans="1:27" ht="16.8">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spans="1:27" ht="16.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spans="1:27" ht="16.8">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spans="1:27" ht="16.8">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spans="1:27" ht="16.8">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spans="1:27" ht="16.8">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spans="1:27" ht="16.8">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spans="1:27" ht="16.8">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spans="1:27" ht="16.8">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spans="1:27" ht="16.8">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spans="1:27" ht="16.8">
      <c r="A297" s="10"/>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spans="1:27" ht="16.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spans="1:27" ht="16.8">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spans="1:27" ht="16.8">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spans="1:27" ht="16.8">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spans="1:27" ht="16.8">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spans="1:27" ht="16.8">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spans="1:27" ht="16.8">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spans="1:27" ht="16.8">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spans="1:27" ht="16.8">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spans="1:27" ht="16.8">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spans="1:27" ht="16.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spans="1:27" ht="16.8">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spans="1:27" ht="16.8">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spans="1:27" ht="16.8">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spans="1:27" ht="16.8">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spans="1:27" ht="16.8">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spans="1:27" ht="16.8">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spans="1:27" ht="16.8">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spans="1:27" ht="16.8">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spans="1:27" ht="16.8">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spans="1:27" ht="16.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spans="1:27" ht="16.8">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spans="1:27" ht="16.8">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spans="1:27" ht="16.8">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sheetData>
  <mergeCells count="7">
    <mergeCell ref="B11:G11"/>
    <mergeCell ref="B4:G4"/>
    <mergeCell ref="B5:C5"/>
    <mergeCell ref="D5:G5"/>
    <mergeCell ref="B9:G9"/>
    <mergeCell ref="B10:C10"/>
    <mergeCell ref="D10:G10"/>
  </mergeCells>
  <hyperlinks>
    <hyperlink ref="B13" r:id="rId1" xr:uid="{00000000-0004-0000-0100-000000000000}"/>
    <hyperlink ref="B14" r:id="rId2" xr:uid="{00000000-0004-0000-0100-000001000000}"/>
    <hyperlink ref="B15" r:id="rId3" xr:uid="{00000000-0004-0000-0100-000002000000}"/>
    <hyperlink ref="B16" r:id="rId4" xr:uid="{00000000-0004-0000-0100-000003000000}"/>
    <hyperlink ref="B17" r:id="rId5" xr:uid="{00000000-0004-0000-0100-000004000000}"/>
    <hyperlink ref="B18" r:id="rId6" xr:uid="{00000000-0004-0000-0100-000005000000}"/>
    <hyperlink ref="B19" r:id="rId7" xr:uid="{00000000-0004-0000-0100-000006000000}"/>
    <hyperlink ref="B20" r:id="rId8" xr:uid="{00000000-0004-0000-0100-000007000000}"/>
    <hyperlink ref="B21" r:id="rId9" xr:uid="{00000000-0004-0000-0100-000008000000}"/>
    <hyperlink ref="B24" r:id="rId10" xr:uid="{00000000-0004-0000-0100-000009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workbookViewId="0"/>
  </sheetViews>
  <sheetFormatPr baseColWidth="10" defaultColWidth="12.6640625" defaultRowHeight="15" customHeight="1"/>
  <cols>
    <col min="2" max="2" width="22.33203125" customWidth="1"/>
    <col min="3" max="3" width="13.88671875" customWidth="1"/>
    <col min="4" max="4" width="12.6640625" customWidth="1"/>
    <col min="5" max="5" width="19" customWidth="1"/>
    <col min="6" max="7" width="13" customWidth="1"/>
    <col min="8" max="8" width="20" customWidth="1"/>
    <col min="9" max="10" width="13" customWidth="1"/>
    <col min="11" max="11" width="18.44140625" customWidth="1"/>
    <col min="12" max="13" width="16.6640625" customWidth="1"/>
    <col min="14" max="14" width="14.88671875" customWidth="1"/>
    <col min="15" max="15" width="11.6640625" customWidth="1"/>
  </cols>
  <sheetData>
    <row r="1" spans="1:27">
      <c r="A1" s="38"/>
      <c r="B1" s="38"/>
      <c r="C1" s="38"/>
      <c r="D1" s="38"/>
      <c r="E1" s="38"/>
      <c r="F1" s="38"/>
      <c r="G1" s="38"/>
      <c r="H1" s="38"/>
      <c r="I1" s="38"/>
      <c r="J1" s="38"/>
      <c r="K1" s="38"/>
      <c r="L1" s="38"/>
      <c r="M1" s="38"/>
      <c r="N1" s="38"/>
      <c r="O1" s="38"/>
      <c r="P1" s="28"/>
      <c r="Q1" s="28"/>
      <c r="R1" s="28"/>
      <c r="S1" s="28"/>
      <c r="T1" s="28"/>
      <c r="U1" s="28"/>
      <c r="V1" s="28"/>
      <c r="W1" s="28"/>
      <c r="X1" s="28"/>
      <c r="Y1" s="28"/>
      <c r="Z1" s="28"/>
      <c r="AA1" s="28"/>
    </row>
    <row r="2" spans="1:27">
      <c r="A2" s="38"/>
      <c r="B2" s="38"/>
      <c r="C2" s="38"/>
      <c r="D2" s="38"/>
      <c r="E2" s="38"/>
      <c r="F2" s="38"/>
      <c r="G2" s="38"/>
      <c r="H2" s="38"/>
      <c r="I2" s="38"/>
      <c r="J2" s="38"/>
      <c r="K2" s="38"/>
      <c r="L2" s="38"/>
      <c r="M2" s="38"/>
      <c r="N2" s="38"/>
      <c r="O2" s="38"/>
      <c r="P2" s="28"/>
      <c r="Q2" s="28"/>
      <c r="R2" s="28"/>
      <c r="S2" s="28"/>
      <c r="T2" s="28"/>
      <c r="U2" s="28"/>
      <c r="V2" s="28"/>
      <c r="W2" s="28"/>
      <c r="X2" s="28"/>
      <c r="Y2" s="28"/>
      <c r="Z2" s="28"/>
      <c r="AA2" s="28"/>
    </row>
    <row r="3" spans="1:27">
      <c r="A3" s="38"/>
      <c r="B3" s="300" t="s">
        <v>78</v>
      </c>
      <c r="C3" s="301"/>
      <c r="D3" s="302"/>
      <c r="E3" s="300" t="s">
        <v>79</v>
      </c>
      <c r="F3" s="301"/>
      <c r="G3" s="302"/>
      <c r="H3" s="300" t="s">
        <v>80</v>
      </c>
      <c r="I3" s="301"/>
      <c r="J3" s="303"/>
      <c r="K3" s="40" t="s">
        <v>81</v>
      </c>
      <c r="L3" s="39" t="s">
        <v>82</v>
      </c>
      <c r="M3" s="41" t="s">
        <v>83</v>
      </c>
      <c r="N3" s="304" t="s">
        <v>84</v>
      </c>
      <c r="O3" s="304" t="s">
        <v>85</v>
      </c>
      <c r="P3" s="304" t="s">
        <v>86</v>
      </c>
      <c r="Q3" s="28"/>
      <c r="R3" s="28"/>
      <c r="S3" s="28"/>
      <c r="T3" s="28"/>
      <c r="U3" s="28"/>
      <c r="V3" s="28"/>
      <c r="W3" s="28"/>
      <c r="X3" s="28"/>
      <c r="Y3" s="28"/>
      <c r="Z3" s="28"/>
      <c r="AA3" s="28"/>
    </row>
    <row r="4" spans="1:27">
      <c r="A4" s="38"/>
      <c r="B4" s="42" t="s">
        <v>87</v>
      </c>
      <c r="C4" s="42" t="s">
        <v>88</v>
      </c>
      <c r="D4" s="42" t="s">
        <v>89</v>
      </c>
      <c r="E4" s="42" t="s">
        <v>90</v>
      </c>
      <c r="F4" s="42" t="s">
        <v>91</v>
      </c>
      <c r="G4" s="42" t="s">
        <v>92</v>
      </c>
      <c r="H4" s="42" t="s">
        <v>90</v>
      </c>
      <c r="I4" s="42" t="s">
        <v>91</v>
      </c>
      <c r="J4" s="42" t="s">
        <v>92</v>
      </c>
      <c r="K4" s="42" t="s">
        <v>90</v>
      </c>
      <c r="L4" s="43" t="s">
        <v>92</v>
      </c>
      <c r="M4" s="44" t="s">
        <v>92</v>
      </c>
      <c r="N4" s="305"/>
      <c r="O4" s="305"/>
      <c r="P4" s="305"/>
      <c r="Q4" s="28"/>
      <c r="R4" s="28"/>
      <c r="S4" s="28"/>
      <c r="T4" s="28"/>
      <c r="U4" s="28"/>
      <c r="V4" s="28"/>
      <c r="W4" s="28"/>
      <c r="X4" s="28"/>
      <c r="Y4" s="28"/>
      <c r="Z4" s="28"/>
      <c r="AA4" s="28"/>
    </row>
    <row r="5" spans="1:27">
      <c r="A5" s="38"/>
      <c r="B5" s="45" t="s">
        <v>93</v>
      </c>
      <c r="C5" s="46">
        <v>1750905</v>
      </c>
      <c r="D5" s="47">
        <v>30</v>
      </c>
      <c r="E5" s="48">
        <f>C5*ParaFiscales!$C$21</f>
        <v>70036.2</v>
      </c>
      <c r="F5" s="49">
        <f>C5*ParaFiscales!$C$20</f>
        <v>148826.92500000002</v>
      </c>
      <c r="G5" s="49">
        <f t="shared" ref="G5:G16" si="0">SUM(E5:F5)</f>
        <v>218863.125</v>
      </c>
      <c r="H5" s="49">
        <f>C5*ParaFiscales!$C$24</f>
        <v>70036.2</v>
      </c>
      <c r="I5" s="49">
        <f>C5*ParaFiscales!$C$23</f>
        <v>210108.6</v>
      </c>
      <c r="J5" s="49">
        <f t="shared" ref="J5:J16" si="1">SUM(H5:I5)</f>
        <v>280144.8</v>
      </c>
      <c r="K5" s="46">
        <v>249095</v>
      </c>
      <c r="L5" s="50">
        <f t="shared" ref="L5:L17" si="2">C5-E5-H5+K5</f>
        <v>1859927.6</v>
      </c>
      <c r="M5" s="49">
        <f t="shared" ref="M5:M12" si="3">C5+K5</f>
        <v>2000000</v>
      </c>
      <c r="N5" s="51">
        <f t="shared" ref="N5:N16" si="4">C5*12</f>
        <v>21010860</v>
      </c>
      <c r="O5" s="51">
        <v>10489.51</v>
      </c>
      <c r="P5" s="51">
        <v>10219.379999999999</v>
      </c>
      <c r="Q5" s="28"/>
      <c r="R5" s="28"/>
      <c r="S5" s="28"/>
      <c r="T5" s="28"/>
      <c r="U5" s="28"/>
      <c r="V5" s="28"/>
      <c r="W5" s="28"/>
      <c r="X5" s="28"/>
      <c r="Y5" s="28"/>
      <c r="Z5" s="28"/>
      <c r="AA5" s="28"/>
    </row>
    <row r="6" spans="1:27">
      <c r="A6" s="38"/>
      <c r="B6" s="52" t="s">
        <v>94</v>
      </c>
      <c r="C6" s="53">
        <v>2000000</v>
      </c>
      <c r="D6" s="54">
        <v>30</v>
      </c>
      <c r="E6" s="55">
        <f>C6*ParaFiscales!$C$21</f>
        <v>80000</v>
      </c>
      <c r="F6" s="56">
        <f>C6*ParaFiscales!$C$20</f>
        <v>170000</v>
      </c>
      <c r="G6" s="56">
        <f t="shared" si="0"/>
        <v>250000</v>
      </c>
      <c r="H6" s="56">
        <f>C6*ParaFiscales!$C$24</f>
        <v>80000</v>
      </c>
      <c r="I6" s="56">
        <f>C6*ParaFiscales!$C$23</f>
        <v>240000</v>
      </c>
      <c r="J6" s="56">
        <f t="shared" si="1"/>
        <v>320000</v>
      </c>
      <c r="K6" s="46">
        <v>249095</v>
      </c>
      <c r="L6" s="50">
        <f t="shared" si="2"/>
        <v>2089095</v>
      </c>
      <c r="M6" s="49">
        <f t="shared" si="3"/>
        <v>2249095</v>
      </c>
      <c r="N6" s="51">
        <f t="shared" si="4"/>
        <v>24000000</v>
      </c>
      <c r="O6" s="51">
        <v>11795.95</v>
      </c>
      <c r="P6" s="51">
        <v>11478.54</v>
      </c>
      <c r="Q6" s="28"/>
      <c r="R6" s="28"/>
      <c r="S6" s="28"/>
      <c r="T6" s="28"/>
      <c r="U6" s="28"/>
      <c r="V6" s="28"/>
      <c r="W6" s="28"/>
      <c r="X6" s="28"/>
      <c r="Y6" s="28"/>
      <c r="Z6" s="28"/>
      <c r="AA6" s="28"/>
    </row>
    <row r="7" spans="1:27">
      <c r="A7" s="38"/>
      <c r="B7" s="52" t="s">
        <v>95</v>
      </c>
      <c r="C7" s="53">
        <v>2900000</v>
      </c>
      <c r="D7" s="54">
        <v>30</v>
      </c>
      <c r="E7" s="55">
        <f>C7*ParaFiscales!$C$21</f>
        <v>116000</v>
      </c>
      <c r="F7" s="56">
        <f>C7*ParaFiscales!$C$20</f>
        <v>246500.00000000003</v>
      </c>
      <c r="G7" s="56">
        <f t="shared" si="0"/>
        <v>362500</v>
      </c>
      <c r="H7" s="56">
        <f>C7*ParaFiscales!$C$24</f>
        <v>116000</v>
      </c>
      <c r="I7" s="56">
        <f>C7*ParaFiscales!$C$23</f>
        <v>348000</v>
      </c>
      <c r="J7" s="56">
        <f t="shared" si="1"/>
        <v>464000</v>
      </c>
      <c r="K7" s="46">
        <v>249095</v>
      </c>
      <c r="L7" s="50">
        <f t="shared" si="2"/>
        <v>2917095</v>
      </c>
      <c r="M7" s="49">
        <f t="shared" si="3"/>
        <v>3149095</v>
      </c>
      <c r="N7" s="51">
        <f t="shared" si="4"/>
        <v>34800000</v>
      </c>
      <c r="O7" s="51">
        <v>16516.23</v>
      </c>
      <c r="P7" s="51">
        <v>16027.99</v>
      </c>
      <c r="Q7" s="28"/>
      <c r="R7" s="28"/>
      <c r="S7" s="28"/>
      <c r="T7" s="28"/>
      <c r="U7" s="28"/>
      <c r="V7" s="28"/>
      <c r="W7" s="28"/>
      <c r="X7" s="28"/>
      <c r="Y7" s="28"/>
      <c r="Z7" s="28"/>
      <c r="AA7" s="28"/>
    </row>
    <row r="8" spans="1:27">
      <c r="A8" s="38"/>
      <c r="B8" s="52" t="s">
        <v>96</v>
      </c>
      <c r="C8" s="53">
        <v>6000000</v>
      </c>
      <c r="D8" s="54">
        <v>30</v>
      </c>
      <c r="E8" s="55">
        <f>C8*ParaFiscales!$C$21</f>
        <v>240000</v>
      </c>
      <c r="F8" s="56">
        <f>C8*ParaFiscales!$C$20</f>
        <v>510000.00000000006</v>
      </c>
      <c r="G8" s="56">
        <f t="shared" si="0"/>
        <v>750000</v>
      </c>
      <c r="H8" s="56">
        <f>C8*ParaFiscales!$C$24</f>
        <v>240000</v>
      </c>
      <c r="I8" s="56">
        <f>C8*ParaFiscales!$C$23</f>
        <v>720000</v>
      </c>
      <c r="J8" s="56">
        <f t="shared" si="1"/>
        <v>960000</v>
      </c>
      <c r="K8" s="57"/>
      <c r="L8" s="50">
        <f t="shared" si="2"/>
        <v>5520000</v>
      </c>
      <c r="M8" s="49">
        <f t="shared" si="3"/>
        <v>6000000</v>
      </c>
      <c r="N8" s="51">
        <f t="shared" si="4"/>
        <v>72000000</v>
      </c>
      <c r="O8" s="51">
        <v>31468.53</v>
      </c>
      <c r="P8" s="51">
        <v>30329.67</v>
      </c>
      <c r="Q8" s="28"/>
      <c r="R8" s="28"/>
      <c r="S8" s="28"/>
      <c r="T8" s="28"/>
      <c r="U8" s="28"/>
      <c r="V8" s="28"/>
      <c r="W8" s="28"/>
      <c r="X8" s="28"/>
      <c r="Y8" s="28"/>
      <c r="Z8" s="28"/>
      <c r="AA8" s="28"/>
    </row>
    <row r="9" spans="1:27">
      <c r="A9" s="38"/>
      <c r="B9" s="52" t="s">
        <v>97</v>
      </c>
      <c r="C9" s="53">
        <v>9000000</v>
      </c>
      <c r="D9" s="54">
        <v>30</v>
      </c>
      <c r="E9" s="55">
        <f>C9*ParaFiscales!$C$21</f>
        <v>360000</v>
      </c>
      <c r="F9" s="56">
        <f>C9*ParaFiscales!$C$20</f>
        <v>765000</v>
      </c>
      <c r="G9" s="56">
        <f t="shared" si="0"/>
        <v>1125000</v>
      </c>
      <c r="H9" s="56">
        <f>C9*ParaFiscales!$C$24</f>
        <v>360000</v>
      </c>
      <c r="I9" s="56">
        <f>C9*ParaFiscales!$C$23</f>
        <v>1080000</v>
      </c>
      <c r="J9" s="56">
        <f t="shared" si="1"/>
        <v>1440000</v>
      </c>
      <c r="K9" s="57"/>
      <c r="L9" s="50">
        <f t="shared" si="2"/>
        <v>8280000</v>
      </c>
      <c r="M9" s="49">
        <f t="shared" si="3"/>
        <v>9000000</v>
      </c>
      <c r="N9" s="51">
        <f t="shared" si="4"/>
        <v>108000000</v>
      </c>
      <c r="O9" s="51">
        <v>47202.8</v>
      </c>
      <c r="P9" s="51">
        <v>45494.51</v>
      </c>
      <c r="Q9" s="28"/>
      <c r="R9" s="28"/>
      <c r="S9" s="28"/>
      <c r="T9" s="28"/>
      <c r="U9" s="28"/>
      <c r="V9" s="28"/>
      <c r="W9" s="28"/>
      <c r="X9" s="28"/>
      <c r="Y9" s="28"/>
      <c r="Z9" s="28"/>
      <c r="AA9" s="28"/>
    </row>
    <row r="10" spans="1:27">
      <c r="A10" s="38"/>
      <c r="B10" s="52" t="s">
        <v>98</v>
      </c>
      <c r="C10" s="46">
        <v>1750905</v>
      </c>
      <c r="D10" s="54">
        <v>30</v>
      </c>
      <c r="E10" s="55">
        <f>C10*ParaFiscales!$C$21</f>
        <v>70036.2</v>
      </c>
      <c r="F10" s="56">
        <f>C10*ParaFiscales!$C$20</f>
        <v>148826.92500000002</v>
      </c>
      <c r="G10" s="56">
        <f t="shared" si="0"/>
        <v>218863.125</v>
      </c>
      <c r="H10" s="56">
        <f>C10*ParaFiscales!$C$24</f>
        <v>70036.2</v>
      </c>
      <c r="I10" s="56">
        <f>C10*ParaFiscales!$C$23</f>
        <v>210108.6</v>
      </c>
      <c r="J10" s="56">
        <f t="shared" si="1"/>
        <v>280144.8</v>
      </c>
      <c r="K10" s="46">
        <v>249095</v>
      </c>
      <c r="L10" s="50">
        <f t="shared" si="2"/>
        <v>1859927.6</v>
      </c>
      <c r="M10" s="49">
        <f t="shared" si="3"/>
        <v>2000000</v>
      </c>
      <c r="N10" s="51">
        <f t="shared" si="4"/>
        <v>21010860</v>
      </c>
      <c r="O10" s="51">
        <v>10489.51</v>
      </c>
      <c r="P10" s="51">
        <v>10219.379999999999</v>
      </c>
      <c r="Q10" s="28"/>
      <c r="R10" s="28"/>
      <c r="S10" s="28"/>
      <c r="T10" s="28"/>
      <c r="U10" s="28"/>
      <c r="V10" s="28"/>
      <c r="W10" s="28"/>
      <c r="X10" s="28"/>
      <c r="Y10" s="28"/>
      <c r="Z10" s="28"/>
      <c r="AA10" s="28"/>
    </row>
    <row r="11" spans="1:27">
      <c r="A11" s="38"/>
      <c r="B11" s="52" t="s">
        <v>99</v>
      </c>
      <c r="C11" s="57">
        <v>2000000</v>
      </c>
      <c r="D11" s="54">
        <v>30</v>
      </c>
      <c r="E11" s="55">
        <f>C11*ParaFiscales!$C$21</f>
        <v>80000</v>
      </c>
      <c r="F11" s="56">
        <f>C11*ParaFiscales!$C$20</f>
        <v>170000</v>
      </c>
      <c r="G11" s="56">
        <f t="shared" si="0"/>
        <v>250000</v>
      </c>
      <c r="H11" s="56">
        <f>C11*ParaFiscales!$C$24</f>
        <v>80000</v>
      </c>
      <c r="I11" s="56">
        <f>C11*ParaFiscales!$C$23</f>
        <v>240000</v>
      </c>
      <c r="J11" s="56">
        <f t="shared" si="1"/>
        <v>320000</v>
      </c>
      <c r="K11" s="46">
        <v>249095</v>
      </c>
      <c r="L11" s="50">
        <f t="shared" si="2"/>
        <v>2089095</v>
      </c>
      <c r="M11" s="49">
        <f t="shared" si="3"/>
        <v>2249095</v>
      </c>
      <c r="N11" s="51">
        <f t="shared" si="4"/>
        <v>24000000</v>
      </c>
      <c r="O11" s="51">
        <v>11795.95</v>
      </c>
      <c r="P11" s="51">
        <v>11478.54</v>
      </c>
      <c r="Q11" s="28"/>
      <c r="R11" s="28"/>
      <c r="S11" s="28"/>
      <c r="T11" s="28"/>
      <c r="U11" s="28"/>
      <c r="V11" s="28"/>
      <c r="W11" s="28"/>
      <c r="X11" s="28"/>
      <c r="Y11" s="28"/>
      <c r="Z11" s="28"/>
      <c r="AA11" s="28"/>
    </row>
    <row r="12" spans="1:27">
      <c r="A12" s="38"/>
      <c r="B12" s="52" t="s">
        <v>100</v>
      </c>
      <c r="C12" s="57">
        <v>2500000</v>
      </c>
      <c r="D12" s="54">
        <v>30</v>
      </c>
      <c r="E12" s="55">
        <f>C12*ParaFiscales!$C$21</f>
        <v>100000</v>
      </c>
      <c r="F12" s="56">
        <f>C12*ParaFiscales!$C$20</f>
        <v>212500.00000000003</v>
      </c>
      <c r="G12" s="56">
        <f t="shared" si="0"/>
        <v>312500</v>
      </c>
      <c r="H12" s="56">
        <f>C12*ParaFiscales!$C$24</f>
        <v>100000</v>
      </c>
      <c r="I12" s="56">
        <f>C12*ParaFiscales!$C$23</f>
        <v>300000</v>
      </c>
      <c r="J12" s="56">
        <f t="shared" si="1"/>
        <v>400000</v>
      </c>
      <c r="K12" s="46">
        <v>249095</v>
      </c>
      <c r="L12" s="50">
        <f t="shared" si="2"/>
        <v>2549095</v>
      </c>
      <c r="M12" s="49">
        <f t="shared" si="3"/>
        <v>2749095</v>
      </c>
      <c r="N12" s="51">
        <f t="shared" si="4"/>
        <v>30000000</v>
      </c>
      <c r="O12" s="51">
        <v>15104.92</v>
      </c>
      <c r="P12" s="51">
        <v>14006.02</v>
      </c>
      <c r="Q12" s="28"/>
      <c r="R12" s="28"/>
      <c r="S12" s="28"/>
      <c r="T12" s="28"/>
      <c r="U12" s="28"/>
      <c r="V12" s="28"/>
      <c r="W12" s="28"/>
      <c r="X12" s="28"/>
      <c r="Y12" s="28"/>
      <c r="Z12" s="28"/>
      <c r="AA12" s="28"/>
    </row>
    <row r="13" spans="1:27">
      <c r="A13" s="38"/>
      <c r="B13" s="52"/>
      <c r="C13" s="57"/>
      <c r="D13" s="58"/>
      <c r="E13" s="55">
        <f>C13*ParaFiscales!$C$21</f>
        <v>0</v>
      </c>
      <c r="F13" s="56">
        <f>C13*ParaFiscales!$C$20</f>
        <v>0</v>
      </c>
      <c r="G13" s="56">
        <f t="shared" si="0"/>
        <v>0</v>
      </c>
      <c r="H13" s="56">
        <f>C13*ParaFiscales!$C$24</f>
        <v>0</v>
      </c>
      <c r="I13" s="56">
        <f>C13*ParaFiscales!$C$23</f>
        <v>0</v>
      </c>
      <c r="J13" s="56">
        <f t="shared" si="1"/>
        <v>0</v>
      </c>
      <c r="K13" s="57"/>
      <c r="L13" s="50">
        <f t="shared" si="2"/>
        <v>0</v>
      </c>
      <c r="M13" s="56">
        <f t="shared" ref="M13:M16" si="5">(C13-E13-H13+K13)</f>
        <v>0</v>
      </c>
      <c r="N13" s="51">
        <f t="shared" si="4"/>
        <v>0</v>
      </c>
      <c r="O13" s="51">
        <f t="shared" ref="O13:P13" si="6">D13*12</f>
        <v>0</v>
      </c>
      <c r="P13" s="51">
        <f t="shared" si="6"/>
        <v>0</v>
      </c>
      <c r="Q13" s="28"/>
      <c r="R13" s="28"/>
      <c r="S13" s="28"/>
      <c r="T13" s="28"/>
      <c r="U13" s="28"/>
      <c r="V13" s="28"/>
      <c r="W13" s="28"/>
      <c r="X13" s="28"/>
      <c r="Y13" s="28"/>
      <c r="Z13" s="28"/>
      <c r="AA13" s="28"/>
    </row>
    <row r="14" spans="1:27">
      <c r="A14" s="38"/>
      <c r="B14" s="52"/>
      <c r="C14" s="57"/>
      <c r="D14" s="58"/>
      <c r="E14" s="55">
        <f>C14*ParaFiscales!$C$21</f>
        <v>0</v>
      </c>
      <c r="F14" s="56">
        <f>C14*ParaFiscales!$C$20</f>
        <v>0</v>
      </c>
      <c r="G14" s="56">
        <f t="shared" si="0"/>
        <v>0</v>
      </c>
      <c r="H14" s="56">
        <f>C14*ParaFiscales!$C$24</f>
        <v>0</v>
      </c>
      <c r="I14" s="56">
        <f>C14*ParaFiscales!$C$23</f>
        <v>0</v>
      </c>
      <c r="J14" s="56">
        <f t="shared" si="1"/>
        <v>0</v>
      </c>
      <c r="K14" s="57"/>
      <c r="L14" s="50">
        <f t="shared" si="2"/>
        <v>0</v>
      </c>
      <c r="M14" s="56">
        <f t="shared" si="5"/>
        <v>0</v>
      </c>
      <c r="N14" s="51">
        <f t="shared" si="4"/>
        <v>0</v>
      </c>
      <c r="O14" s="51">
        <f t="shared" ref="O14:P14" si="7">D14*12</f>
        <v>0</v>
      </c>
      <c r="P14" s="51">
        <f t="shared" si="7"/>
        <v>0</v>
      </c>
      <c r="Q14" s="28"/>
      <c r="R14" s="28"/>
      <c r="S14" s="28"/>
      <c r="T14" s="28"/>
      <c r="U14" s="28"/>
      <c r="V14" s="28"/>
      <c r="W14" s="28"/>
      <c r="X14" s="28"/>
      <c r="Y14" s="28"/>
      <c r="Z14" s="28"/>
      <c r="AA14" s="28"/>
    </row>
    <row r="15" spans="1:27">
      <c r="A15" s="38"/>
      <c r="B15" s="52"/>
      <c r="C15" s="57"/>
      <c r="D15" s="58"/>
      <c r="E15" s="55">
        <f>C15*ParaFiscales!$C$21</f>
        <v>0</v>
      </c>
      <c r="F15" s="56">
        <f>C15*ParaFiscales!$C$20</f>
        <v>0</v>
      </c>
      <c r="G15" s="56">
        <f t="shared" si="0"/>
        <v>0</v>
      </c>
      <c r="H15" s="56">
        <f>C15*ParaFiscales!$C$24</f>
        <v>0</v>
      </c>
      <c r="I15" s="56">
        <f>C15*ParaFiscales!$C$23</f>
        <v>0</v>
      </c>
      <c r="J15" s="56">
        <f t="shared" si="1"/>
        <v>0</v>
      </c>
      <c r="K15" s="57"/>
      <c r="L15" s="50">
        <f t="shared" si="2"/>
        <v>0</v>
      </c>
      <c r="M15" s="56">
        <f t="shared" si="5"/>
        <v>0</v>
      </c>
      <c r="N15" s="51">
        <f t="shared" si="4"/>
        <v>0</v>
      </c>
      <c r="O15" s="51">
        <f t="shared" ref="O15:P15" si="8">D15*12</f>
        <v>0</v>
      </c>
      <c r="P15" s="51">
        <f t="shared" si="8"/>
        <v>0</v>
      </c>
      <c r="Q15" s="28"/>
      <c r="R15" s="28"/>
      <c r="S15" s="28"/>
      <c r="T15" s="28"/>
      <c r="U15" s="28"/>
      <c r="V15" s="28"/>
      <c r="W15" s="28"/>
      <c r="X15" s="28"/>
      <c r="Y15" s="28"/>
      <c r="Z15" s="28"/>
      <c r="AA15" s="28"/>
    </row>
    <row r="16" spans="1:27">
      <c r="A16" s="38"/>
      <c r="B16" s="59"/>
      <c r="C16" s="60"/>
      <c r="D16" s="61"/>
      <c r="E16" s="55">
        <f>C16*ParaFiscales!$C$21</f>
        <v>0</v>
      </c>
      <c r="F16" s="56">
        <f>C16*ParaFiscales!$C$20</f>
        <v>0</v>
      </c>
      <c r="G16" s="56">
        <f t="shared" si="0"/>
        <v>0</v>
      </c>
      <c r="H16" s="56">
        <f>C16*ParaFiscales!$C$24</f>
        <v>0</v>
      </c>
      <c r="I16" s="56">
        <f>C16*ParaFiscales!$C$23</f>
        <v>0</v>
      </c>
      <c r="J16" s="56">
        <f t="shared" si="1"/>
        <v>0</v>
      </c>
      <c r="K16" s="60"/>
      <c r="L16" s="50">
        <f t="shared" si="2"/>
        <v>0</v>
      </c>
      <c r="M16" s="56">
        <f t="shared" si="5"/>
        <v>0</v>
      </c>
      <c r="N16" s="51">
        <f t="shared" si="4"/>
        <v>0</v>
      </c>
      <c r="O16" s="51">
        <f t="shared" ref="O16:P16" si="9">D16*12</f>
        <v>0</v>
      </c>
      <c r="P16" s="51">
        <f t="shared" si="9"/>
        <v>0</v>
      </c>
      <c r="Q16" s="28"/>
      <c r="R16" s="28"/>
      <c r="S16" s="28"/>
      <c r="T16" s="28"/>
      <c r="U16" s="28"/>
      <c r="V16" s="28"/>
      <c r="W16" s="28"/>
      <c r="X16" s="28"/>
      <c r="Y16" s="28"/>
      <c r="Z16" s="28"/>
      <c r="AA16" s="28"/>
    </row>
    <row r="17" spans="1:27">
      <c r="A17" s="38"/>
      <c r="B17" s="62" t="s">
        <v>101</v>
      </c>
      <c r="C17" s="63">
        <f>SUM(C5:C16)</f>
        <v>27901810</v>
      </c>
      <c r="D17" s="64"/>
      <c r="E17" s="63">
        <f t="shared" ref="E17:K17" si="10">SUM(E5:E16)</f>
        <v>1116072.3999999999</v>
      </c>
      <c r="F17" s="63">
        <f t="shared" si="10"/>
        <v>2371653.85</v>
      </c>
      <c r="G17" s="63">
        <f t="shared" si="10"/>
        <v>3487726.25</v>
      </c>
      <c r="H17" s="63">
        <f t="shared" si="10"/>
        <v>1116072.3999999999</v>
      </c>
      <c r="I17" s="63">
        <f t="shared" si="10"/>
        <v>3348217.2</v>
      </c>
      <c r="J17" s="63">
        <f t="shared" si="10"/>
        <v>4464289.5999999996</v>
      </c>
      <c r="K17" s="63">
        <f t="shared" si="10"/>
        <v>1494570</v>
      </c>
      <c r="L17" s="65">
        <f t="shared" si="2"/>
        <v>27164235.200000003</v>
      </c>
      <c r="M17" s="66">
        <f t="shared" ref="M17:P17" si="11">SUM(M5:M16)</f>
        <v>29396380</v>
      </c>
      <c r="N17" s="63">
        <f t="shared" si="11"/>
        <v>334821720</v>
      </c>
      <c r="O17" s="63">
        <f t="shared" si="11"/>
        <v>154863.40000000002</v>
      </c>
      <c r="P17" s="63">
        <f t="shared" si="11"/>
        <v>149254.03</v>
      </c>
      <c r="Q17" s="28"/>
      <c r="R17" s="28"/>
      <c r="S17" s="28"/>
      <c r="T17" s="28"/>
      <c r="U17" s="28"/>
      <c r="V17" s="28"/>
      <c r="W17" s="28"/>
      <c r="X17" s="28"/>
      <c r="Y17" s="28"/>
      <c r="Z17" s="28"/>
      <c r="AA17" s="28"/>
    </row>
    <row r="18" spans="1:27">
      <c r="A18" s="38"/>
      <c r="B18" s="38"/>
      <c r="C18" s="67"/>
      <c r="D18" s="38"/>
      <c r="E18" s="67"/>
      <c r="F18" s="67"/>
      <c r="G18" s="67"/>
      <c r="H18" s="67"/>
      <c r="I18" s="67"/>
      <c r="J18" s="67"/>
      <c r="K18" s="67"/>
      <c r="L18" s="67"/>
      <c r="M18" s="67"/>
      <c r="N18" s="38"/>
      <c r="O18" s="38"/>
      <c r="P18" s="28"/>
      <c r="Q18" s="28"/>
      <c r="R18" s="28"/>
      <c r="S18" s="28"/>
      <c r="T18" s="28"/>
      <c r="U18" s="28"/>
      <c r="V18" s="28"/>
      <c r="W18" s="28"/>
      <c r="X18" s="28"/>
      <c r="Y18" s="28"/>
      <c r="Z18" s="28"/>
      <c r="AA18" s="28"/>
    </row>
    <row r="19" spans="1:27">
      <c r="A19" s="38"/>
      <c r="B19" s="38"/>
      <c r="C19" s="38"/>
      <c r="D19" s="38"/>
      <c r="E19" s="38"/>
      <c r="F19" s="38"/>
      <c r="G19" s="38"/>
      <c r="H19" s="38"/>
      <c r="I19" s="38"/>
      <c r="J19" s="38"/>
      <c r="K19" s="38"/>
      <c r="L19" s="38"/>
      <c r="M19" s="38"/>
      <c r="N19" s="38"/>
      <c r="O19" s="38"/>
      <c r="P19" s="28"/>
      <c r="Q19" s="28"/>
      <c r="R19" s="28"/>
      <c r="S19" s="28"/>
      <c r="T19" s="28"/>
      <c r="U19" s="28"/>
      <c r="V19" s="28"/>
      <c r="W19" s="28"/>
      <c r="X19" s="28"/>
      <c r="Y19" s="28"/>
      <c r="Z19" s="28"/>
      <c r="AA19" s="28"/>
    </row>
    <row r="20" spans="1:27">
      <c r="A20" s="38"/>
      <c r="B20" s="300" t="s">
        <v>102</v>
      </c>
      <c r="C20" s="302"/>
      <c r="D20" s="38"/>
      <c r="E20" s="300" t="s">
        <v>103</v>
      </c>
      <c r="F20" s="302"/>
      <c r="G20" s="38"/>
      <c r="H20" s="300" t="s">
        <v>104</v>
      </c>
      <c r="I20" s="302"/>
      <c r="J20" s="38"/>
      <c r="K20" s="38"/>
      <c r="L20" s="38"/>
      <c r="M20" s="38"/>
      <c r="N20" s="38"/>
      <c r="O20" s="38"/>
      <c r="P20" s="28"/>
      <c r="Q20" s="28"/>
      <c r="R20" s="28"/>
      <c r="S20" s="28"/>
      <c r="T20" s="28"/>
      <c r="U20" s="28"/>
      <c r="V20" s="28"/>
      <c r="W20" s="28"/>
      <c r="X20" s="28"/>
      <c r="Y20" s="28"/>
      <c r="Z20" s="28"/>
      <c r="AA20" s="28"/>
    </row>
    <row r="21" spans="1:27">
      <c r="A21" s="38"/>
      <c r="B21" s="68" t="s">
        <v>105</v>
      </c>
      <c r="C21" s="69">
        <f>$C$5*ParaFiscales!C8</f>
        <v>35018.1</v>
      </c>
      <c r="D21" s="38"/>
      <c r="E21" s="68" t="s">
        <v>105</v>
      </c>
      <c r="F21" s="69">
        <f>$C$6*ParaFiscales!$C$8</f>
        <v>40000</v>
      </c>
      <c r="G21" s="38"/>
      <c r="H21" s="68" t="s">
        <v>105</v>
      </c>
      <c r="I21" s="69">
        <f>$C$7*ParaFiscales!$C$8</f>
        <v>58000</v>
      </c>
      <c r="J21" s="38"/>
      <c r="K21" s="38"/>
      <c r="L21" s="38"/>
      <c r="M21" s="38"/>
      <c r="N21" s="38"/>
      <c r="O21" s="38"/>
      <c r="P21" s="28"/>
      <c r="Q21" s="28"/>
      <c r="R21" s="28"/>
      <c r="S21" s="28"/>
      <c r="T21" s="28"/>
      <c r="U21" s="28"/>
      <c r="V21" s="28"/>
      <c r="W21" s="28"/>
      <c r="X21" s="28"/>
      <c r="Y21" s="28"/>
      <c r="Z21" s="28"/>
      <c r="AA21" s="28"/>
    </row>
    <row r="22" spans="1:27">
      <c r="A22" s="38"/>
      <c r="B22" s="70" t="s">
        <v>106</v>
      </c>
      <c r="C22" s="69">
        <f>$C$5*ParaFiscales!C9</f>
        <v>52527.15</v>
      </c>
      <c r="D22" s="38"/>
      <c r="E22" s="70" t="s">
        <v>106</v>
      </c>
      <c r="F22" s="69">
        <f>$C$6*ParaFiscales!$C$9</f>
        <v>60000</v>
      </c>
      <c r="G22" s="38"/>
      <c r="H22" s="70" t="s">
        <v>106</v>
      </c>
      <c r="I22" s="69">
        <f>$C$7*ParaFiscales!$C$9</f>
        <v>87000</v>
      </c>
      <c r="J22" s="38"/>
      <c r="K22" s="38"/>
      <c r="L22" s="38"/>
      <c r="M22" s="38"/>
      <c r="N22" s="38"/>
      <c r="O22" s="38"/>
      <c r="P22" s="28"/>
      <c r="Q22" s="28"/>
      <c r="R22" s="28"/>
      <c r="S22" s="28"/>
      <c r="T22" s="28"/>
      <c r="U22" s="28"/>
      <c r="V22" s="28"/>
      <c r="W22" s="28"/>
      <c r="X22" s="28"/>
      <c r="Y22" s="28"/>
      <c r="Z22" s="28"/>
      <c r="AA22" s="28"/>
    </row>
    <row r="23" spans="1:27">
      <c r="A23" s="38"/>
      <c r="B23" s="71" t="s">
        <v>107</v>
      </c>
      <c r="C23" s="69">
        <f>$C$5*ParaFiscales!C10</f>
        <v>70036.2</v>
      </c>
      <c r="D23" s="38"/>
      <c r="E23" s="71" t="s">
        <v>107</v>
      </c>
      <c r="F23" s="69">
        <f>$C$6*ParaFiscales!$C$10</f>
        <v>80000</v>
      </c>
      <c r="G23" s="38"/>
      <c r="H23" s="71" t="s">
        <v>107</v>
      </c>
      <c r="I23" s="69">
        <f>$C$7*ParaFiscales!$C$10</f>
        <v>116000</v>
      </c>
      <c r="J23" s="38"/>
      <c r="K23" s="38"/>
      <c r="L23" s="38"/>
      <c r="M23" s="38"/>
      <c r="N23" s="38"/>
      <c r="O23" s="38"/>
      <c r="P23" s="28"/>
      <c r="Q23" s="28"/>
      <c r="R23" s="28"/>
      <c r="S23" s="28"/>
      <c r="T23" s="28"/>
      <c r="U23" s="28"/>
      <c r="V23" s="28"/>
      <c r="W23" s="28"/>
      <c r="X23" s="28"/>
      <c r="Y23" s="28"/>
      <c r="Z23" s="28"/>
      <c r="AA23" s="28"/>
    </row>
    <row r="24" spans="1:27">
      <c r="A24" s="38"/>
      <c r="B24" s="72" t="s">
        <v>92</v>
      </c>
      <c r="C24" s="73">
        <f>SUM(C21:C23)</f>
        <v>157581.45000000001</v>
      </c>
      <c r="D24" s="38"/>
      <c r="E24" s="72" t="s">
        <v>92</v>
      </c>
      <c r="F24" s="73">
        <f>SUM(F21:F23)</f>
        <v>180000</v>
      </c>
      <c r="G24" s="38"/>
      <c r="H24" s="72" t="s">
        <v>92</v>
      </c>
      <c r="I24" s="73">
        <f>SUM(I21:I23)</f>
        <v>261000</v>
      </c>
      <c r="J24" s="38"/>
      <c r="K24" s="38"/>
      <c r="L24" s="38"/>
      <c r="M24" s="38"/>
      <c r="N24" s="38"/>
      <c r="O24" s="38"/>
      <c r="P24" s="28"/>
      <c r="Q24" s="28"/>
      <c r="R24" s="28"/>
      <c r="S24" s="28"/>
      <c r="T24" s="28"/>
      <c r="U24" s="28"/>
      <c r="V24" s="28"/>
      <c r="W24" s="28"/>
      <c r="X24" s="28"/>
      <c r="Y24" s="28"/>
      <c r="Z24" s="28"/>
      <c r="AA24" s="28"/>
    </row>
    <row r="25" spans="1:27">
      <c r="A25" s="38"/>
      <c r="B25" s="306" t="s">
        <v>108</v>
      </c>
      <c r="C25" s="307"/>
      <c r="D25" s="38"/>
      <c r="E25" s="306" t="s">
        <v>108</v>
      </c>
      <c r="F25" s="307"/>
      <c r="G25" s="38"/>
      <c r="H25" s="306" t="s">
        <v>108</v>
      </c>
      <c r="I25" s="307"/>
      <c r="J25" s="38"/>
      <c r="K25" s="38"/>
      <c r="L25" s="38"/>
      <c r="M25" s="38"/>
      <c r="N25" s="38"/>
      <c r="O25" s="38"/>
      <c r="P25" s="28"/>
      <c r="Q25" s="28"/>
      <c r="R25" s="28"/>
      <c r="S25" s="28"/>
      <c r="T25" s="28"/>
      <c r="U25" s="28"/>
      <c r="V25" s="28"/>
      <c r="W25" s="28"/>
      <c r="X25" s="28"/>
      <c r="Y25" s="28"/>
      <c r="Z25" s="28"/>
      <c r="AA25" s="28"/>
    </row>
    <row r="26" spans="1:27">
      <c r="A26" s="38"/>
      <c r="B26" s="74" t="s">
        <v>109</v>
      </c>
      <c r="C26" s="75">
        <f>$C$5*ParaFiscales!C13</f>
        <v>145850.38649999999</v>
      </c>
      <c r="D26" s="38"/>
      <c r="E26" s="74" t="s">
        <v>109</v>
      </c>
      <c r="F26" s="75">
        <f>$C$6*ParaFiscales!$C$13</f>
        <v>166600</v>
      </c>
      <c r="G26" s="38"/>
      <c r="H26" s="74" t="s">
        <v>109</v>
      </c>
      <c r="I26" s="75">
        <f>$C$7*ParaFiscales!$C$13</f>
        <v>241570</v>
      </c>
      <c r="J26" s="38"/>
      <c r="K26" s="38"/>
      <c r="L26" s="38"/>
      <c r="M26" s="38"/>
      <c r="N26" s="38"/>
      <c r="O26" s="38"/>
      <c r="P26" s="28"/>
      <c r="Q26" s="28"/>
      <c r="R26" s="28"/>
      <c r="S26" s="28"/>
      <c r="T26" s="28"/>
      <c r="U26" s="28"/>
      <c r="V26" s="28"/>
      <c r="W26" s="28"/>
      <c r="X26" s="28"/>
      <c r="Y26" s="28"/>
      <c r="Z26" s="28"/>
      <c r="AA26" s="28"/>
    </row>
    <row r="27" spans="1:27">
      <c r="A27" s="38"/>
      <c r="B27" s="76" t="s">
        <v>110</v>
      </c>
      <c r="C27" s="75">
        <f>$C$5*ParaFiscales!C14</f>
        <v>17509.05</v>
      </c>
      <c r="D27" s="38"/>
      <c r="E27" s="76" t="s">
        <v>110</v>
      </c>
      <c r="F27" s="75">
        <f>$C$6*ParaFiscales!$C$14</f>
        <v>20000</v>
      </c>
      <c r="G27" s="38"/>
      <c r="H27" s="76" t="s">
        <v>110</v>
      </c>
      <c r="I27" s="75">
        <f>$C$7*ParaFiscales!$C$14</f>
        <v>29000</v>
      </c>
      <c r="J27" s="38"/>
      <c r="K27" s="38"/>
      <c r="L27" s="38"/>
      <c r="M27" s="38"/>
      <c r="N27" s="38"/>
      <c r="O27" s="38"/>
      <c r="P27" s="28"/>
      <c r="Q27" s="28"/>
      <c r="R27" s="28"/>
      <c r="S27" s="28"/>
      <c r="T27" s="28"/>
      <c r="U27" s="28"/>
      <c r="V27" s="28"/>
      <c r="W27" s="28"/>
      <c r="X27" s="28"/>
      <c r="Y27" s="28"/>
      <c r="Z27" s="28"/>
      <c r="AA27" s="28"/>
    </row>
    <row r="28" spans="1:27">
      <c r="A28" s="38"/>
      <c r="B28" s="76" t="s">
        <v>111</v>
      </c>
      <c r="C28" s="75">
        <f>$C$5*ParaFiscales!C15</f>
        <v>145850.38649999999</v>
      </c>
      <c r="D28" s="38"/>
      <c r="E28" s="76" t="s">
        <v>111</v>
      </c>
      <c r="F28" s="75">
        <f>$C$6*ParaFiscales!$C$15</f>
        <v>166600</v>
      </c>
      <c r="G28" s="38"/>
      <c r="H28" s="76" t="s">
        <v>111</v>
      </c>
      <c r="I28" s="75">
        <f>$C$7*ParaFiscales!$C$15</f>
        <v>241570</v>
      </c>
      <c r="J28" s="38"/>
      <c r="K28" s="38"/>
      <c r="L28" s="38"/>
      <c r="M28" s="38"/>
      <c r="N28" s="38"/>
      <c r="O28" s="38"/>
      <c r="P28" s="28"/>
      <c r="Q28" s="28"/>
      <c r="R28" s="28"/>
      <c r="S28" s="28"/>
      <c r="T28" s="28"/>
      <c r="U28" s="28"/>
      <c r="V28" s="28"/>
      <c r="W28" s="28"/>
      <c r="X28" s="28"/>
      <c r="Y28" s="28"/>
      <c r="Z28" s="28"/>
      <c r="AA28" s="28"/>
    </row>
    <row r="29" spans="1:27">
      <c r="A29" s="38"/>
      <c r="B29" s="77" t="s">
        <v>112</v>
      </c>
      <c r="C29" s="75">
        <f>$C$5*ParaFiscales!C16</f>
        <v>73012.738500000007</v>
      </c>
      <c r="D29" s="38"/>
      <c r="E29" s="77" t="s">
        <v>112</v>
      </c>
      <c r="F29" s="75">
        <f>$C$6*ParaFiscales!$C$16</f>
        <v>83400</v>
      </c>
      <c r="G29" s="38"/>
      <c r="H29" s="77" t="s">
        <v>112</v>
      </c>
      <c r="I29" s="75">
        <f>$C$7*ParaFiscales!$C$16</f>
        <v>120930</v>
      </c>
      <c r="J29" s="38"/>
      <c r="K29" s="38"/>
      <c r="L29" s="38"/>
      <c r="M29" s="38"/>
      <c r="N29" s="38"/>
      <c r="O29" s="38"/>
      <c r="P29" s="28"/>
      <c r="Q29" s="28"/>
      <c r="R29" s="28"/>
      <c r="S29" s="28"/>
      <c r="T29" s="28"/>
      <c r="U29" s="28"/>
      <c r="V29" s="28"/>
      <c r="W29" s="28"/>
      <c r="X29" s="28"/>
      <c r="Y29" s="28"/>
      <c r="Z29" s="28"/>
      <c r="AA29" s="28"/>
    </row>
    <row r="30" spans="1:27">
      <c r="A30" s="38"/>
      <c r="B30" s="72" t="s">
        <v>92</v>
      </c>
      <c r="C30" s="78">
        <f>SUM(C26:C29)</f>
        <v>382222.56149999995</v>
      </c>
      <c r="D30" s="38"/>
      <c r="E30" s="72" t="s">
        <v>92</v>
      </c>
      <c r="F30" s="78">
        <f>SUM(F26:F29)</f>
        <v>436600</v>
      </c>
      <c r="G30" s="38"/>
      <c r="H30" s="72" t="s">
        <v>92</v>
      </c>
      <c r="I30" s="78">
        <f>SUM(I26:I29)</f>
        <v>633070</v>
      </c>
      <c r="J30" s="38"/>
      <c r="K30" s="38"/>
      <c r="L30" s="38"/>
      <c r="M30" s="38"/>
      <c r="N30" s="38"/>
      <c r="O30" s="38"/>
      <c r="P30" s="28"/>
      <c r="Q30" s="28"/>
      <c r="R30" s="28"/>
      <c r="S30" s="28"/>
      <c r="T30" s="28"/>
      <c r="U30" s="28"/>
      <c r="V30" s="28"/>
      <c r="W30" s="28"/>
      <c r="X30" s="28"/>
      <c r="Y30" s="28"/>
      <c r="Z30" s="28"/>
      <c r="AA30" s="28"/>
    </row>
    <row r="31" spans="1:27">
      <c r="A31" s="38"/>
      <c r="B31" s="300" t="s">
        <v>113</v>
      </c>
      <c r="C31" s="302"/>
      <c r="D31" s="38"/>
      <c r="E31" s="300" t="s">
        <v>113</v>
      </c>
      <c r="F31" s="302"/>
      <c r="G31" s="38"/>
      <c r="H31" s="300" t="s">
        <v>113</v>
      </c>
      <c r="I31" s="302"/>
      <c r="J31" s="38"/>
      <c r="K31" s="38"/>
      <c r="L31" s="38"/>
      <c r="M31" s="38"/>
      <c r="N31" s="38"/>
      <c r="O31" s="38"/>
      <c r="P31" s="28"/>
      <c r="Q31" s="28"/>
      <c r="R31" s="28"/>
      <c r="S31" s="28"/>
      <c r="T31" s="28"/>
      <c r="U31" s="28"/>
      <c r="V31" s="28"/>
      <c r="W31" s="28"/>
      <c r="X31" s="28"/>
      <c r="Y31" s="28"/>
      <c r="Z31" s="28"/>
      <c r="AA31" s="28"/>
    </row>
    <row r="32" spans="1:27">
      <c r="A32" s="38"/>
      <c r="B32" s="308" t="s">
        <v>79</v>
      </c>
      <c r="C32" s="302"/>
      <c r="D32" s="38"/>
      <c r="E32" s="308" t="s">
        <v>79</v>
      </c>
      <c r="F32" s="302"/>
      <c r="G32" s="38"/>
      <c r="H32" s="308" t="s">
        <v>79</v>
      </c>
      <c r="I32" s="302"/>
      <c r="J32" s="38"/>
      <c r="K32" s="38"/>
      <c r="L32" s="38"/>
      <c r="M32" s="38"/>
      <c r="N32" s="38"/>
      <c r="O32" s="38"/>
      <c r="P32" s="28"/>
      <c r="Q32" s="28"/>
      <c r="R32" s="28"/>
      <c r="S32" s="28"/>
      <c r="T32" s="28"/>
      <c r="U32" s="28"/>
      <c r="V32" s="28"/>
      <c r="W32" s="28"/>
      <c r="X32" s="28"/>
      <c r="Y32" s="28"/>
      <c r="Z32" s="28"/>
      <c r="AA32" s="28"/>
    </row>
    <row r="33" spans="1:27">
      <c r="A33" s="38"/>
      <c r="B33" s="68" t="s">
        <v>91</v>
      </c>
      <c r="C33" s="75">
        <f>C$5*ParaFiscales!C20</f>
        <v>148826.92500000002</v>
      </c>
      <c r="D33" s="38"/>
      <c r="E33" s="68" t="s">
        <v>91</v>
      </c>
      <c r="F33" s="75">
        <f>C$6*ParaFiscales!$C$20</f>
        <v>170000</v>
      </c>
      <c r="G33" s="38"/>
      <c r="H33" s="68" t="s">
        <v>91</v>
      </c>
      <c r="I33" s="75">
        <f>$C$7*ParaFiscales!$C$20</f>
        <v>246500.00000000003</v>
      </c>
      <c r="J33" s="38"/>
      <c r="K33" s="38"/>
      <c r="L33" s="38"/>
      <c r="M33" s="38"/>
      <c r="N33" s="38"/>
      <c r="O33" s="38"/>
      <c r="P33" s="28"/>
      <c r="Q33" s="28"/>
      <c r="R33" s="28"/>
      <c r="S33" s="28"/>
      <c r="T33" s="28"/>
      <c r="U33" s="28"/>
      <c r="V33" s="28"/>
      <c r="W33" s="28"/>
      <c r="X33" s="28"/>
      <c r="Y33" s="28"/>
      <c r="Z33" s="28"/>
      <c r="AA33" s="28"/>
    </row>
    <row r="34" spans="1:27">
      <c r="A34" s="38"/>
      <c r="B34" s="308" t="s">
        <v>80</v>
      </c>
      <c r="C34" s="302"/>
      <c r="D34" s="38"/>
      <c r="E34" s="308" t="s">
        <v>80</v>
      </c>
      <c r="F34" s="302"/>
      <c r="G34" s="38"/>
      <c r="H34" s="308" t="s">
        <v>80</v>
      </c>
      <c r="I34" s="302"/>
      <c r="J34" s="38"/>
      <c r="K34" s="38"/>
      <c r="L34" s="38"/>
      <c r="M34" s="38"/>
      <c r="N34" s="38"/>
      <c r="O34" s="38"/>
      <c r="P34" s="28"/>
      <c r="Q34" s="28"/>
      <c r="R34" s="28"/>
      <c r="S34" s="28"/>
      <c r="T34" s="28"/>
      <c r="U34" s="28"/>
      <c r="V34" s="28"/>
      <c r="W34" s="28"/>
      <c r="X34" s="28"/>
      <c r="Y34" s="28"/>
      <c r="Z34" s="28"/>
      <c r="AA34" s="28"/>
    </row>
    <row r="35" spans="1:27">
      <c r="A35" s="38"/>
      <c r="B35" s="68" t="s">
        <v>91</v>
      </c>
      <c r="C35" s="75">
        <f>C$5*ParaFiscales!C23</f>
        <v>210108.6</v>
      </c>
      <c r="D35" s="38"/>
      <c r="E35" s="68" t="s">
        <v>91</v>
      </c>
      <c r="F35" s="75">
        <f>C$6*ParaFiscales!$C$23</f>
        <v>240000</v>
      </c>
      <c r="G35" s="38"/>
      <c r="H35" s="68" t="s">
        <v>91</v>
      </c>
      <c r="I35" s="75">
        <f>$C$7*ParaFiscales!$C$23</f>
        <v>348000</v>
      </c>
      <c r="J35" s="38"/>
      <c r="K35" s="38"/>
      <c r="L35" s="38"/>
      <c r="M35" s="38"/>
      <c r="N35" s="38"/>
      <c r="O35" s="38"/>
      <c r="P35" s="28"/>
      <c r="Q35" s="28"/>
      <c r="R35" s="28"/>
      <c r="S35" s="28"/>
      <c r="T35" s="28"/>
      <c r="U35" s="28"/>
      <c r="V35" s="28"/>
      <c r="W35" s="28"/>
      <c r="X35" s="28"/>
      <c r="Y35" s="28"/>
      <c r="Z35" s="28"/>
      <c r="AA35" s="28"/>
    </row>
    <row r="36" spans="1:27">
      <c r="A36" s="38"/>
      <c r="B36" s="79" t="s">
        <v>101</v>
      </c>
      <c r="C36" s="80">
        <f>SUM(C24+C30+C33+C35)</f>
        <v>898739.53650000005</v>
      </c>
      <c r="D36" s="38"/>
      <c r="E36" s="79" t="s">
        <v>101</v>
      </c>
      <c r="F36" s="80">
        <f>SUM(F24+F30+F33+F35)</f>
        <v>1026600</v>
      </c>
      <c r="G36" s="38"/>
      <c r="H36" s="79" t="s">
        <v>101</v>
      </c>
      <c r="I36" s="80">
        <f>SUM(I24+I30+I33+I35)</f>
        <v>1488570</v>
      </c>
      <c r="J36" s="38"/>
      <c r="K36" s="38"/>
      <c r="L36" s="38"/>
      <c r="M36" s="38"/>
      <c r="N36" s="38"/>
      <c r="O36" s="38"/>
      <c r="P36" s="28"/>
      <c r="Q36" s="28"/>
      <c r="R36" s="28"/>
      <c r="S36" s="28"/>
      <c r="T36" s="28"/>
      <c r="U36" s="28"/>
      <c r="V36" s="28"/>
      <c r="W36" s="28"/>
      <c r="X36" s="28"/>
      <c r="Y36" s="28"/>
      <c r="Z36" s="28"/>
      <c r="AA36" s="28"/>
    </row>
    <row r="37" spans="1:27">
      <c r="A37" s="38"/>
      <c r="B37" s="38"/>
      <c r="C37" s="38"/>
      <c r="D37" s="38"/>
      <c r="E37" s="38"/>
      <c r="F37" s="38"/>
      <c r="G37" s="38"/>
      <c r="H37" s="38"/>
      <c r="I37" s="38"/>
      <c r="J37" s="38"/>
      <c r="K37" s="38"/>
      <c r="L37" s="38"/>
      <c r="M37" s="38"/>
      <c r="N37" s="38"/>
      <c r="O37" s="38"/>
      <c r="P37" s="28"/>
      <c r="Q37" s="28"/>
      <c r="R37" s="28"/>
      <c r="S37" s="28"/>
      <c r="T37" s="28"/>
      <c r="U37" s="28"/>
      <c r="V37" s="28"/>
      <c r="W37" s="28"/>
      <c r="X37" s="28"/>
      <c r="Y37" s="28"/>
      <c r="Z37" s="28"/>
      <c r="AA37" s="28"/>
    </row>
    <row r="38" spans="1:27">
      <c r="A38" s="38"/>
      <c r="B38" s="38"/>
      <c r="C38" s="38"/>
      <c r="D38" s="38"/>
      <c r="E38" s="300" t="s">
        <v>114</v>
      </c>
      <c r="F38" s="302"/>
      <c r="G38" s="38"/>
      <c r="H38" s="300" t="s">
        <v>115</v>
      </c>
      <c r="I38" s="302"/>
      <c r="J38" s="38"/>
      <c r="K38" s="38"/>
      <c r="L38" s="38"/>
      <c r="M38" s="38"/>
      <c r="N38" s="38"/>
      <c r="O38" s="38"/>
      <c r="P38" s="28"/>
      <c r="Q38" s="28"/>
      <c r="R38" s="28"/>
      <c r="S38" s="28"/>
      <c r="T38" s="28"/>
      <c r="U38" s="28"/>
      <c r="V38" s="28"/>
      <c r="W38" s="28"/>
      <c r="X38" s="28"/>
      <c r="Y38" s="28"/>
      <c r="Z38" s="28"/>
      <c r="AA38" s="28"/>
    </row>
    <row r="39" spans="1:27">
      <c r="A39" s="38"/>
      <c r="B39" s="38"/>
      <c r="C39" s="38"/>
      <c r="D39" s="38"/>
      <c r="E39" s="68" t="s">
        <v>105</v>
      </c>
      <c r="F39" s="69">
        <f>$C$8*ParaFiscales!$C$8</f>
        <v>120000</v>
      </c>
      <c r="G39" s="38"/>
      <c r="H39" s="68" t="s">
        <v>105</v>
      </c>
      <c r="I39" s="69">
        <f>$C$9*ParaFiscales!$C$8</f>
        <v>180000</v>
      </c>
      <c r="J39" s="38"/>
      <c r="K39" s="38"/>
      <c r="L39" s="38"/>
      <c r="M39" s="38"/>
      <c r="N39" s="38"/>
      <c r="O39" s="38"/>
      <c r="P39" s="28"/>
      <c r="Q39" s="28"/>
      <c r="R39" s="28"/>
      <c r="S39" s="28"/>
      <c r="T39" s="28"/>
      <c r="U39" s="28"/>
      <c r="V39" s="28"/>
      <c r="W39" s="28"/>
      <c r="X39" s="28"/>
      <c r="Y39" s="28"/>
      <c r="Z39" s="28"/>
      <c r="AA39" s="28"/>
    </row>
    <row r="40" spans="1:27">
      <c r="A40" s="38"/>
      <c r="B40" s="38"/>
      <c r="C40" s="38"/>
      <c r="D40" s="38"/>
      <c r="E40" s="70" t="s">
        <v>106</v>
      </c>
      <c r="F40" s="69">
        <f>$C$8*ParaFiscales!$C$9</f>
        <v>180000</v>
      </c>
      <c r="G40" s="38"/>
      <c r="H40" s="70" t="s">
        <v>106</v>
      </c>
      <c r="I40" s="69">
        <f>$C$9*ParaFiscales!$C$9</f>
        <v>270000</v>
      </c>
      <c r="J40" s="38"/>
      <c r="K40" s="38"/>
      <c r="L40" s="38"/>
      <c r="M40" s="38"/>
      <c r="N40" s="38"/>
      <c r="O40" s="38"/>
      <c r="P40" s="28"/>
      <c r="Q40" s="28"/>
      <c r="R40" s="28"/>
      <c r="S40" s="28"/>
      <c r="T40" s="28"/>
      <c r="U40" s="28"/>
      <c r="V40" s="28"/>
      <c r="W40" s="28"/>
      <c r="X40" s="28"/>
      <c r="Y40" s="28"/>
      <c r="Z40" s="28"/>
      <c r="AA40" s="28"/>
    </row>
    <row r="41" spans="1:27">
      <c r="A41" s="38"/>
      <c r="B41" s="38"/>
      <c r="C41" s="38"/>
      <c r="D41" s="38"/>
      <c r="E41" s="71" t="s">
        <v>107</v>
      </c>
      <c r="F41" s="69">
        <f>$C$8*ParaFiscales!$C$10</f>
        <v>240000</v>
      </c>
      <c r="G41" s="38"/>
      <c r="H41" s="71" t="s">
        <v>107</v>
      </c>
      <c r="I41" s="69">
        <f>$C$9*ParaFiscales!$C$10</f>
        <v>360000</v>
      </c>
      <c r="J41" s="38"/>
      <c r="K41" s="38"/>
      <c r="L41" s="38"/>
      <c r="M41" s="38"/>
      <c r="N41" s="38"/>
      <c r="O41" s="38"/>
      <c r="P41" s="28"/>
      <c r="Q41" s="28"/>
      <c r="R41" s="28"/>
      <c r="S41" s="28"/>
      <c r="T41" s="28"/>
      <c r="U41" s="28"/>
      <c r="V41" s="28"/>
      <c r="W41" s="28"/>
      <c r="X41" s="28"/>
      <c r="Y41" s="28"/>
      <c r="Z41" s="28"/>
      <c r="AA41" s="28"/>
    </row>
    <row r="42" spans="1:27">
      <c r="A42" s="38"/>
      <c r="B42" s="38"/>
      <c r="C42" s="38"/>
      <c r="D42" s="38"/>
      <c r="E42" s="72" t="s">
        <v>92</v>
      </c>
      <c r="F42" s="73">
        <f>SUM(F39:F41)</f>
        <v>540000</v>
      </c>
      <c r="G42" s="38"/>
      <c r="H42" s="72" t="s">
        <v>92</v>
      </c>
      <c r="I42" s="73">
        <f>SUM(I39:I41)</f>
        <v>810000</v>
      </c>
      <c r="J42" s="38"/>
      <c r="K42" s="38"/>
      <c r="L42" s="38"/>
      <c r="M42" s="38"/>
      <c r="N42" s="38"/>
      <c r="O42" s="38"/>
      <c r="P42" s="28"/>
      <c r="Q42" s="28"/>
      <c r="R42" s="28"/>
      <c r="S42" s="28"/>
      <c r="T42" s="28"/>
      <c r="U42" s="28"/>
      <c r="V42" s="28"/>
      <c r="W42" s="28"/>
      <c r="X42" s="28"/>
      <c r="Y42" s="28"/>
      <c r="Z42" s="28"/>
      <c r="AA42" s="28"/>
    </row>
    <row r="43" spans="1:27">
      <c r="A43" s="38"/>
      <c r="B43" s="38"/>
      <c r="C43" s="38"/>
      <c r="D43" s="38"/>
      <c r="E43" s="306" t="s">
        <v>108</v>
      </c>
      <c r="F43" s="307"/>
      <c r="G43" s="38"/>
      <c r="H43" s="306" t="s">
        <v>108</v>
      </c>
      <c r="I43" s="307"/>
      <c r="J43" s="38"/>
      <c r="K43" s="38"/>
      <c r="L43" s="38"/>
      <c r="M43" s="38"/>
      <c r="N43" s="38"/>
      <c r="O43" s="38"/>
      <c r="P43" s="28"/>
      <c r="Q43" s="28"/>
      <c r="R43" s="28"/>
      <c r="S43" s="28"/>
      <c r="T43" s="28"/>
      <c r="U43" s="28"/>
      <c r="V43" s="28"/>
      <c r="W43" s="28"/>
      <c r="X43" s="28"/>
      <c r="Y43" s="28"/>
      <c r="Z43" s="28"/>
      <c r="AA43" s="28"/>
    </row>
    <row r="44" spans="1:27">
      <c r="A44" s="38"/>
      <c r="B44" s="38"/>
      <c r="C44" s="38"/>
      <c r="D44" s="38"/>
      <c r="E44" s="74" t="s">
        <v>109</v>
      </c>
      <c r="F44" s="75">
        <f>$C$8*ParaFiscales!$C$13</f>
        <v>499800</v>
      </c>
      <c r="G44" s="38"/>
      <c r="H44" s="74" t="s">
        <v>109</v>
      </c>
      <c r="I44" s="75">
        <f>$C$9*ParaFiscales!$C$13</f>
        <v>749700</v>
      </c>
      <c r="J44" s="38"/>
      <c r="K44" s="38"/>
      <c r="L44" s="38"/>
      <c r="M44" s="38"/>
      <c r="N44" s="38"/>
      <c r="O44" s="38"/>
      <c r="P44" s="28"/>
      <c r="Q44" s="28"/>
      <c r="R44" s="28"/>
      <c r="S44" s="28"/>
      <c r="T44" s="28"/>
      <c r="U44" s="28"/>
      <c r="V44" s="28"/>
      <c r="W44" s="28"/>
      <c r="X44" s="28"/>
      <c r="Y44" s="28"/>
      <c r="Z44" s="28"/>
      <c r="AA44" s="28"/>
    </row>
    <row r="45" spans="1:27">
      <c r="A45" s="38"/>
      <c r="B45" s="38"/>
      <c r="C45" s="38"/>
      <c r="D45" s="38"/>
      <c r="E45" s="76" t="s">
        <v>110</v>
      </c>
      <c r="F45" s="75">
        <f>$C$8*ParaFiscales!$C$14</f>
        <v>60000</v>
      </c>
      <c r="G45" s="38"/>
      <c r="H45" s="76" t="s">
        <v>110</v>
      </c>
      <c r="I45" s="75">
        <f>$C$9*ParaFiscales!$C$14</f>
        <v>90000</v>
      </c>
      <c r="J45" s="38"/>
      <c r="K45" s="38"/>
      <c r="L45" s="38"/>
      <c r="M45" s="38"/>
      <c r="N45" s="38"/>
      <c r="O45" s="38"/>
      <c r="P45" s="28"/>
      <c r="Q45" s="28"/>
      <c r="R45" s="28"/>
      <c r="S45" s="28"/>
      <c r="T45" s="28"/>
      <c r="U45" s="28"/>
      <c r="V45" s="28"/>
      <c r="W45" s="28"/>
      <c r="X45" s="28"/>
      <c r="Y45" s="28"/>
      <c r="Z45" s="28"/>
      <c r="AA45" s="28"/>
    </row>
    <row r="46" spans="1:27">
      <c r="A46" s="38"/>
      <c r="B46" s="38"/>
      <c r="C46" s="38"/>
      <c r="D46" s="38"/>
      <c r="E46" s="76" t="s">
        <v>111</v>
      </c>
      <c r="F46" s="75">
        <f>$C$8*ParaFiscales!$C$15</f>
        <v>499800</v>
      </c>
      <c r="G46" s="38"/>
      <c r="H46" s="76" t="s">
        <v>111</v>
      </c>
      <c r="I46" s="75">
        <f>$C$9*ParaFiscales!$C$15</f>
        <v>749700</v>
      </c>
      <c r="J46" s="38"/>
      <c r="K46" s="38"/>
      <c r="L46" s="38"/>
      <c r="M46" s="38"/>
      <c r="N46" s="38"/>
      <c r="O46" s="38"/>
      <c r="P46" s="28"/>
      <c r="Q46" s="28"/>
      <c r="R46" s="28"/>
      <c r="S46" s="28"/>
      <c r="T46" s="28"/>
      <c r="U46" s="28"/>
      <c r="V46" s="28"/>
      <c r="W46" s="28"/>
      <c r="X46" s="28"/>
      <c r="Y46" s="28"/>
      <c r="Z46" s="28"/>
      <c r="AA46" s="28"/>
    </row>
    <row r="47" spans="1:27">
      <c r="A47" s="38"/>
      <c r="B47" s="38"/>
      <c r="C47" s="38"/>
      <c r="D47" s="38"/>
      <c r="E47" s="77" t="s">
        <v>112</v>
      </c>
      <c r="F47" s="75">
        <f>$C$8*ParaFiscales!$C$16</f>
        <v>250200</v>
      </c>
      <c r="G47" s="38"/>
      <c r="H47" s="77" t="s">
        <v>112</v>
      </c>
      <c r="I47" s="75">
        <f>$C$9*ParaFiscales!$C$16</f>
        <v>375300</v>
      </c>
      <c r="J47" s="38"/>
      <c r="K47" s="38"/>
      <c r="L47" s="38"/>
      <c r="M47" s="38"/>
      <c r="N47" s="38"/>
      <c r="O47" s="38"/>
      <c r="P47" s="28"/>
      <c r="Q47" s="28"/>
      <c r="R47" s="28"/>
      <c r="S47" s="28"/>
      <c r="T47" s="28"/>
      <c r="U47" s="28"/>
      <c r="V47" s="28"/>
      <c r="W47" s="28"/>
      <c r="X47" s="28"/>
      <c r="Y47" s="28"/>
      <c r="Z47" s="28"/>
      <c r="AA47" s="28"/>
    </row>
    <row r="48" spans="1:27">
      <c r="A48" s="38"/>
      <c r="B48" s="38"/>
      <c r="C48" s="38"/>
      <c r="D48" s="38"/>
      <c r="E48" s="72" t="s">
        <v>92</v>
      </c>
      <c r="F48" s="78">
        <f>SUM(F44:F47)</f>
        <v>1309800</v>
      </c>
      <c r="G48" s="38"/>
      <c r="H48" s="72" t="s">
        <v>92</v>
      </c>
      <c r="I48" s="78">
        <f>SUM(I44:I47)</f>
        <v>1964700</v>
      </c>
      <c r="J48" s="38"/>
      <c r="K48" s="38"/>
      <c r="L48" s="38"/>
      <c r="M48" s="38"/>
      <c r="N48" s="38"/>
      <c r="O48" s="38"/>
      <c r="P48" s="28"/>
      <c r="Q48" s="28"/>
      <c r="R48" s="28"/>
      <c r="S48" s="28"/>
      <c r="T48" s="28"/>
      <c r="U48" s="28"/>
      <c r="V48" s="28"/>
      <c r="W48" s="28"/>
      <c r="X48" s="28"/>
      <c r="Y48" s="28"/>
      <c r="Z48" s="28"/>
      <c r="AA48" s="28"/>
    </row>
    <row r="49" spans="1:27">
      <c r="A49" s="38"/>
      <c r="B49" s="38"/>
      <c r="C49" s="38"/>
      <c r="D49" s="38"/>
      <c r="E49" s="300" t="s">
        <v>113</v>
      </c>
      <c r="F49" s="302"/>
      <c r="G49" s="38"/>
      <c r="H49" s="300" t="s">
        <v>113</v>
      </c>
      <c r="I49" s="302"/>
      <c r="J49" s="38"/>
      <c r="K49" s="38"/>
      <c r="L49" s="38"/>
      <c r="M49" s="38"/>
      <c r="N49" s="38"/>
      <c r="O49" s="38"/>
      <c r="P49" s="28"/>
      <c r="Q49" s="28"/>
      <c r="R49" s="28"/>
      <c r="S49" s="28"/>
      <c r="T49" s="28"/>
      <c r="U49" s="28"/>
      <c r="V49" s="28"/>
      <c r="W49" s="28"/>
      <c r="X49" s="28"/>
      <c r="Y49" s="28"/>
      <c r="Z49" s="28"/>
      <c r="AA49" s="28"/>
    </row>
    <row r="50" spans="1:27">
      <c r="A50" s="38"/>
      <c r="B50" s="38"/>
      <c r="C50" s="38"/>
      <c r="D50" s="38"/>
      <c r="E50" s="308" t="s">
        <v>79</v>
      </c>
      <c r="F50" s="302"/>
      <c r="G50" s="38"/>
      <c r="H50" s="308" t="s">
        <v>79</v>
      </c>
      <c r="I50" s="302"/>
      <c r="J50" s="38"/>
      <c r="K50" s="38"/>
      <c r="L50" s="38"/>
      <c r="M50" s="38"/>
      <c r="N50" s="38"/>
      <c r="O50" s="38"/>
      <c r="P50" s="28"/>
      <c r="Q50" s="28"/>
      <c r="R50" s="28"/>
      <c r="S50" s="28"/>
      <c r="T50" s="28"/>
      <c r="U50" s="28"/>
      <c r="V50" s="28"/>
      <c r="W50" s="28"/>
      <c r="X50" s="28"/>
      <c r="Y50" s="28"/>
      <c r="Z50" s="28"/>
      <c r="AA50" s="28"/>
    </row>
    <row r="51" spans="1:27">
      <c r="A51" s="38"/>
      <c r="B51" s="38"/>
      <c r="C51" s="38"/>
      <c r="D51" s="38"/>
      <c r="E51" s="68" t="s">
        <v>91</v>
      </c>
      <c r="F51" s="75">
        <f>$C$8*ParaFiscales!$C$20</f>
        <v>510000.00000000006</v>
      </c>
      <c r="G51" s="38"/>
      <c r="H51" s="68" t="s">
        <v>91</v>
      </c>
      <c r="I51" s="75">
        <f>$C$9*ParaFiscales!$C$20</f>
        <v>765000</v>
      </c>
      <c r="J51" s="38"/>
      <c r="K51" s="38"/>
      <c r="L51" s="38"/>
      <c r="M51" s="38"/>
      <c r="N51" s="38"/>
      <c r="O51" s="38"/>
      <c r="P51" s="28"/>
      <c r="Q51" s="28"/>
      <c r="R51" s="28"/>
      <c r="S51" s="28"/>
      <c r="T51" s="28"/>
      <c r="U51" s="28"/>
      <c r="V51" s="28"/>
      <c r="W51" s="28"/>
      <c r="X51" s="28"/>
      <c r="Y51" s="28"/>
      <c r="Z51" s="28"/>
      <c r="AA51" s="28"/>
    </row>
    <row r="52" spans="1:27">
      <c r="A52" s="38"/>
      <c r="B52" s="38"/>
      <c r="C52" s="38"/>
      <c r="D52" s="38"/>
      <c r="E52" s="308" t="s">
        <v>80</v>
      </c>
      <c r="F52" s="302"/>
      <c r="G52" s="38"/>
      <c r="H52" s="308" t="s">
        <v>80</v>
      </c>
      <c r="I52" s="302"/>
      <c r="J52" s="38"/>
      <c r="K52" s="38"/>
      <c r="L52" s="38"/>
      <c r="M52" s="38"/>
      <c r="N52" s="38"/>
      <c r="O52" s="38"/>
      <c r="P52" s="28"/>
      <c r="Q52" s="28"/>
      <c r="R52" s="28"/>
      <c r="S52" s="28"/>
      <c r="T52" s="28"/>
      <c r="U52" s="28"/>
      <c r="V52" s="28"/>
      <c r="W52" s="28"/>
      <c r="X52" s="28"/>
      <c r="Y52" s="28"/>
      <c r="Z52" s="28"/>
      <c r="AA52" s="28"/>
    </row>
    <row r="53" spans="1:27">
      <c r="A53" s="38"/>
      <c r="B53" s="38"/>
      <c r="C53" s="38"/>
      <c r="D53" s="38"/>
      <c r="E53" s="68" t="s">
        <v>91</v>
      </c>
      <c r="F53" s="75">
        <f>$C$8*ParaFiscales!$C$23</f>
        <v>720000</v>
      </c>
      <c r="G53" s="38"/>
      <c r="H53" s="68" t="s">
        <v>91</v>
      </c>
      <c r="I53" s="75">
        <f>$C$9*ParaFiscales!$C$23</f>
        <v>1080000</v>
      </c>
      <c r="J53" s="38"/>
      <c r="K53" s="38"/>
      <c r="L53" s="38"/>
      <c r="M53" s="38"/>
      <c r="N53" s="38"/>
      <c r="O53" s="38"/>
      <c r="P53" s="28"/>
      <c r="Q53" s="28"/>
      <c r="R53" s="28"/>
      <c r="S53" s="28"/>
      <c r="T53" s="28"/>
      <c r="U53" s="28"/>
      <c r="V53" s="28"/>
      <c r="W53" s="28"/>
      <c r="X53" s="28"/>
      <c r="Y53" s="28"/>
      <c r="Z53" s="28"/>
      <c r="AA53" s="28"/>
    </row>
    <row r="54" spans="1:27">
      <c r="A54" s="38"/>
      <c r="B54" s="38"/>
      <c r="C54" s="38"/>
      <c r="D54" s="38"/>
      <c r="E54" s="79" t="s">
        <v>101</v>
      </c>
      <c r="F54" s="80">
        <f>SUM(F42+F48+F51+F53)</f>
        <v>3079800</v>
      </c>
      <c r="G54" s="38"/>
      <c r="H54" s="79" t="s">
        <v>101</v>
      </c>
      <c r="I54" s="80">
        <f>SUM(I42+I48+I51+I53)</f>
        <v>4619700</v>
      </c>
      <c r="J54" s="38"/>
      <c r="K54" s="38"/>
      <c r="L54" s="38"/>
      <c r="M54" s="38"/>
      <c r="N54" s="38"/>
      <c r="O54" s="38"/>
      <c r="P54" s="28"/>
      <c r="Q54" s="28"/>
      <c r="R54" s="28"/>
      <c r="S54" s="28"/>
      <c r="T54" s="28"/>
      <c r="U54" s="28"/>
      <c r="V54" s="28"/>
      <c r="W54" s="28"/>
      <c r="X54" s="28"/>
      <c r="Y54" s="28"/>
      <c r="Z54" s="28"/>
      <c r="AA54" s="28"/>
    </row>
    <row r="55" spans="1:27">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row>
    <row r="56" spans="1:27">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row>
    <row r="57" spans="1:2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row>
    <row r="58" spans="1:27">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row>
    <row r="59" spans="1:27">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row>
    <row r="60" spans="1:27">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row>
    <row r="61" spans="1:27">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row>
    <row r="62" spans="1:27">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row>
    <row r="63" spans="1:27">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row>
    <row r="64" spans="1:27">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row>
    <row r="65" spans="1:27">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row>
    <row r="66" spans="1:27">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row>
    <row r="67" spans="1:2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row>
    <row r="68" spans="1:27">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row>
    <row r="69" spans="1:27">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row>
    <row r="70" spans="1:27">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row>
    <row r="71" spans="1:27">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row>
    <row r="72" spans="1:27">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row>
    <row r="73" spans="1:27">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row>
    <row r="74" spans="1:27">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row>
    <row r="75" spans="1:27">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row>
    <row r="76" spans="1:27">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row>
    <row r="77" spans="1:2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row>
    <row r="78" spans="1:27">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row>
    <row r="79" spans="1:27">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row>
    <row r="80" spans="1:27">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row>
    <row r="81" spans="1:27">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row>
    <row r="82" spans="1:27">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row>
    <row r="83" spans="1:27">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row>
    <row r="84" spans="1:27">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row>
    <row r="85" spans="1:27">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row>
    <row r="86" spans="1:27">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row>
    <row r="87" spans="1:2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row>
    <row r="88" spans="1:27">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row>
    <row r="89" spans="1:27">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row>
    <row r="90" spans="1:27">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row>
    <row r="91" spans="1:27">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row>
    <row r="92" spans="1:27">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row>
    <row r="93" spans="1:27">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row>
    <row r="94" spans="1:27">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row>
    <row r="95" spans="1:27">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row>
    <row r="96" spans="1:27">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row>
    <row r="97" spans="1:2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row>
    <row r="98" spans="1:27">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row>
    <row r="99" spans="1:27">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row>
    <row r="100" spans="1:27">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row>
    <row r="101" spans="1:27">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row>
    <row r="102" spans="1:27">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row>
    <row r="103" spans="1:27">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row>
    <row r="104" spans="1:27">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row>
    <row r="105" spans="1:27">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row>
    <row r="106" spans="1:27">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row>
    <row r="107" spans="1:2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row>
    <row r="108" spans="1:27">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row>
    <row r="109" spans="1:27">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row>
    <row r="110" spans="1:27">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row>
    <row r="111" spans="1:27">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row>
    <row r="112" spans="1:27">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row>
    <row r="113" spans="1:27">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row>
    <row r="114" spans="1:27">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row>
    <row r="115" spans="1:27">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row>
    <row r="116" spans="1:27">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row>
    <row r="117" spans="1:2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row>
    <row r="118" spans="1:27">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row>
    <row r="119" spans="1:27">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row>
    <row r="120" spans="1:27">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row>
    <row r="121" spans="1:27">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row>
    <row r="122" spans="1:27">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row>
    <row r="123" spans="1:27">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row>
    <row r="124" spans="1:27">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row>
    <row r="125" spans="1:27">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row>
    <row r="126" spans="1:27">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row>
    <row r="127" spans="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row>
    <row r="128" spans="1:27">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row>
    <row r="129" spans="1:27">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row>
    <row r="130" spans="1:27">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row>
    <row r="131" spans="1:27">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row>
    <row r="132" spans="1:27">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row>
    <row r="133" spans="1:27">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row>
    <row r="134" spans="1:27">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row>
    <row r="135" spans="1:27">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row>
    <row r="136" spans="1:27">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row>
    <row r="137" spans="1:2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row>
    <row r="138" spans="1:27">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row>
    <row r="139" spans="1:27">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row>
    <row r="140" spans="1:27">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row>
    <row r="141" spans="1:27">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row>
    <row r="142" spans="1:27">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row>
    <row r="143" spans="1:27">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row>
    <row r="144" spans="1:27">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row>
    <row r="145" spans="1:27">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row>
    <row r="146" spans="1:27">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row>
    <row r="147" spans="1:2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row>
    <row r="148" spans="1:27">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row>
    <row r="149" spans="1:27">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row>
    <row r="150" spans="1:27">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row>
    <row r="151" spans="1:27">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row>
    <row r="152" spans="1:27">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row>
    <row r="153" spans="1:27">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row>
    <row r="154" spans="1:27">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row>
    <row r="155" spans="1:27">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row>
    <row r="156" spans="1:27">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row>
    <row r="157" spans="1:2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row>
    <row r="158" spans="1:27">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row>
    <row r="159" spans="1:27">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row>
    <row r="160" spans="1:27">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row>
    <row r="161" spans="1:27">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row>
    <row r="162" spans="1:27">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row>
    <row r="163" spans="1:27">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row>
    <row r="164" spans="1:27">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row>
    <row r="165" spans="1:27">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row>
    <row r="166" spans="1:27">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row>
    <row r="167" spans="1:2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row>
    <row r="168" spans="1:27">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row>
    <row r="169" spans="1:27">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row>
    <row r="170" spans="1:27">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row>
    <row r="171" spans="1:27">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row>
    <row r="172" spans="1:27">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row>
    <row r="173" spans="1:27">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row>
    <row r="174" spans="1:27">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row>
    <row r="175" spans="1:27">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row>
    <row r="176" spans="1:27">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row>
    <row r="177" spans="1:2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row>
    <row r="178" spans="1:27">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row>
    <row r="179" spans="1:27">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row>
    <row r="180" spans="1:27">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row>
    <row r="181" spans="1:27">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row>
    <row r="182" spans="1:27">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row>
    <row r="183" spans="1:27">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row>
    <row r="184" spans="1:27">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row>
    <row r="185" spans="1:27">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row>
    <row r="186" spans="1:27">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row>
    <row r="187" spans="1:2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row>
    <row r="188" spans="1:27">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row>
    <row r="189" spans="1:27">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row>
    <row r="190" spans="1:27">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row>
    <row r="191" spans="1:27">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row>
    <row r="192" spans="1:27">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row>
    <row r="193" spans="1:27">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row>
    <row r="194" spans="1:27">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row>
    <row r="195" spans="1:27">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row>
    <row r="196" spans="1:27">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row>
    <row r="197" spans="1:2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row>
    <row r="198" spans="1:27">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row>
    <row r="199" spans="1:27">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row>
    <row r="200" spans="1:27">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row>
    <row r="201" spans="1:27">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row>
    <row r="202" spans="1:27">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row>
    <row r="203" spans="1:27">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row>
    <row r="204" spans="1:27">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row>
    <row r="205" spans="1:27">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row>
    <row r="206" spans="1:27">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row>
    <row r="207" spans="1:2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row>
    <row r="208" spans="1:27">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row>
    <row r="209" spans="1:27">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row>
    <row r="210" spans="1:27">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row>
    <row r="211" spans="1:27">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row>
    <row r="212" spans="1:27">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row>
    <row r="213" spans="1:27">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row>
    <row r="214" spans="1:27">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row>
    <row r="215" spans="1:27">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row>
    <row r="216" spans="1:27">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row>
    <row r="217" spans="1:2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row>
    <row r="218" spans="1:27">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row>
    <row r="219" spans="1:27">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row>
    <row r="220" spans="1:27">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row>
    <row r="221" spans="1:27">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row>
    <row r="222" spans="1:27">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row>
    <row r="223" spans="1:27">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row>
    <row r="224" spans="1:27">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row>
    <row r="225" spans="1:27">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row>
    <row r="226" spans="1:27">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row>
    <row r="227" spans="1: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row>
    <row r="228" spans="1:27">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row>
    <row r="229" spans="1:27">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row>
    <row r="230" spans="1:27">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row>
    <row r="231" spans="1:27">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row>
    <row r="232" spans="1:27">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row>
    <row r="233" spans="1:27">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row>
    <row r="234" spans="1:27">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row>
    <row r="235" spans="1:27">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row>
    <row r="236" spans="1:27">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row>
    <row r="237" spans="1:2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row>
    <row r="238" spans="1:27">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row>
    <row r="239" spans="1:27">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spans="1:27">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spans="1:27">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spans="1:27">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spans="1:27">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spans="1:27">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spans="1:27">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spans="1:27">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spans="1:2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spans="1:27">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spans="1:27">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spans="1:27">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spans="1:27">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spans="1:27">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spans="1:27">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spans="1:27">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spans="1:27">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spans="1:27">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spans="1:2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spans="1:27">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spans="1:27">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spans="1:27">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spans="1:27">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spans="1:27">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spans="1:27">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spans="1:27">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spans="1:27">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spans="1:27">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spans="1:2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spans="1:27">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spans="1:27">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spans="1:27">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spans="1:27">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spans="1:27">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spans="1:27">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spans="1:27">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spans="1:27">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spans="1:27">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spans="1:2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spans="1:27">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spans="1:27">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spans="1:27">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spans="1:27">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spans="1:27">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spans="1:27">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spans="1:27">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spans="1:27">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spans="1:27">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spans="1:2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spans="1:27">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spans="1:27">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spans="1:27">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spans="1:27">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spans="1:27">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spans="1:27">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spans="1:27">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spans="1:27">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spans="1:27">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spans="1:2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spans="1:27">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spans="1:27">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spans="1:27">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spans="1:27">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spans="1:27">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spans="1:27">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spans="1:27">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spans="1:27">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spans="1:27">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spans="1:2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spans="1:27">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spans="1:27">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spans="1:27">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spans="1:27">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spans="1:27">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spans="1:27">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spans="1:27">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spans="1:27">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spans="1:27">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spans="1:2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spans="1:27">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spans="1:27">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spans="1:27">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spans="1:27">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spans="1:27">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spans="1:27">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spans="1:27">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spans="1:27">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spans="1:27">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spans="1: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spans="1:27">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spans="1:27">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spans="1:27">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spans="1:27">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spans="1:27">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spans="1:27">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spans="1:27">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spans="1:27">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spans="1:27">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spans="1:2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spans="1:27">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spans="1:27">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spans="1:27">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spans="1:27">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spans="1:27">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spans="1:27">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spans="1:27">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spans="1:27">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spans="1:27">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spans="1:2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spans="1:27">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spans="1:27">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spans="1:27">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spans="1:27">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spans="1:27">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spans="1:27">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spans="1:27">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spans="1:27">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spans="1:27">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spans="1:2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spans="1:27">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spans="1:27">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spans="1:27">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spans="1:27">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spans="1:27">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spans="1:27">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spans="1:27">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spans="1:27">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spans="1:27">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spans="1:2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spans="1:27">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spans="1:27">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spans="1:27">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spans="1:27">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spans="1:27">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spans="1:27">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spans="1:27">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spans="1:27">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spans="1:27">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spans="1:2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spans="1:27">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spans="1:27">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spans="1:27">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spans="1:27">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spans="1:27">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spans="1:27">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spans="1:27">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spans="1:27">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spans="1:27">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spans="1:2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spans="1:27">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spans="1:27">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spans="1:27">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spans="1:27">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spans="1:27">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spans="1:27">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spans="1:27">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spans="1:27">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spans="1:27">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spans="1:2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spans="1:27">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spans="1:27">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spans="1:27">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spans="1:27">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spans="1:27">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spans="1:27">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spans="1:27">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spans="1:27">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spans="1:27">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spans="1:2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spans="1:27">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spans="1:27">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spans="1:27">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spans="1:27">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spans="1:27">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spans="1:27">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spans="1:27">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spans="1:27">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spans="1:27">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spans="1:2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spans="1:27">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spans="1:27">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spans="1:27">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spans="1:27">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spans="1:27">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spans="1:27">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spans="1:27">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spans="1:27">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spans="1:27">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spans="1: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spans="1:27">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spans="1:27">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spans="1:27">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spans="1:27">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spans="1:27">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spans="1:27">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spans="1:27">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spans="1:27">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spans="1:27">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spans="1:2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spans="1:27">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spans="1:27">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spans="1:27">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spans="1:27">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spans="1:27">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spans="1:27">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spans="1:27">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spans="1:27">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spans="1:27">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spans="1:2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spans="1:27">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spans="1:27">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spans="1:27">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spans="1:27">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spans="1:27">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spans="1:27">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spans="1:27">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spans="1:27">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spans="1:27">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spans="1:2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spans="1:27">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spans="1:27">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spans="1:27">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spans="1:27">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spans="1:27">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spans="1:27">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spans="1:27">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spans="1:27">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spans="1:27">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spans="1:2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spans="1:27">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spans="1:27">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spans="1:27">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spans="1:27">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spans="1:27">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spans="1:27">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spans="1:27">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spans="1:27">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spans="1:27">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spans="1:2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spans="1:27">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spans="1:27">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spans="1:27">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spans="1:27">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spans="1:27">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spans="1:27">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spans="1:27">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spans="1:27">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spans="1:27">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spans="1:2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spans="1:27">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spans="1:27">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spans="1:27">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spans="1:27">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spans="1:27">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spans="1:27">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spans="1:27">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spans="1:27">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spans="1:27">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spans="1:2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spans="1:27">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spans="1:27">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spans="1:27">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spans="1:27">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spans="1:27">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spans="1:27">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spans="1:27">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spans="1:27">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spans="1:27">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spans="1:2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spans="1:27">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spans="1:27">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spans="1:27">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spans="1:27">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spans="1:27">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spans="1:27">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spans="1:27">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spans="1:27">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spans="1:27">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spans="1:2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spans="1:27">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spans="1:27">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spans="1:27">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spans="1:27">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spans="1:27">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spans="1:27">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spans="1:27">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spans="1:27">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spans="1:27">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spans="1: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spans="1:27">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spans="1:27">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spans="1:27">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spans="1:27">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spans="1:27">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spans="1:27">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spans="1:27">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spans="1:27">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spans="1:27">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spans="1:2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spans="1:27">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spans="1:27">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spans="1:27">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spans="1:27">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spans="1:27">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spans="1:27">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spans="1:27">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spans="1:27">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spans="1:27">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spans="1:2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spans="1:27">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spans="1:27">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spans="1:27">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spans="1:27">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spans="1:27">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spans="1:27">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spans="1:27">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spans="1:27">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spans="1:27">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spans="1:2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spans="1:27">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spans="1:27">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spans="1:27">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spans="1:27">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spans="1:27">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spans="1:27">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spans="1:27">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spans="1:27">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spans="1:27">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spans="1:2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spans="1:27">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spans="1:27">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spans="1:27">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spans="1:27">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spans="1:27">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spans="1:27">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spans="1:27">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spans="1:27">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spans="1:27">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spans="1:2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spans="1:27">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spans="1:27">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spans="1:27">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spans="1:27">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spans="1:27">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spans="1:27">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spans="1:27">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spans="1:27">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spans="1:27">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spans="1:2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spans="1:27">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spans="1:27">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spans="1:27">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spans="1:27">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spans="1:27">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spans="1:27">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spans="1:27">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spans="1:27">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spans="1:27">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spans="1:2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spans="1:27">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spans="1:27">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spans="1:27">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spans="1:27">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spans="1:27">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spans="1:27">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spans="1:27">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spans="1:27">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spans="1:27">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spans="1:2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spans="1:27">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spans="1:27">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spans="1:27">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spans="1:27">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spans="1:27">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spans="1:27">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spans="1:27">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spans="1:27">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spans="1:27">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spans="1:2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spans="1:27">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spans="1:27">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spans="1:27">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spans="1:27">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spans="1:27">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spans="1:27">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spans="1:27">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spans="1:27">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spans="1:27">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spans="1: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spans="1:27">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spans="1:27">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spans="1:27">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spans="1:27">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spans="1:27">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spans="1:27">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spans="1:27">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spans="1:27">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spans="1:27">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spans="1:2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spans="1:27">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spans="1:27">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spans="1:27">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spans="1:27">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spans="1:27">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spans="1:27">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spans="1:27">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spans="1:27">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spans="1:27">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spans="1:2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spans="1:27">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spans="1:27">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spans="1:27">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spans="1:27">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spans="1:27">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spans="1:27">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spans="1:27">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spans="1:27">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spans="1:27">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spans="1:2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spans="1:27">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spans="1:27">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spans="1:27">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spans="1:27">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spans="1:27">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spans="1:27">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spans="1:27">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spans="1:27">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spans="1:27">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spans="1:2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spans="1:27">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spans="1:27">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spans="1:27">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spans="1:27">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spans="1:27">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spans="1:27">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spans="1:27">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spans="1:27">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spans="1:27">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spans="1:2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spans="1:27">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spans="1:27">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spans="1:27">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spans="1:27">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spans="1:27">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spans="1:27">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spans="1:27">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spans="1:27">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spans="1:27">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spans="1:2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spans="1:27">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spans="1:27">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spans="1:27">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spans="1:27">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spans="1:27">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spans="1:27">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spans="1:27">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spans="1:27">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spans="1:27">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spans="1:2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spans="1:27">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spans="1:27">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spans="1:27">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spans="1:27">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spans="1:27">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spans="1:27">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spans="1:27">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spans="1:27">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spans="1:27">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spans="1:2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spans="1:27">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spans="1:27">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spans="1:27">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spans="1:27">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spans="1:27">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spans="1:27">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spans="1:27">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spans="1:27">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spans="1:27">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spans="1:2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spans="1:27">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spans="1:27">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spans="1:27">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spans="1:27">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spans="1:27">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spans="1:27">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spans="1:27">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spans="1:27">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spans="1:27">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spans="1: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spans="1:27">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spans="1:27">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spans="1:27">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spans="1:27">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spans="1:27">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spans="1:27">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spans="1:27">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spans="1:27">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spans="1:27">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spans="1:2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spans="1:27">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spans="1:27">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spans="1:27">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spans="1:27">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spans="1:27">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spans="1:27">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spans="1:27">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spans="1:27">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spans="1:27">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spans="1:2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spans="1:27">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spans="1:27">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spans="1:27">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spans="1:27">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spans="1:27">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spans="1:27">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spans="1:27">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spans="1:27">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spans="1:27">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spans="1:2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spans="1:27">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spans="1:27">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spans="1:27">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spans="1:27">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spans="1:27">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spans="1:27">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spans="1:27">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spans="1:27">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spans="1:27">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spans="1:2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spans="1:27">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spans="1:27">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spans="1:27">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spans="1:27">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spans="1:27">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spans="1:27">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spans="1:27">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spans="1:27">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spans="1:27">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spans="1:2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spans="1:27">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spans="1:27">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spans="1:27">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spans="1:27">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spans="1:27">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spans="1:27">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spans="1:27">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spans="1:27">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spans="1:27">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spans="1:2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spans="1:27">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spans="1:27">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spans="1:27">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spans="1:27">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spans="1:27">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spans="1:27">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spans="1:27">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spans="1:27">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spans="1:27">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spans="1:2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spans="1:27">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spans="1:27">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spans="1:27">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spans="1:27">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spans="1:27">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spans="1:27">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spans="1:27">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spans="1:27">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spans="1:27">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spans="1:2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spans="1:27">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spans="1:27">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spans="1:27">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spans="1:27">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spans="1:27">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spans="1:27">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spans="1:27">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spans="1:27">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spans="1:27">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spans="1:2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spans="1:27">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spans="1:27">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spans="1:27">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spans="1:27">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spans="1:27">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spans="1:27">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spans="1:27">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spans="1:27">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spans="1:27">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spans="1: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spans="1:27">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spans="1:27">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spans="1:27">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spans="1:27">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spans="1:27">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spans="1:27">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spans="1:27">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spans="1:27">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spans="1:27">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spans="1:2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spans="1:27">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spans="1:27">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spans="1:27">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spans="1:27">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spans="1:27">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spans="1:27">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spans="1:27">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spans="1:27">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spans="1:27">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spans="1:2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spans="1:27">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spans="1:27">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spans="1:27">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spans="1:27">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spans="1:27">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spans="1:27">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spans="1:27">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spans="1:27">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spans="1:27">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spans="1:2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spans="1:27">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spans="1:27">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spans="1:27">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spans="1:27">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spans="1:27">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spans="1:27">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spans="1:27">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spans="1:27">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spans="1:27">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spans="1:2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spans="1:27">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spans="1:27">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spans="1:27">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spans="1:27">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spans="1:27">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spans="1:27">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spans="1:27">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spans="1:27">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row>
    <row r="876" spans="1:27">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row>
    <row r="877" spans="1:2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row>
    <row r="878" spans="1:27">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row>
    <row r="879" spans="1:27">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row>
    <row r="880" spans="1:27">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row>
    <row r="881" spans="1:27">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row>
    <row r="882" spans="1:27">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row>
    <row r="883" spans="1:27">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row>
    <row r="884" spans="1:27">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row>
    <row r="885" spans="1:27">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row>
    <row r="886" spans="1:27">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row>
    <row r="887" spans="1:2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row>
    <row r="888" spans="1:27">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row>
    <row r="889" spans="1:27">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row>
    <row r="890" spans="1:27">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row>
    <row r="891" spans="1:27">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row>
    <row r="892" spans="1:27">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row>
    <row r="893" spans="1:27">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row>
    <row r="894" spans="1:27">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row>
    <row r="895" spans="1:27">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row>
    <row r="896" spans="1:27">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row>
    <row r="897" spans="1:2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row>
    <row r="898" spans="1:27">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row>
    <row r="899" spans="1:27">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row>
    <row r="900" spans="1:27">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row>
    <row r="901" spans="1:27">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row>
    <row r="902" spans="1:27">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row>
    <row r="903" spans="1:27">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row>
    <row r="904" spans="1:27">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row>
    <row r="905" spans="1:27">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row>
    <row r="906" spans="1:27">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row>
    <row r="907" spans="1:2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row>
    <row r="908" spans="1:27">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row>
    <row r="909" spans="1:27">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row>
    <row r="910" spans="1:27">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row>
    <row r="911" spans="1:27">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row>
    <row r="912" spans="1:27">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row>
    <row r="913" spans="1:27">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row>
    <row r="914" spans="1:27">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row>
    <row r="915" spans="1:27">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row>
    <row r="916" spans="1:27">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row>
    <row r="917" spans="1:2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row>
    <row r="918" spans="1:27">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row>
    <row r="919" spans="1:27">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row>
    <row r="920" spans="1:27">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row>
    <row r="921" spans="1:27">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row>
    <row r="922" spans="1:27">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row>
    <row r="923" spans="1:27">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row>
    <row r="924" spans="1:27">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row>
    <row r="925" spans="1:27">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row>
    <row r="926" spans="1:27">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row>
    <row r="927" spans="1: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row>
    <row r="928" spans="1:27">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row>
    <row r="929" spans="1:27">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row>
    <row r="930" spans="1:27">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row>
    <row r="931" spans="1:27">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row>
    <row r="932" spans="1:27">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row>
    <row r="933" spans="1:27">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row>
    <row r="934" spans="1:27">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row>
    <row r="935" spans="1:27">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row>
    <row r="936" spans="1:27">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row>
    <row r="937" spans="1:2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row>
    <row r="938" spans="1:27">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row>
    <row r="939" spans="1:27">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row>
    <row r="940" spans="1:27">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row>
    <row r="941" spans="1:27">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row>
    <row r="942" spans="1:27">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row>
    <row r="943" spans="1:27">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row>
    <row r="944" spans="1:27">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row>
    <row r="945" spans="1:27">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row>
    <row r="946" spans="1:27">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row>
    <row r="947" spans="1:2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row>
    <row r="948" spans="1:27">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row>
    <row r="949" spans="1:27">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row>
    <row r="950" spans="1:27">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row>
    <row r="951" spans="1:27">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row>
    <row r="952" spans="1:27">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row>
    <row r="953" spans="1:27">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row>
    <row r="954" spans="1:27">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row>
    <row r="955" spans="1:27">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row>
    <row r="956" spans="1:27">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row>
    <row r="957" spans="1:2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row>
    <row r="958" spans="1:27">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row>
    <row r="959" spans="1:27">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row>
    <row r="960" spans="1:27">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row>
    <row r="961" spans="1:27">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row>
    <row r="962" spans="1:27">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row>
    <row r="963" spans="1:27">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row>
    <row r="964" spans="1:27">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row>
    <row r="965" spans="1:27">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row>
    <row r="966" spans="1:27">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row>
    <row r="967" spans="1:2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row>
    <row r="968" spans="1:27">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row>
    <row r="969" spans="1:27">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row>
    <row r="970" spans="1:27">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row>
    <row r="971" spans="1:27">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row>
    <row r="972" spans="1:27">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row>
    <row r="973" spans="1:27">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row>
    <row r="974" spans="1:27">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row>
    <row r="975" spans="1:27">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row>
    <row r="976" spans="1:27">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row>
    <row r="977" spans="1:2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row>
    <row r="978" spans="1:27">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row>
    <row r="979" spans="1:27">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row>
    <row r="980" spans="1:27">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row>
    <row r="981" spans="1:27">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row>
    <row r="982" spans="1:27">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row>
    <row r="983" spans="1:27">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row>
    <row r="984" spans="1:27">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row>
    <row r="985" spans="1:27">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row>
    <row r="986" spans="1:27">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row>
    <row r="987" spans="1:2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row>
    <row r="988" spans="1:27">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row>
    <row r="989" spans="1:27">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row>
    <row r="990" spans="1:27">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row>
    <row r="991" spans="1:27">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row>
    <row r="992" spans="1:27">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row>
    <row r="993" spans="1:27">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row>
    <row r="994" spans="1:27">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row>
    <row r="995" spans="1:27">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row>
    <row r="996" spans="1:27">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row>
    <row r="997" spans="1:2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row>
    <row r="998" spans="1:27">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row>
    <row r="999" spans="1:27">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spans="1:27">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sheetData>
  <mergeCells count="31">
    <mergeCell ref="B34:C34"/>
    <mergeCell ref="E34:F34"/>
    <mergeCell ref="H34:I34"/>
    <mergeCell ref="E50:F50"/>
    <mergeCell ref="E52:F52"/>
    <mergeCell ref="H52:I52"/>
    <mergeCell ref="E38:F38"/>
    <mergeCell ref="H38:I38"/>
    <mergeCell ref="E43:F43"/>
    <mergeCell ref="H43:I43"/>
    <mergeCell ref="E49:F49"/>
    <mergeCell ref="H49:I49"/>
    <mergeCell ref="H50:I50"/>
    <mergeCell ref="E31:F31"/>
    <mergeCell ref="H31:I31"/>
    <mergeCell ref="B31:C31"/>
    <mergeCell ref="B32:C32"/>
    <mergeCell ref="E32:F32"/>
    <mergeCell ref="H32:I32"/>
    <mergeCell ref="P3:P4"/>
    <mergeCell ref="B20:C20"/>
    <mergeCell ref="E20:F20"/>
    <mergeCell ref="H20:I20"/>
    <mergeCell ref="B25:C25"/>
    <mergeCell ref="E25:F25"/>
    <mergeCell ref="H25:I25"/>
    <mergeCell ref="B3:D3"/>
    <mergeCell ref="E3:G3"/>
    <mergeCell ref="H3:J3"/>
    <mergeCell ref="N3:N4"/>
    <mergeCell ref="O3:O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64D79"/>
  </sheetPr>
  <dimension ref="A1:Z1000"/>
  <sheetViews>
    <sheetView workbookViewId="0"/>
  </sheetViews>
  <sheetFormatPr baseColWidth="10" defaultColWidth="12.6640625" defaultRowHeight="15" customHeight="1"/>
  <cols>
    <col min="1" max="2" width="19.109375" customWidth="1"/>
    <col min="3" max="3" width="25.6640625" customWidth="1"/>
    <col min="4" max="4" width="26.44140625" customWidth="1"/>
    <col min="5" max="6" width="17" customWidth="1"/>
    <col min="7" max="7" width="18" customWidth="1"/>
    <col min="8" max="8" width="17" customWidth="1"/>
    <col min="9" max="10" width="19.109375" customWidth="1"/>
    <col min="11" max="26" width="10" customWidth="1"/>
  </cols>
  <sheetData>
    <row r="1" spans="1:26" ht="12.75" customHeight="1">
      <c r="A1" s="8"/>
    </row>
    <row r="2" spans="1:26" ht="27.75" customHeight="1">
      <c r="D2" s="309" t="s">
        <v>116</v>
      </c>
      <c r="E2" s="310"/>
      <c r="F2" s="310"/>
      <c r="G2" s="310"/>
      <c r="H2" s="310"/>
    </row>
    <row r="3" spans="1:26" ht="12.75" customHeight="1"/>
    <row r="4" spans="1:26" ht="12.75" customHeight="1"/>
    <row r="5" spans="1:26" ht="43.5" customHeight="1">
      <c r="A5" s="311" t="s">
        <v>117</v>
      </c>
      <c r="B5" s="297"/>
      <c r="C5" s="297"/>
      <c r="D5" s="297"/>
      <c r="E5" s="297"/>
      <c r="F5" s="297"/>
      <c r="G5" s="297"/>
      <c r="H5" s="297"/>
      <c r="I5" s="297"/>
      <c r="J5" s="298"/>
    </row>
    <row r="6" spans="1:26" ht="15.75" customHeight="1"/>
    <row r="7" spans="1:26" ht="75.75" customHeight="1">
      <c r="A7" s="81" t="s">
        <v>118</v>
      </c>
      <c r="B7" s="82" t="s">
        <v>119</v>
      </c>
      <c r="C7" s="82" t="s">
        <v>120</v>
      </c>
      <c r="D7" s="82" t="s">
        <v>121</v>
      </c>
      <c r="E7" s="82" t="s">
        <v>122</v>
      </c>
      <c r="F7" s="83" t="s">
        <v>123</v>
      </c>
      <c r="G7" s="84" t="s">
        <v>124</v>
      </c>
      <c r="H7" s="82" t="s">
        <v>125</v>
      </c>
      <c r="I7" s="82" t="s">
        <v>126</v>
      </c>
      <c r="J7" s="82" t="s">
        <v>127</v>
      </c>
      <c r="K7" s="85"/>
      <c r="L7" s="85"/>
      <c r="M7" s="85"/>
      <c r="N7" s="85"/>
      <c r="O7" s="85"/>
      <c r="P7" s="85"/>
      <c r="Q7" s="85"/>
      <c r="R7" s="85"/>
      <c r="S7" s="85"/>
      <c r="T7" s="85"/>
      <c r="U7" s="85"/>
      <c r="V7" s="85"/>
      <c r="W7" s="85"/>
      <c r="X7" s="85"/>
      <c r="Y7" s="85"/>
      <c r="Z7" s="85"/>
    </row>
    <row r="8" spans="1:26" ht="50.25" customHeight="1">
      <c r="A8" s="86" t="s">
        <v>128</v>
      </c>
      <c r="B8" s="87" t="s">
        <v>129</v>
      </c>
      <c r="C8" s="88" t="s">
        <v>130</v>
      </c>
      <c r="D8" s="20" t="s">
        <v>25</v>
      </c>
      <c r="E8" s="89" t="s">
        <v>29</v>
      </c>
      <c r="F8" s="89" t="s">
        <v>29</v>
      </c>
      <c r="G8" s="89" t="s">
        <v>131</v>
      </c>
      <c r="H8" s="90" t="s">
        <v>132</v>
      </c>
      <c r="I8" s="91" t="s">
        <v>133</v>
      </c>
      <c r="J8" s="92" t="s">
        <v>134</v>
      </c>
    </row>
    <row r="9" spans="1:26" ht="50.25" customHeight="1">
      <c r="A9" s="86" t="s">
        <v>135</v>
      </c>
      <c r="B9" s="93" t="s">
        <v>136</v>
      </c>
      <c r="C9" s="88" t="s">
        <v>137</v>
      </c>
      <c r="D9" s="20" t="s">
        <v>138</v>
      </c>
      <c r="E9" s="89" t="s">
        <v>139</v>
      </c>
      <c r="F9" s="89" t="s">
        <v>139</v>
      </c>
      <c r="G9" s="89" t="s">
        <v>140</v>
      </c>
      <c r="H9" s="90" t="s">
        <v>141</v>
      </c>
      <c r="I9" s="91" t="s">
        <v>142</v>
      </c>
      <c r="J9" s="94" t="s">
        <v>143</v>
      </c>
    </row>
    <row r="10" spans="1:26" ht="50.25" customHeight="1">
      <c r="A10" s="86" t="s">
        <v>144</v>
      </c>
      <c r="B10" s="87" t="s">
        <v>145</v>
      </c>
      <c r="C10" s="88" t="s">
        <v>146</v>
      </c>
      <c r="D10" s="20" t="s">
        <v>147</v>
      </c>
      <c r="E10" s="89">
        <v>2017000</v>
      </c>
      <c r="F10" s="89">
        <v>2017000</v>
      </c>
      <c r="G10" s="89" t="s">
        <v>148</v>
      </c>
      <c r="H10" s="90" t="s">
        <v>149</v>
      </c>
      <c r="I10" s="91" t="s">
        <v>142</v>
      </c>
      <c r="J10" s="95" t="s">
        <v>150</v>
      </c>
    </row>
    <row r="11" spans="1:26" ht="15" hidden="1" customHeight="1">
      <c r="A11" s="96"/>
      <c r="B11" s="97"/>
      <c r="C11" s="97"/>
      <c r="D11" s="97"/>
      <c r="E11" s="97"/>
      <c r="F11" s="97"/>
      <c r="G11" s="97"/>
      <c r="H11" s="97"/>
      <c r="I11" s="97"/>
      <c r="J11" s="97"/>
    </row>
    <row r="12" spans="1:26" ht="12.75" customHeight="1"/>
    <row r="13" spans="1:26" ht="138.75" customHeight="1">
      <c r="A13" s="312" t="s">
        <v>151</v>
      </c>
      <c r="B13" s="297"/>
      <c r="C13" s="297"/>
      <c r="D13" s="297"/>
      <c r="E13" s="297"/>
      <c r="F13" s="297"/>
      <c r="G13" s="297"/>
      <c r="H13" s="297"/>
      <c r="I13" s="297"/>
      <c r="J13" s="298"/>
    </row>
    <row r="14" spans="1:26" ht="12.75" customHeight="1"/>
    <row r="15" spans="1:26" ht="75" customHeight="1">
      <c r="A15" s="312" t="s">
        <v>152</v>
      </c>
      <c r="B15" s="297"/>
      <c r="C15" s="297"/>
      <c r="D15" s="297"/>
      <c r="E15" s="297"/>
      <c r="F15" s="297"/>
      <c r="G15" s="297"/>
      <c r="H15" s="297"/>
      <c r="I15" s="297"/>
      <c r="J15" s="29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98"/>
      <c r="E26" s="98"/>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D8" r:id="rId1" xr:uid="{00000000-0004-0000-0300-000000000000}"/>
    <hyperlink ref="D9" r:id="rId2" xr:uid="{00000000-0004-0000-0300-000001000000}"/>
    <hyperlink ref="D10" r:id="rId3" xr:uid="{00000000-0004-0000-0300-000002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row r="2" spans="1:26" ht="27.75" customHeight="1">
      <c r="D2" s="309" t="s">
        <v>116</v>
      </c>
      <c r="E2" s="310"/>
      <c r="F2" s="310"/>
      <c r="G2" s="310"/>
      <c r="H2" s="310"/>
    </row>
    <row r="3" spans="1:26" ht="12.75" customHeight="1"/>
    <row r="4" spans="1:26" ht="12.75" customHeight="1"/>
    <row r="5" spans="1:26" ht="43.5" customHeight="1">
      <c r="A5" s="311" t="s">
        <v>117</v>
      </c>
      <c r="B5" s="297"/>
      <c r="C5" s="297"/>
      <c r="D5" s="297"/>
      <c r="E5" s="297"/>
      <c r="F5" s="297"/>
      <c r="G5" s="297"/>
      <c r="H5" s="297"/>
      <c r="I5" s="297"/>
      <c r="J5" s="298"/>
    </row>
    <row r="6" spans="1:26" ht="15.75" customHeight="1"/>
    <row r="7" spans="1:26" ht="75.75" customHeight="1">
      <c r="A7" s="81" t="s">
        <v>118</v>
      </c>
      <c r="B7" s="99" t="s">
        <v>153</v>
      </c>
      <c r="C7" s="82" t="s">
        <v>154</v>
      </c>
      <c r="D7" s="99" t="s">
        <v>155</v>
      </c>
      <c r="E7" s="99" t="s">
        <v>156</v>
      </c>
      <c r="F7" s="100" t="s">
        <v>157</v>
      </c>
      <c r="G7" s="84" t="s">
        <v>158</v>
      </c>
      <c r="H7" s="99" t="s">
        <v>125</v>
      </c>
      <c r="I7" s="99" t="s">
        <v>159</v>
      </c>
      <c r="J7" s="99" t="s">
        <v>160</v>
      </c>
      <c r="K7" s="85"/>
      <c r="L7" s="85"/>
      <c r="M7" s="85"/>
      <c r="N7" s="85"/>
      <c r="O7" s="85"/>
      <c r="P7" s="85"/>
      <c r="Q7" s="85"/>
      <c r="R7" s="85"/>
      <c r="S7" s="85"/>
      <c r="T7" s="85"/>
      <c r="U7" s="85"/>
      <c r="V7" s="85"/>
      <c r="W7" s="85"/>
      <c r="X7" s="85"/>
      <c r="Y7" s="85"/>
      <c r="Z7" s="85"/>
    </row>
    <row r="8" spans="1:26" ht="75" customHeight="1">
      <c r="A8" s="99" t="s">
        <v>128</v>
      </c>
      <c r="B8" s="87" t="s">
        <v>129</v>
      </c>
      <c r="C8" s="88" t="s">
        <v>130</v>
      </c>
      <c r="D8" s="101" t="s">
        <v>161</v>
      </c>
      <c r="E8" s="102">
        <v>330000</v>
      </c>
      <c r="F8" s="102">
        <v>330000</v>
      </c>
      <c r="G8" s="103">
        <v>89.43</v>
      </c>
      <c r="H8" s="90" t="s">
        <v>132</v>
      </c>
      <c r="I8" s="91" t="s">
        <v>133</v>
      </c>
      <c r="J8" s="92" t="s">
        <v>134</v>
      </c>
    </row>
    <row r="9" spans="1:26" ht="50.25" customHeight="1">
      <c r="A9" s="99" t="s">
        <v>135</v>
      </c>
      <c r="B9" s="93" t="s">
        <v>136</v>
      </c>
      <c r="C9" s="88" t="s">
        <v>137</v>
      </c>
      <c r="D9" s="104" t="s">
        <v>31</v>
      </c>
      <c r="E9" s="102">
        <v>360000</v>
      </c>
      <c r="F9" s="102">
        <v>360000</v>
      </c>
      <c r="G9" s="103">
        <v>97.56</v>
      </c>
      <c r="H9" s="90" t="s">
        <v>141</v>
      </c>
      <c r="I9" s="91" t="s">
        <v>142</v>
      </c>
      <c r="J9" s="94" t="s">
        <v>143</v>
      </c>
    </row>
    <row r="10" spans="1:26" ht="50.25" customHeight="1">
      <c r="A10" s="99" t="s">
        <v>144</v>
      </c>
      <c r="B10" s="87" t="s">
        <v>145</v>
      </c>
      <c r="C10" s="88" t="s">
        <v>146</v>
      </c>
      <c r="D10" s="20" t="s">
        <v>162</v>
      </c>
      <c r="E10" s="102">
        <v>399900</v>
      </c>
      <c r="F10" s="102">
        <v>399900</v>
      </c>
      <c r="G10" s="103">
        <v>109.37</v>
      </c>
      <c r="H10" s="90" t="s">
        <v>149</v>
      </c>
      <c r="I10" s="91" t="s">
        <v>142</v>
      </c>
      <c r="J10" s="95" t="s">
        <v>150</v>
      </c>
    </row>
    <row r="11" spans="1:26" ht="15" hidden="1" customHeight="1">
      <c r="A11" s="96"/>
      <c r="B11" s="97"/>
      <c r="C11" s="97"/>
      <c r="D11" s="97"/>
      <c r="E11" s="97"/>
      <c r="F11" s="97"/>
      <c r="G11" s="97"/>
      <c r="H11" s="97"/>
      <c r="I11" s="97"/>
      <c r="J11" s="97"/>
    </row>
    <row r="12" spans="1:26" ht="12.75" customHeight="1"/>
    <row r="13" spans="1:26" ht="138.75" customHeight="1">
      <c r="A13" s="312" t="s">
        <v>163</v>
      </c>
      <c r="B13" s="297"/>
      <c r="C13" s="297"/>
      <c r="D13" s="297"/>
      <c r="E13" s="297"/>
      <c r="F13" s="297"/>
      <c r="G13" s="297"/>
      <c r="H13" s="297"/>
      <c r="I13" s="297"/>
      <c r="J13" s="298"/>
    </row>
    <row r="14" spans="1:26" ht="12.75" customHeight="1"/>
    <row r="15" spans="1:26" ht="75" customHeight="1">
      <c r="A15" s="312" t="s">
        <v>164</v>
      </c>
      <c r="B15" s="297"/>
      <c r="C15" s="297"/>
      <c r="D15" s="297"/>
      <c r="E15" s="297"/>
      <c r="F15" s="297"/>
      <c r="G15" s="297"/>
      <c r="H15" s="297"/>
      <c r="I15" s="297"/>
      <c r="J15" s="29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98"/>
      <c r="E26" s="98"/>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D8" r:id="rId1" xr:uid="{00000000-0004-0000-0400-000000000000}"/>
    <hyperlink ref="D9" r:id="rId2" xr:uid="{00000000-0004-0000-0400-000001000000}"/>
    <hyperlink ref="D10" r:id="rId3" xr:uid="{00000000-0004-0000-0400-000002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C78D8"/>
  </sheetPr>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row r="2" spans="1:26" ht="27.75" customHeight="1">
      <c r="D2" s="309" t="s">
        <v>116</v>
      </c>
      <c r="E2" s="310"/>
      <c r="F2" s="310"/>
      <c r="G2" s="310"/>
      <c r="H2" s="310"/>
    </row>
    <row r="3" spans="1:26" ht="12.75" customHeight="1"/>
    <row r="4" spans="1:26" ht="12.75" customHeight="1"/>
    <row r="5" spans="1:26" ht="43.5" customHeight="1">
      <c r="A5" s="311" t="s">
        <v>117</v>
      </c>
      <c r="B5" s="297"/>
      <c r="C5" s="297"/>
      <c r="D5" s="297"/>
      <c r="E5" s="297"/>
      <c r="F5" s="297"/>
      <c r="G5" s="297"/>
      <c r="H5" s="297"/>
      <c r="I5" s="297"/>
      <c r="J5" s="298"/>
    </row>
    <row r="6" spans="1:26" ht="15.75" customHeight="1"/>
    <row r="7" spans="1:26" ht="75.75" customHeight="1">
      <c r="A7" s="105" t="s">
        <v>118</v>
      </c>
      <c r="B7" s="106" t="s">
        <v>165</v>
      </c>
      <c r="C7" s="82" t="s">
        <v>166</v>
      </c>
      <c r="D7" s="106" t="s">
        <v>167</v>
      </c>
      <c r="E7" s="106" t="s">
        <v>168</v>
      </c>
      <c r="F7" s="107" t="s">
        <v>169</v>
      </c>
      <c r="G7" s="108" t="s">
        <v>170</v>
      </c>
      <c r="H7" s="106" t="s">
        <v>125</v>
      </c>
      <c r="I7" s="106" t="s">
        <v>171</v>
      </c>
      <c r="J7" s="106" t="s">
        <v>172</v>
      </c>
      <c r="K7" s="85"/>
      <c r="L7" s="85"/>
      <c r="M7" s="85"/>
      <c r="N7" s="85"/>
      <c r="O7" s="85"/>
      <c r="P7" s="85"/>
      <c r="Q7" s="85"/>
      <c r="R7" s="85"/>
      <c r="S7" s="85"/>
      <c r="T7" s="85"/>
      <c r="U7" s="85"/>
      <c r="V7" s="85"/>
      <c r="W7" s="85"/>
      <c r="X7" s="85"/>
      <c r="Y7" s="85"/>
      <c r="Z7" s="85"/>
    </row>
    <row r="8" spans="1:26" ht="50.25" customHeight="1">
      <c r="A8" s="86" t="s">
        <v>128</v>
      </c>
      <c r="B8" s="109" t="s">
        <v>173</v>
      </c>
      <c r="C8" s="109" t="s">
        <v>174</v>
      </c>
      <c r="D8" s="20" t="s">
        <v>39</v>
      </c>
      <c r="E8" s="110" t="s">
        <v>175</v>
      </c>
      <c r="F8" s="110" t="s">
        <v>175</v>
      </c>
      <c r="G8" s="111" t="s">
        <v>176</v>
      </c>
      <c r="H8" s="90" t="s">
        <v>132</v>
      </c>
      <c r="I8" s="91" t="s">
        <v>142</v>
      </c>
      <c r="J8" s="112"/>
    </row>
    <row r="9" spans="1:26" ht="77.25" customHeight="1">
      <c r="A9" s="86" t="s">
        <v>135</v>
      </c>
      <c r="B9" s="113" t="s">
        <v>177</v>
      </c>
      <c r="C9" s="88" t="s">
        <v>178</v>
      </c>
      <c r="D9" s="20" t="s">
        <v>34</v>
      </c>
      <c r="E9" s="110" t="s">
        <v>37</v>
      </c>
      <c r="F9" s="110" t="s">
        <v>37</v>
      </c>
      <c r="G9" s="111" t="s">
        <v>179</v>
      </c>
      <c r="H9" s="90" t="s">
        <v>141</v>
      </c>
      <c r="I9" s="91" t="s">
        <v>142</v>
      </c>
      <c r="J9" s="114"/>
    </row>
    <row r="10" spans="1:26" ht="50.25" customHeight="1">
      <c r="A10" s="86" t="s">
        <v>144</v>
      </c>
      <c r="B10" s="313" t="s">
        <v>180</v>
      </c>
      <c r="C10" s="88" t="s">
        <v>181</v>
      </c>
      <c r="D10" s="315" t="s">
        <v>182</v>
      </c>
      <c r="E10" s="316" t="s">
        <v>183</v>
      </c>
      <c r="F10" s="316" t="s">
        <v>183</v>
      </c>
      <c r="G10" s="111" t="s">
        <v>184</v>
      </c>
      <c r="H10" s="90" t="s">
        <v>149</v>
      </c>
      <c r="I10" s="91" t="s">
        <v>142</v>
      </c>
      <c r="J10" s="115"/>
    </row>
    <row r="11" spans="1:26" ht="15" hidden="1" customHeight="1">
      <c r="A11" s="116"/>
      <c r="B11" s="314"/>
      <c r="C11" s="109"/>
      <c r="D11" s="314"/>
      <c r="E11" s="314"/>
      <c r="F11" s="314"/>
      <c r="G11" s="117"/>
      <c r="H11" s="118"/>
      <c r="I11" s="118"/>
      <c r="J11" s="118"/>
    </row>
    <row r="12" spans="1:26" ht="12.75" customHeight="1"/>
    <row r="13" spans="1:26" ht="138.75" customHeight="1">
      <c r="A13" s="312" t="s">
        <v>185</v>
      </c>
      <c r="B13" s="297"/>
      <c r="C13" s="297"/>
      <c r="D13" s="297"/>
      <c r="E13" s="297"/>
      <c r="F13" s="297"/>
      <c r="G13" s="297"/>
      <c r="H13" s="297"/>
      <c r="I13" s="297"/>
      <c r="J13" s="298"/>
    </row>
    <row r="14" spans="1:26" ht="12.75" customHeight="1"/>
    <row r="15" spans="1:26" ht="75" customHeight="1">
      <c r="A15" s="312" t="s">
        <v>186</v>
      </c>
      <c r="B15" s="297"/>
      <c r="C15" s="297"/>
      <c r="D15" s="297"/>
      <c r="E15" s="297"/>
      <c r="F15" s="297"/>
      <c r="G15" s="297"/>
      <c r="H15" s="297"/>
      <c r="I15" s="297"/>
      <c r="J15" s="29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98"/>
      <c r="E26" s="98"/>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A13:J13"/>
    <mergeCell ref="A15:J15"/>
    <mergeCell ref="D2:H2"/>
    <mergeCell ref="A5:J5"/>
    <mergeCell ref="B10:B11"/>
    <mergeCell ref="D10:D11"/>
    <mergeCell ref="E10:E11"/>
    <mergeCell ref="F10:F11"/>
  </mergeCells>
  <hyperlinks>
    <hyperlink ref="D8" r:id="rId1" xr:uid="{00000000-0004-0000-0500-000000000000}"/>
    <hyperlink ref="D9" r:id="rId2" xr:uid="{00000000-0004-0000-0500-000001000000}"/>
    <hyperlink ref="D10" r:id="rId3" xr:uid="{00000000-0004-0000-0500-000002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row r="2" spans="1:26" ht="27.75" customHeight="1">
      <c r="D2" s="309" t="s">
        <v>116</v>
      </c>
      <c r="E2" s="310"/>
      <c r="F2" s="310"/>
      <c r="G2" s="310"/>
      <c r="H2" s="310"/>
    </row>
    <row r="3" spans="1:26" ht="12.75" customHeight="1"/>
    <row r="4" spans="1:26" ht="12.75" customHeight="1"/>
    <row r="5" spans="1:26" ht="43.5" customHeight="1">
      <c r="A5" s="311" t="s">
        <v>117</v>
      </c>
      <c r="B5" s="297"/>
      <c r="C5" s="297"/>
      <c r="D5" s="297"/>
      <c r="E5" s="297"/>
      <c r="F5" s="297"/>
      <c r="G5" s="297"/>
      <c r="H5" s="297"/>
      <c r="I5" s="297"/>
      <c r="J5" s="298"/>
    </row>
    <row r="6" spans="1:26" ht="15.75" customHeight="1"/>
    <row r="7" spans="1:26" ht="75.75" customHeight="1">
      <c r="A7" s="81" t="s">
        <v>118</v>
      </c>
      <c r="B7" s="106" t="s">
        <v>187</v>
      </c>
      <c r="C7" s="82" t="s">
        <v>188</v>
      </c>
      <c r="D7" s="106" t="s">
        <v>189</v>
      </c>
      <c r="E7" s="106" t="s">
        <v>190</v>
      </c>
      <c r="F7" s="107" t="s">
        <v>191</v>
      </c>
      <c r="G7" s="108" t="s">
        <v>192</v>
      </c>
      <c r="H7" s="106" t="s">
        <v>125</v>
      </c>
      <c r="I7" s="106" t="s">
        <v>193</v>
      </c>
      <c r="J7" s="106" t="s">
        <v>194</v>
      </c>
      <c r="K7" s="85"/>
      <c r="L7" s="85"/>
      <c r="M7" s="85"/>
      <c r="N7" s="85"/>
      <c r="O7" s="85"/>
      <c r="P7" s="85"/>
      <c r="Q7" s="85"/>
      <c r="R7" s="85"/>
      <c r="S7" s="85"/>
      <c r="T7" s="85"/>
      <c r="U7" s="85"/>
      <c r="V7" s="85"/>
      <c r="W7" s="85"/>
      <c r="X7" s="85"/>
      <c r="Y7" s="85"/>
      <c r="Z7" s="85"/>
    </row>
    <row r="8" spans="1:26" ht="50.25" customHeight="1">
      <c r="A8" s="119" t="s">
        <v>128</v>
      </c>
      <c r="B8" s="109" t="s">
        <v>173</v>
      </c>
      <c r="C8" s="109" t="s">
        <v>174</v>
      </c>
      <c r="D8" s="20" t="s">
        <v>39</v>
      </c>
      <c r="E8" s="120" t="s">
        <v>42</v>
      </c>
      <c r="F8" s="120" t="s">
        <v>195</v>
      </c>
      <c r="G8" s="110" t="s">
        <v>196</v>
      </c>
      <c r="H8" s="90" t="s">
        <v>132</v>
      </c>
      <c r="I8" s="91" t="s">
        <v>142</v>
      </c>
      <c r="J8" s="112"/>
    </row>
    <row r="9" spans="1:26" ht="50.25" customHeight="1">
      <c r="A9" s="119" t="s">
        <v>135</v>
      </c>
      <c r="B9" s="113" t="s">
        <v>177</v>
      </c>
      <c r="C9" s="88" t="s">
        <v>178</v>
      </c>
      <c r="D9" s="20" t="s">
        <v>197</v>
      </c>
      <c r="E9" s="120" t="s">
        <v>198</v>
      </c>
      <c r="F9" s="110" t="s">
        <v>198</v>
      </c>
      <c r="G9" s="110" t="s">
        <v>199</v>
      </c>
      <c r="H9" s="90" t="s">
        <v>141</v>
      </c>
      <c r="I9" s="91" t="s">
        <v>142</v>
      </c>
      <c r="J9" s="112"/>
    </row>
    <row r="10" spans="1:26" ht="50.25" customHeight="1">
      <c r="A10" s="119" t="s">
        <v>144</v>
      </c>
      <c r="B10" s="313" t="s">
        <v>180</v>
      </c>
      <c r="C10" s="88" t="s">
        <v>181</v>
      </c>
      <c r="D10" s="101" t="s">
        <v>200</v>
      </c>
      <c r="E10" s="110" t="s">
        <v>201</v>
      </c>
      <c r="F10" s="110" t="s">
        <v>201</v>
      </c>
      <c r="G10" s="110" t="s">
        <v>202</v>
      </c>
      <c r="H10" s="90" t="s">
        <v>149</v>
      </c>
      <c r="I10" s="91" t="s">
        <v>142</v>
      </c>
      <c r="J10" s="109"/>
    </row>
    <row r="11" spans="1:26" ht="15" hidden="1" customHeight="1">
      <c r="A11" s="116"/>
      <c r="B11" s="314"/>
      <c r="C11" s="109"/>
      <c r="D11" s="121"/>
      <c r="E11" s="121"/>
      <c r="F11" s="121"/>
      <c r="G11" s="121"/>
      <c r="H11" s="121"/>
      <c r="I11" s="121"/>
      <c r="J11" s="121"/>
    </row>
    <row r="12" spans="1:26" ht="12.75" customHeight="1"/>
    <row r="13" spans="1:26" ht="138.75" customHeight="1">
      <c r="A13" s="312" t="s">
        <v>203</v>
      </c>
      <c r="B13" s="297"/>
      <c r="C13" s="297"/>
      <c r="D13" s="297"/>
      <c r="E13" s="297"/>
      <c r="F13" s="297"/>
      <c r="G13" s="297"/>
      <c r="H13" s="297"/>
      <c r="I13" s="297"/>
      <c r="J13" s="298"/>
    </row>
    <row r="14" spans="1:26" ht="12.75" customHeight="1"/>
    <row r="15" spans="1:26" ht="75" customHeight="1">
      <c r="A15" s="312" t="s">
        <v>204</v>
      </c>
      <c r="B15" s="297"/>
      <c r="C15" s="297"/>
      <c r="D15" s="297"/>
      <c r="E15" s="297"/>
      <c r="F15" s="297"/>
      <c r="G15" s="297"/>
      <c r="H15" s="297"/>
      <c r="I15" s="297"/>
      <c r="J15" s="29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98"/>
      <c r="E26" s="98"/>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D2:H2"/>
    <mergeCell ref="A5:J5"/>
    <mergeCell ref="B10:B11"/>
    <mergeCell ref="A13:J13"/>
    <mergeCell ref="A15:J15"/>
  </mergeCells>
  <hyperlinks>
    <hyperlink ref="D8" r:id="rId1" xr:uid="{00000000-0004-0000-0600-000000000000}"/>
    <hyperlink ref="D9" r:id="rId2" xr:uid="{00000000-0004-0000-0600-000001000000}"/>
    <hyperlink ref="D10" r:id="rId3" xr:uid="{00000000-0004-0000-0600-000002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row r="2" spans="1:26" ht="27.75" customHeight="1">
      <c r="D2" s="309" t="s">
        <v>116</v>
      </c>
      <c r="E2" s="310"/>
      <c r="F2" s="310"/>
      <c r="G2" s="310"/>
      <c r="H2" s="310"/>
    </row>
    <row r="3" spans="1:26" ht="12.75" customHeight="1"/>
    <row r="4" spans="1:26" ht="12.75" customHeight="1"/>
    <row r="5" spans="1:26" ht="43.5" customHeight="1">
      <c r="A5" s="311" t="s">
        <v>117</v>
      </c>
      <c r="B5" s="297"/>
      <c r="C5" s="297"/>
      <c r="D5" s="297"/>
      <c r="E5" s="297"/>
      <c r="F5" s="297"/>
      <c r="G5" s="297"/>
      <c r="H5" s="297"/>
      <c r="I5" s="297"/>
      <c r="J5" s="298"/>
    </row>
    <row r="6" spans="1:26" ht="15.75" customHeight="1"/>
    <row r="7" spans="1:26" ht="75.75" customHeight="1">
      <c r="A7" s="81" t="s">
        <v>118</v>
      </c>
      <c r="B7" s="106" t="s">
        <v>205</v>
      </c>
      <c r="C7" s="82" t="s">
        <v>206</v>
      </c>
      <c r="D7" s="106" t="s">
        <v>207</v>
      </c>
      <c r="E7" s="106" t="s">
        <v>208</v>
      </c>
      <c r="F7" s="107" t="s">
        <v>209</v>
      </c>
      <c r="G7" s="108" t="s">
        <v>210</v>
      </c>
      <c r="H7" s="106" t="s">
        <v>125</v>
      </c>
      <c r="I7" s="106" t="s">
        <v>211</v>
      </c>
      <c r="J7" s="106" t="s">
        <v>212</v>
      </c>
      <c r="K7" s="85"/>
      <c r="L7" s="85"/>
      <c r="M7" s="85"/>
      <c r="N7" s="85"/>
      <c r="O7" s="85"/>
      <c r="P7" s="85"/>
      <c r="Q7" s="85"/>
      <c r="R7" s="85"/>
      <c r="S7" s="85"/>
      <c r="T7" s="85"/>
      <c r="U7" s="85"/>
      <c r="V7" s="85"/>
      <c r="W7" s="85"/>
      <c r="X7" s="85"/>
      <c r="Y7" s="85"/>
      <c r="Z7" s="85"/>
    </row>
    <row r="8" spans="1:26" ht="50.25" customHeight="1">
      <c r="A8" s="119" t="s">
        <v>128</v>
      </c>
      <c r="B8" s="110" t="s">
        <v>173</v>
      </c>
      <c r="C8" s="110" t="s">
        <v>174</v>
      </c>
      <c r="D8" s="27" t="s">
        <v>44</v>
      </c>
      <c r="E8" s="110" t="s">
        <v>46</v>
      </c>
      <c r="F8" s="110" t="s">
        <v>46</v>
      </c>
      <c r="G8" s="111" t="s">
        <v>213</v>
      </c>
      <c r="H8" s="122" t="s">
        <v>132</v>
      </c>
      <c r="I8" s="91" t="s">
        <v>142</v>
      </c>
      <c r="J8" s="120"/>
    </row>
    <row r="9" spans="1:26" ht="50.25" customHeight="1">
      <c r="A9" s="119" t="s">
        <v>135</v>
      </c>
      <c r="B9" s="123" t="s">
        <v>177</v>
      </c>
      <c r="C9" s="124" t="s">
        <v>178</v>
      </c>
      <c r="D9" s="125" t="s">
        <v>214</v>
      </c>
      <c r="E9" s="120" t="s">
        <v>215</v>
      </c>
      <c r="F9" s="120" t="s">
        <v>215</v>
      </c>
      <c r="G9" s="111" t="s">
        <v>216</v>
      </c>
      <c r="H9" s="122" t="s">
        <v>141</v>
      </c>
      <c r="I9" s="91" t="s">
        <v>142</v>
      </c>
      <c r="J9" s="120"/>
    </row>
    <row r="10" spans="1:26" ht="50.25" customHeight="1">
      <c r="A10" s="119" t="s">
        <v>144</v>
      </c>
      <c r="B10" s="316" t="s">
        <v>180</v>
      </c>
      <c r="C10" s="124" t="s">
        <v>181</v>
      </c>
      <c r="D10" s="125" t="s">
        <v>217</v>
      </c>
      <c r="E10" s="120" t="s">
        <v>218</v>
      </c>
      <c r="F10" s="120" t="s">
        <v>218</v>
      </c>
      <c r="G10" s="111" t="s">
        <v>219</v>
      </c>
      <c r="H10" s="122" t="s">
        <v>149</v>
      </c>
      <c r="I10" s="91" t="s">
        <v>142</v>
      </c>
      <c r="J10" s="120"/>
    </row>
    <row r="11" spans="1:26" ht="15" hidden="1" customHeight="1">
      <c r="A11" s="96"/>
      <c r="B11" s="314"/>
      <c r="C11" s="110"/>
      <c r="D11" s="126"/>
      <c r="E11" s="126"/>
      <c r="F11" s="126"/>
      <c r="G11" s="126"/>
      <c r="H11" s="126"/>
      <c r="I11" s="126"/>
      <c r="J11" s="126"/>
    </row>
    <row r="12" spans="1:26" ht="12.75" customHeight="1"/>
    <row r="13" spans="1:26" ht="138.75" customHeight="1">
      <c r="A13" s="312" t="s">
        <v>220</v>
      </c>
      <c r="B13" s="297"/>
      <c r="C13" s="297"/>
      <c r="D13" s="297"/>
      <c r="E13" s="297"/>
      <c r="F13" s="297"/>
      <c r="G13" s="297"/>
      <c r="H13" s="297"/>
      <c r="I13" s="297"/>
      <c r="J13" s="298"/>
    </row>
    <row r="14" spans="1:26" ht="12.75" customHeight="1"/>
    <row r="15" spans="1:26" ht="75" customHeight="1">
      <c r="A15" s="312" t="s">
        <v>221</v>
      </c>
      <c r="B15" s="297"/>
      <c r="C15" s="297"/>
      <c r="D15" s="297"/>
      <c r="E15" s="297"/>
      <c r="F15" s="297"/>
      <c r="G15" s="297"/>
      <c r="H15" s="297"/>
      <c r="I15" s="297"/>
      <c r="J15" s="29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98"/>
      <c r="E26" s="98"/>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D2:H2"/>
    <mergeCell ref="A5:J5"/>
    <mergeCell ref="B10:B11"/>
    <mergeCell ref="A13:J13"/>
    <mergeCell ref="A15:J15"/>
  </mergeCells>
  <hyperlinks>
    <hyperlink ref="D8" r:id="rId1" xr:uid="{00000000-0004-0000-0700-000000000000}"/>
    <hyperlink ref="D9" r:id="rId2" xr:uid="{00000000-0004-0000-0700-000001000000}"/>
    <hyperlink ref="D10" r:id="rId3" xr:uid="{00000000-0004-0000-0700-000002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9" width="19.109375" customWidth="1"/>
    <col min="10" max="10" width="29.88671875" customWidth="1"/>
    <col min="11" max="26" width="10" customWidth="1"/>
  </cols>
  <sheetData>
    <row r="1" spans="1:26" ht="12.75" customHeight="1"/>
    <row r="2" spans="1:26" ht="27.75" customHeight="1">
      <c r="D2" s="309" t="s">
        <v>116</v>
      </c>
      <c r="E2" s="310"/>
      <c r="F2" s="310"/>
      <c r="G2" s="310"/>
      <c r="H2" s="310"/>
    </row>
    <row r="3" spans="1:26" ht="12.75" customHeight="1"/>
    <row r="4" spans="1:26" ht="12.75" customHeight="1"/>
    <row r="5" spans="1:26" ht="43.5" customHeight="1">
      <c r="A5" s="311" t="s">
        <v>117</v>
      </c>
      <c r="B5" s="297"/>
      <c r="C5" s="297"/>
      <c r="D5" s="297"/>
      <c r="E5" s="297"/>
      <c r="F5" s="297"/>
      <c r="G5" s="297"/>
      <c r="H5" s="297"/>
      <c r="I5" s="297"/>
      <c r="J5" s="298"/>
    </row>
    <row r="6" spans="1:26" ht="15.75" customHeight="1"/>
    <row r="7" spans="1:26" ht="75.75" customHeight="1">
      <c r="A7" s="81" t="s">
        <v>118</v>
      </c>
      <c r="B7" s="106" t="s">
        <v>222</v>
      </c>
      <c r="C7" s="82" t="s">
        <v>223</v>
      </c>
      <c r="D7" s="106" t="s">
        <v>224</v>
      </c>
      <c r="E7" s="106" t="s">
        <v>225</v>
      </c>
      <c r="F7" s="107" t="s">
        <v>226</v>
      </c>
      <c r="G7" s="127" t="s">
        <v>227</v>
      </c>
      <c r="H7" s="106" t="s">
        <v>125</v>
      </c>
      <c r="I7" s="106" t="s">
        <v>228</v>
      </c>
      <c r="J7" s="106" t="s">
        <v>229</v>
      </c>
      <c r="K7" s="85"/>
      <c r="L7" s="85"/>
      <c r="M7" s="85"/>
      <c r="N7" s="85"/>
      <c r="O7" s="85"/>
      <c r="P7" s="85"/>
      <c r="Q7" s="85"/>
      <c r="R7" s="85"/>
      <c r="S7" s="85"/>
      <c r="T7" s="85"/>
      <c r="U7" s="85"/>
      <c r="V7" s="85"/>
      <c r="W7" s="85"/>
      <c r="X7" s="85"/>
      <c r="Y7" s="85"/>
      <c r="Z7" s="85"/>
    </row>
    <row r="8" spans="1:26" ht="50.25" customHeight="1">
      <c r="A8" s="119" t="s">
        <v>128</v>
      </c>
      <c r="B8" s="110" t="s">
        <v>49</v>
      </c>
      <c r="C8" s="110" t="s">
        <v>230</v>
      </c>
      <c r="D8" s="27" t="s">
        <v>48</v>
      </c>
      <c r="E8" s="110" t="s">
        <v>51</v>
      </c>
      <c r="F8" s="110" t="s">
        <v>51</v>
      </c>
      <c r="G8" s="110" t="s">
        <v>231</v>
      </c>
      <c r="H8" s="122" t="s">
        <v>132</v>
      </c>
      <c r="I8" s="110" t="s">
        <v>232</v>
      </c>
      <c r="J8" s="120" t="s">
        <v>233</v>
      </c>
    </row>
    <row r="9" spans="1:26" ht="50.25" customHeight="1">
      <c r="A9" s="119" t="s">
        <v>135</v>
      </c>
      <c r="B9" s="110" t="s">
        <v>53</v>
      </c>
      <c r="C9" s="110" t="s">
        <v>234</v>
      </c>
      <c r="D9" s="27" t="s">
        <v>48</v>
      </c>
      <c r="E9" s="120" t="s">
        <v>55</v>
      </c>
      <c r="F9" s="120" t="s">
        <v>55</v>
      </c>
      <c r="G9" s="110" t="s">
        <v>235</v>
      </c>
      <c r="H9" s="122" t="s">
        <v>141</v>
      </c>
      <c r="I9" s="110" t="s">
        <v>232</v>
      </c>
      <c r="J9" s="120" t="s">
        <v>236</v>
      </c>
    </row>
    <row r="10" spans="1:26" ht="50.25" customHeight="1">
      <c r="A10" s="119" t="s">
        <v>144</v>
      </c>
      <c r="B10" s="110" t="s">
        <v>237</v>
      </c>
      <c r="C10" s="110" t="s">
        <v>238</v>
      </c>
      <c r="D10" s="27" t="s">
        <v>48</v>
      </c>
      <c r="E10" s="120" t="s">
        <v>239</v>
      </c>
      <c r="F10" s="120" t="s">
        <v>239</v>
      </c>
      <c r="G10" s="110" t="s">
        <v>240</v>
      </c>
      <c r="H10" s="122" t="s">
        <v>149</v>
      </c>
      <c r="I10" s="110" t="s">
        <v>232</v>
      </c>
      <c r="J10" s="110" t="s">
        <v>241</v>
      </c>
    </row>
    <row r="11" spans="1:26" ht="15" hidden="1" customHeight="1">
      <c r="A11" s="96"/>
      <c r="B11" s="128"/>
      <c r="C11" s="128"/>
      <c r="D11" s="128"/>
      <c r="E11" s="128">
        <v>11.9</v>
      </c>
      <c r="F11" s="128"/>
      <c r="G11" s="128"/>
      <c r="H11" s="128"/>
      <c r="I11" s="128"/>
      <c r="J11" s="128"/>
    </row>
    <row r="12" spans="1:26" ht="12.75" customHeight="1"/>
    <row r="13" spans="1:26" ht="138.75" customHeight="1">
      <c r="A13" s="312" t="s">
        <v>242</v>
      </c>
      <c r="B13" s="297"/>
      <c r="C13" s="297"/>
      <c r="D13" s="297"/>
      <c r="E13" s="297"/>
      <c r="F13" s="297"/>
      <c r="G13" s="297"/>
      <c r="H13" s="297"/>
      <c r="I13" s="297"/>
      <c r="J13" s="298"/>
    </row>
    <row r="14" spans="1:26" ht="12.75" customHeight="1"/>
    <row r="15" spans="1:26" ht="75" customHeight="1">
      <c r="A15" s="312" t="s">
        <v>243</v>
      </c>
      <c r="B15" s="297"/>
      <c r="C15" s="297"/>
      <c r="D15" s="297"/>
      <c r="E15" s="297"/>
      <c r="F15" s="297"/>
      <c r="G15" s="297"/>
      <c r="H15" s="297"/>
      <c r="I15" s="297"/>
      <c r="J15" s="29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98"/>
      <c r="E26" s="98"/>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D8" r:id="rId1" xr:uid="{00000000-0004-0000-0800-000000000000}"/>
    <hyperlink ref="D9" r:id="rId2" xr:uid="{00000000-0004-0000-0800-000001000000}"/>
    <hyperlink ref="D10" r:id="rId3" xr:uid="{00000000-0004-0000-0800-000002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row r="2" spans="1:26" ht="27.75" customHeight="1">
      <c r="D2" s="309" t="s">
        <v>116</v>
      </c>
      <c r="E2" s="310"/>
      <c r="F2" s="310"/>
      <c r="G2" s="310"/>
      <c r="H2" s="310"/>
    </row>
    <row r="3" spans="1:26" ht="12.75" customHeight="1"/>
    <row r="4" spans="1:26" ht="12.75" customHeight="1"/>
    <row r="5" spans="1:26" ht="43.5" customHeight="1">
      <c r="A5" s="311" t="s">
        <v>117</v>
      </c>
      <c r="B5" s="297"/>
      <c r="C5" s="297"/>
      <c r="D5" s="297"/>
      <c r="E5" s="297"/>
      <c r="F5" s="297"/>
      <c r="G5" s="297"/>
      <c r="H5" s="297"/>
      <c r="I5" s="297"/>
      <c r="J5" s="298"/>
    </row>
    <row r="6" spans="1:26" ht="15.75" customHeight="1"/>
    <row r="7" spans="1:26" ht="75.75" customHeight="1">
      <c r="A7" s="129" t="s">
        <v>118</v>
      </c>
      <c r="B7" s="130" t="s">
        <v>244</v>
      </c>
      <c r="C7" s="131" t="s">
        <v>245</v>
      </c>
      <c r="D7" s="130" t="s">
        <v>246</v>
      </c>
      <c r="E7" s="130" t="s">
        <v>247</v>
      </c>
      <c r="F7" s="132" t="s">
        <v>248</v>
      </c>
      <c r="G7" s="133" t="s">
        <v>249</v>
      </c>
      <c r="H7" s="130" t="s">
        <v>125</v>
      </c>
      <c r="I7" s="130" t="s">
        <v>250</v>
      </c>
      <c r="J7" s="130" t="s">
        <v>251</v>
      </c>
      <c r="K7" s="85"/>
      <c r="L7" s="85"/>
      <c r="M7" s="85"/>
      <c r="N7" s="85"/>
      <c r="O7" s="85"/>
      <c r="P7" s="85"/>
      <c r="Q7" s="85"/>
      <c r="R7" s="85"/>
      <c r="S7" s="85"/>
      <c r="T7" s="85"/>
      <c r="U7" s="85"/>
      <c r="V7" s="85"/>
      <c r="W7" s="85"/>
      <c r="X7" s="85"/>
      <c r="Y7" s="85"/>
      <c r="Z7" s="85"/>
    </row>
    <row r="8" spans="1:26" ht="50.25" customHeight="1">
      <c r="A8" s="134" t="s">
        <v>128</v>
      </c>
      <c r="B8" s="110" t="s">
        <v>252</v>
      </c>
      <c r="C8" s="110" t="s">
        <v>253</v>
      </c>
      <c r="D8" s="125" t="s">
        <v>254</v>
      </c>
      <c r="E8" s="120" t="s">
        <v>60</v>
      </c>
      <c r="F8" s="120" t="s">
        <v>60</v>
      </c>
      <c r="G8" s="110" t="s">
        <v>255</v>
      </c>
      <c r="H8" s="122" t="s">
        <v>132</v>
      </c>
      <c r="I8" s="110" t="s">
        <v>256</v>
      </c>
      <c r="J8" s="135"/>
    </row>
    <row r="9" spans="1:26" ht="50.25" customHeight="1">
      <c r="A9" s="134" t="s">
        <v>135</v>
      </c>
      <c r="B9" s="110" t="s">
        <v>257</v>
      </c>
      <c r="C9" s="110" t="s">
        <v>258</v>
      </c>
      <c r="D9" s="125" t="s">
        <v>259</v>
      </c>
      <c r="E9" s="120" t="s">
        <v>60</v>
      </c>
      <c r="F9" s="120" t="s">
        <v>60</v>
      </c>
      <c r="G9" s="110" t="s">
        <v>255</v>
      </c>
      <c r="H9" s="122" t="s">
        <v>141</v>
      </c>
      <c r="I9" s="110" t="s">
        <v>256</v>
      </c>
      <c r="J9" s="136"/>
    </row>
    <row r="10" spans="1:26" ht="50.25" customHeight="1">
      <c r="A10" s="134" t="s">
        <v>144</v>
      </c>
      <c r="B10" s="110" t="s">
        <v>260</v>
      </c>
      <c r="C10" s="110" t="s">
        <v>261</v>
      </c>
      <c r="D10" s="317" t="s">
        <v>57</v>
      </c>
      <c r="E10" s="318" t="s">
        <v>60</v>
      </c>
      <c r="F10" s="318" t="s">
        <v>60</v>
      </c>
      <c r="G10" s="110" t="s">
        <v>255</v>
      </c>
      <c r="H10" s="122" t="s">
        <v>149</v>
      </c>
      <c r="I10" s="110" t="s">
        <v>256</v>
      </c>
      <c r="J10" s="137"/>
    </row>
    <row r="11" spans="1:26" ht="15" hidden="1" customHeight="1">
      <c r="A11" s="138"/>
      <c r="B11" s="139"/>
      <c r="C11" s="110"/>
      <c r="D11" s="314"/>
      <c r="E11" s="314"/>
      <c r="F11" s="314"/>
      <c r="G11" s="137"/>
      <c r="H11" s="137"/>
      <c r="I11" s="137"/>
      <c r="J11" s="137"/>
    </row>
    <row r="12" spans="1:26" ht="12.75" customHeight="1"/>
    <row r="13" spans="1:26" ht="138.75" customHeight="1">
      <c r="A13" s="312" t="s">
        <v>262</v>
      </c>
      <c r="B13" s="297"/>
      <c r="C13" s="297"/>
      <c r="D13" s="297"/>
      <c r="E13" s="297"/>
      <c r="F13" s="297"/>
      <c r="G13" s="297"/>
      <c r="H13" s="297"/>
      <c r="I13" s="297"/>
      <c r="J13" s="298"/>
    </row>
    <row r="14" spans="1:26" ht="12.75" customHeight="1"/>
    <row r="15" spans="1:26" ht="75" customHeight="1">
      <c r="A15" s="312" t="s">
        <v>263</v>
      </c>
      <c r="B15" s="297"/>
      <c r="C15" s="297"/>
      <c r="D15" s="297"/>
      <c r="E15" s="297"/>
      <c r="F15" s="297"/>
      <c r="G15" s="297"/>
      <c r="H15" s="297"/>
      <c r="I15" s="297"/>
      <c r="J15" s="29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98"/>
      <c r="E26" s="98"/>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A13:J13"/>
    <mergeCell ref="A15:J15"/>
    <mergeCell ref="D2:H2"/>
    <mergeCell ref="A5:J5"/>
    <mergeCell ref="D10:D11"/>
    <mergeCell ref="E10:E11"/>
    <mergeCell ref="F10:F11"/>
  </mergeCells>
  <hyperlinks>
    <hyperlink ref="D8" r:id="rId1" xr:uid="{00000000-0004-0000-0900-000000000000}"/>
    <hyperlink ref="D9" r:id="rId2" xr:uid="{00000000-0004-0000-0900-000001000000}"/>
    <hyperlink ref="D10" r:id="rId3" xr:uid="{00000000-0004-0000-0900-000002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row r="2" spans="1:26" ht="27.75" customHeight="1">
      <c r="D2" s="309" t="s">
        <v>116</v>
      </c>
      <c r="E2" s="310"/>
      <c r="F2" s="310"/>
      <c r="G2" s="310"/>
      <c r="H2" s="310"/>
    </row>
    <row r="3" spans="1:26" ht="12.75" customHeight="1"/>
    <row r="4" spans="1:26" ht="12.75" customHeight="1"/>
    <row r="5" spans="1:26" ht="43.5" customHeight="1">
      <c r="A5" s="311" t="s">
        <v>117</v>
      </c>
      <c r="B5" s="297"/>
      <c r="C5" s="297"/>
      <c r="D5" s="297"/>
      <c r="E5" s="297"/>
      <c r="F5" s="297"/>
      <c r="G5" s="297"/>
      <c r="H5" s="297"/>
      <c r="I5" s="297"/>
      <c r="J5" s="298"/>
    </row>
    <row r="6" spans="1:26" ht="15.75" customHeight="1"/>
    <row r="7" spans="1:26" ht="75.75" customHeight="1">
      <c r="A7" s="140" t="s">
        <v>118</v>
      </c>
      <c r="B7" s="141" t="s">
        <v>264</v>
      </c>
      <c r="C7" s="142" t="s">
        <v>265</v>
      </c>
      <c r="D7" s="141" t="s">
        <v>266</v>
      </c>
      <c r="E7" s="141" t="s">
        <v>267</v>
      </c>
      <c r="F7" s="143" t="s">
        <v>268</v>
      </c>
      <c r="G7" s="144" t="s">
        <v>269</v>
      </c>
      <c r="H7" s="141" t="s">
        <v>125</v>
      </c>
      <c r="I7" s="141" t="s">
        <v>270</v>
      </c>
      <c r="J7" s="141" t="s">
        <v>271</v>
      </c>
      <c r="K7" s="85"/>
      <c r="L7" s="85"/>
      <c r="M7" s="85"/>
      <c r="N7" s="85"/>
      <c r="O7" s="85"/>
      <c r="P7" s="85"/>
      <c r="Q7" s="85"/>
      <c r="R7" s="85"/>
      <c r="S7" s="85"/>
      <c r="T7" s="85"/>
      <c r="U7" s="85"/>
      <c r="V7" s="85"/>
      <c r="W7" s="85"/>
      <c r="X7" s="85"/>
      <c r="Y7" s="85"/>
      <c r="Z7" s="85"/>
    </row>
    <row r="8" spans="1:26" ht="50.25" customHeight="1">
      <c r="A8" s="145" t="s">
        <v>128</v>
      </c>
      <c r="B8" s="110" t="s">
        <v>252</v>
      </c>
      <c r="C8" s="110" t="s">
        <v>253</v>
      </c>
      <c r="D8" s="27" t="s">
        <v>272</v>
      </c>
      <c r="E8" s="120" t="s">
        <v>273</v>
      </c>
      <c r="F8" s="120" t="s">
        <v>273</v>
      </c>
      <c r="G8" s="110" t="s">
        <v>274</v>
      </c>
      <c r="H8" s="122" t="s">
        <v>132</v>
      </c>
      <c r="I8" s="110" t="s">
        <v>256</v>
      </c>
      <c r="J8" s="146"/>
    </row>
    <row r="9" spans="1:26" ht="50.25" customHeight="1">
      <c r="A9" s="145" t="s">
        <v>135</v>
      </c>
      <c r="B9" s="110" t="s">
        <v>257</v>
      </c>
      <c r="C9" s="110" t="s">
        <v>258</v>
      </c>
      <c r="D9" s="27" t="s">
        <v>62</v>
      </c>
      <c r="E9" s="110" t="s">
        <v>65</v>
      </c>
      <c r="F9" s="110" t="s">
        <v>275</v>
      </c>
      <c r="G9" s="110" t="s">
        <v>274</v>
      </c>
      <c r="H9" s="122" t="s">
        <v>141</v>
      </c>
      <c r="I9" s="110" t="s">
        <v>256</v>
      </c>
      <c r="J9" s="146"/>
    </row>
    <row r="10" spans="1:26" ht="50.25" customHeight="1">
      <c r="A10" s="145" t="s">
        <v>144</v>
      </c>
      <c r="B10" s="110" t="s">
        <v>260</v>
      </c>
      <c r="C10" s="110" t="s">
        <v>261</v>
      </c>
      <c r="D10" s="27" t="s">
        <v>276</v>
      </c>
      <c r="E10" s="120" t="s">
        <v>275</v>
      </c>
      <c r="F10" s="120" t="s">
        <v>275</v>
      </c>
      <c r="G10" s="110" t="s">
        <v>274</v>
      </c>
      <c r="H10" s="122" t="s">
        <v>149</v>
      </c>
      <c r="I10" s="110" t="s">
        <v>256</v>
      </c>
      <c r="J10" s="146"/>
    </row>
    <row r="11" spans="1:26" ht="15" hidden="1" customHeight="1">
      <c r="A11" s="96"/>
      <c r="B11" s="128"/>
      <c r="C11" s="128"/>
      <c r="D11" s="128"/>
      <c r="E11" s="128"/>
      <c r="F11" s="128"/>
      <c r="G11" s="128"/>
      <c r="H11" s="128"/>
      <c r="I11" s="8" t="s">
        <v>277</v>
      </c>
      <c r="J11" s="128"/>
    </row>
    <row r="12" spans="1:26" ht="12.75" customHeight="1"/>
    <row r="13" spans="1:26" ht="138.75" customHeight="1">
      <c r="A13" s="312" t="s">
        <v>278</v>
      </c>
      <c r="B13" s="297"/>
      <c r="C13" s="297"/>
      <c r="D13" s="297"/>
      <c r="E13" s="297"/>
      <c r="F13" s="297"/>
      <c r="G13" s="297"/>
      <c r="H13" s="297"/>
      <c r="I13" s="297"/>
      <c r="J13" s="298"/>
    </row>
    <row r="14" spans="1:26" ht="12.75" customHeight="1"/>
    <row r="15" spans="1:26" ht="75" customHeight="1">
      <c r="A15" s="312" t="s">
        <v>279</v>
      </c>
      <c r="B15" s="297"/>
      <c r="C15" s="297"/>
      <c r="D15" s="297"/>
      <c r="E15" s="297"/>
      <c r="F15" s="297"/>
      <c r="G15" s="297"/>
      <c r="H15" s="297"/>
      <c r="I15" s="297"/>
      <c r="J15" s="29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98"/>
      <c r="E26" s="98"/>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D8" r:id="rId1" xr:uid="{00000000-0004-0000-0A00-000000000000}"/>
    <hyperlink ref="D9" r:id="rId2" xr:uid="{00000000-0004-0000-0A00-000001000000}"/>
    <hyperlink ref="D10" r:id="rId3" xr:uid="{00000000-0004-0000-0A00-000002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baseColWidth="10" defaultColWidth="12.6640625" defaultRowHeight="15" customHeight="1"/>
  <cols>
    <col min="1" max="3" width="19.109375" customWidth="1"/>
    <col min="4" max="4" width="39.33203125" customWidth="1"/>
    <col min="5" max="6" width="17" customWidth="1"/>
    <col min="7" max="7" width="18" customWidth="1"/>
    <col min="8" max="8" width="17" customWidth="1"/>
    <col min="9" max="9" width="23.33203125" customWidth="1"/>
    <col min="10" max="10" width="22.6640625" customWidth="1"/>
    <col min="11" max="26" width="10" customWidth="1"/>
  </cols>
  <sheetData>
    <row r="1" spans="1:26" ht="12.75" customHeight="1">
      <c r="J1" s="147"/>
    </row>
    <row r="2" spans="1:26" ht="27.75" customHeight="1">
      <c r="D2" s="309" t="s">
        <v>116</v>
      </c>
      <c r="E2" s="310"/>
      <c r="F2" s="310"/>
      <c r="G2" s="310"/>
      <c r="H2" s="310"/>
      <c r="J2" s="147"/>
    </row>
    <row r="3" spans="1:26" ht="12.75" customHeight="1">
      <c r="J3" s="147"/>
    </row>
    <row r="4" spans="1:26" ht="12.75" customHeight="1">
      <c r="J4" s="147"/>
    </row>
    <row r="5" spans="1:26" ht="43.5" customHeight="1">
      <c r="A5" s="311" t="s">
        <v>117</v>
      </c>
      <c r="B5" s="297"/>
      <c r="C5" s="297"/>
      <c r="D5" s="297"/>
      <c r="E5" s="297"/>
      <c r="F5" s="297"/>
      <c r="G5" s="297"/>
      <c r="H5" s="297"/>
      <c r="I5" s="297"/>
      <c r="J5" s="298"/>
      <c r="M5" s="148" t="s">
        <v>280</v>
      </c>
    </row>
    <row r="6" spans="1:26" ht="15.75" customHeight="1">
      <c r="J6" s="147"/>
    </row>
    <row r="7" spans="1:26" ht="75.75" customHeight="1">
      <c r="A7" s="81" t="s">
        <v>118</v>
      </c>
      <c r="B7" s="106" t="s">
        <v>281</v>
      </c>
      <c r="C7" s="82" t="s">
        <v>282</v>
      </c>
      <c r="D7" s="106" t="s">
        <v>283</v>
      </c>
      <c r="E7" s="106" t="s">
        <v>284</v>
      </c>
      <c r="F7" s="107" t="s">
        <v>285</v>
      </c>
      <c r="G7" s="149" t="s">
        <v>286</v>
      </c>
      <c r="H7" s="106" t="s">
        <v>125</v>
      </c>
      <c r="I7" s="106" t="s">
        <v>287</v>
      </c>
      <c r="J7" s="106" t="s">
        <v>288</v>
      </c>
      <c r="K7" s="85"/>
      <c r="M7" s="85"/>
      <c r="N7" s="85"/>
      <c r="O7" s="85"/>
      <c r="P7" s="85"/>
      <c r="Q7" s="85"/>
      <c r="R7" s="85"/>
      <c r="S7" s="85"/>
      <c r="T7" s="85"/>
      <c r="U7" s="85"/>
      <c r="V7" s="85"/>
      <c r="W7" s="85"/>
      <c r="X7" s="85"/>
      <c r="Y7" s="85"/>
      <c r="Z7" s="85"/>
    </row>
    <row r="8" spans="1:26" ht="141.75" customHeight="1">
      <c r="A8" s="119" t="s">
        <v>128</v>
      </c>
      <c r="B8" s="109" t="s">
        <v>289</v>
      </c>
      <c r="C8" s="150" t="s">
        <v>290</v>
      </c>
      <c r="D8" s="151" t="s">
        <v>291</v>
      </c>
      <c r="E8" s="152">
        <v>2029000</v>
      </c>
      <c r="F8" s="152">
        <v>2029000</v>
      </c>
      <c r="G8" s="153">
        <v>557.45000000000005</v>
      </c>
      <c r="H8" s="154" t="s">
        <v>292</v>
      </c>
      <c r="I8" s="109" t="s">
        <v>293</v>
      </c>
      <c r="J8" s="112" t="s">
        <v>294</v>
      </c>
    </row>
    <row r="9" spans="1:26" ht="124.5" customHeight="1">
      <c r="A9" s="119" t="s">
        <v>135</v>
      </c>
      <c r="B9" s="113" t="s">
        <v>295</v>
      </c>
      <c r="C9" s="109" t="s">
        <v>296</v>
      </c>
      <c r="D9" s="155" t="s">
        <v>297</v>
      </c>
      <c r="E9" s="156">
        <v>2399000</v>
      </c>
      <c r="F9" s="157">
        <v>2399000</v>
      </c>
      <c r="G9" s="103">
        <v>649.65</v>
      </c>
      <c r="H9" s="154" t="s">
        <v>298</v>
      </c>
      <c r="I9" s="109" t="s">
        <v>299</v>
      </c>
      <c r="J9" s="158" t="s">
        <v>294</v>
      </c>
    </row>
    <row r="10" spans="1:26" ht="152.25" customHeight="1">
      <c r="A10" s="119" t="s">
        <v>144</v>
      </c>
      <c r="B10" s="109" t="s">
        <v>289</v>
      </c>
      <c r="C10" s="159" t="s">
        <v>290</v>
      </c>
      <c r="D10" s="160" t="s">
        <v>300</v>
      </c>
      <c r="E10" s="157">
        <v>2349000</v>
      </c>
      <c r="F10" s="157">
        <v>2349000</v>
      </c>
      <c r="G10" s="103">
        <v>647.28</v>
      </c>
      <c r="H10" s="154" t="s">
        <v>301</v>
      </c>
      <c r="I10" s="109" t="s">
        <v>293</v>
      </c>
      <c r="J10" s="158" t="s">
        <v>294</v>
      </c>
    </row>
    <row r="11" spans="1:26" ht="15" customHeight="1">
      <c r="A11" s="96"/>
      <c r="B11" s="128"/>
      <c r="C11" s="128" t="s">
        <v>280</v>
      </c>
      <c r="D11" s="128"/>
      <c r="E11" s="128"/>
      <c r="F11" s="128"/>
      <c r="G11" s="128"/>
      <c r="H11" s="128"/>
      <c r="I11" s="128"/>
      <c r="J11" s="161"/>
    </row>
    <row r="12" spans="1:26" ht="12.75" customHeight="1">
      <c r="J12" s="147"/>
    </row>
    <row r="13" spans="1:26" ht="138.75" customHeight="1">
      <c r="A13" s="312" t="s">
        <v>302</v>
      </c>
      <c r="B13" s="297"/>
      <c r="C13" s="297"/>
      <c r="D13" s="297"/>
      <c r="E13" s="297"/>
      <c r="F13" s="297"/>
      <c r="G13" s="297"/>
      <c r="H13" s="297"/>
      <c r="I13" s="297"/>
      <c r="J13" s="298"/>
    </row>
    <row r="14" spans="1:26" ht="12.75" customHeight="1">
      <c r="J14" s="147"/>
    </row>
    <row r="15" spans="1:26" ht="75" customHeight="1">
      <c r="A15" s="312" t="s">
        <v>303</v>
      </c>
      <c r="B15" s="297"/>
      <c r="C15" s="297"/>
      <c r="D15" s="297"/>
      <c r="E15" s="297"/>
      <c r="F15" s="297"/>
      <c r="G15" s="297"/>
      <c r="H15" s="297"/>
      <c r="I15" s="297"/>
      <c r="J15" s="298"/>
    </row>
    <row r="16" spans="1:26" ht="12.75" customHeight="1">
      <c r="J16" s="147"/>
    </row>
    <row r="17" spans="4:10" ht="12.75" customHeight="1">
      <c r="J17" s="147"/>
    </row>
    <row r="18" spans="4:10" ht="12.75" customHeight="1">
      <c r="J18" s="147"/>
    </row>
    <row r="19" spans="4:10" ht="12.75" customHeight="1">
      <c r="J19" s="147"/>
    </row>
    <row r="20" spans="4:10" ht="12.75" customHeight="1">
      <c r="J20" s="147"/>
    </row>
    <row r="21" spans="4:10" ht="12.75" customHeight="1">
      <c r="J21" s="147"/>
    </row>
    <row r="22" spans="4:10" ht="12.75" customHeight="1">
      <c r="J22" s="147"/>
    </row>
    <row r="23" spans="4:10" ht="12.75" customHeight="1">
      <c r="J23" s="147"/>
    </row>
    <row r="24" spans="4:10" ht="12.75" customHeight="1">
      <c r="J24" s="147"/>
    </row>
    <row r="25" spans="4:10" ht="12.75" customHeight="1">
      <c r="J25" s="147"/>
    </row>
    <row r="26" spans="4:10" ht="12.75" customHeight="1">
      <c r="D26" s="98"/>
      <c r="E26" s="98"/>
      <c r="F26" s="8"/>
      <c r="G26" s="8"/>
      <c r="J26" s="147"/>
    </row>
    <row r="27" spans="4:10" ht="12.75" customHeight="1">
      <c r="J27" s="147"/>
    </row>
    <row r="28" spans="4:10" ht="12.75" customHeight="1">
      <c r="J28" s="147"/>
    </row>
    <row r="29" spans="4:10" ht="12.75" customHeight="1">
      <c r="J29" s="147"/>
    </row>
    <row r="30" spans="4:10" ht="12.75" customHeight="1">
      <c r="J30" s="147"/>
    </row>
    <row r="31" spans="4:10" ht="12.75" customHeight="1">
      <c r="J31" s="147"/>
    </row>
    <row r="32" spans="4:10" ht="12.75" customHeight="1">
      <c r="J32" s="147"/>
    </row>
    <row r="33" spans="10:10" ht="12.75" customHeight="1">
      <c r="J33" s="147"/>
    </row>
    <row r="34" spans="10:10" ht="12.75" customHeight="1">
      <c r="J34" s="147"/>
    </row>
    <row r="35" spans="10:10" ht="12.75" customHeight="1">
      <c r="J35" s="147"/>
    </row>
    <row r="36" spans="10:10" ht="12.75" customHeight="1">
      <c r="J36" s="147"/>
    </row>
    <row r="37" spans="10:10" ht="12.75" customHeight="1">
      <c r="J37" s="147"/>
    </row>
    <row r="38" spans="10:10" ht="12.75" customHeight="1">
      <c r="J38" s="147"/>
    </row>
    <row r="39" spans="10:10" ht="12.75" customHeight="1">
      <c r="J39" s="147"/>
    </row>
    <row r="40" spans="10:10" ht="12.75" customHeight="1">
      <c r="J40" s="147"/>
    </row>
    <row r="41" spans="10:10" ht="12.75" customHeight="1">
      <c r="J41" s="147"/>
    </row>
    <row r="42" spans="10:10" ht="12.75" customHeight="1">
      <c r="J42" s="147"/>
    </row>
    <row r="43" spans="10:10" ht="12.75" customHeight="1">
      <c r="J43" s="147"/>
    </row>
    <row r="44" spans="10:10" ht="12.75" customHeight="1">
      <c r="J44" s="147"/>
    </row>
    <row r="45" spans="10:10" ht="12.75" customHeight="1">
      <c r="J45" s="147"/>
    </row>
    <row r="46" spans="10:10" ht="12.75" customHeight="1">
      <c r="J46" s="147"/>
    </row>
    <row r="47" spans="10:10" ht="12.75" customHeight="1">
      <c r="J47" s="147"/>
    </row>
    <row r="48" spans="10:10" ht="12.75" customHeight="1">
      <c r="J48" s="147"/>
    </row>
    <row r="49" spans="10:10" ht="12.75" customHeight="1">
      <c r="J49" s="147"/>
    </row>
    <row r="50" spans="10:10" ht="12.75" customHeight="1">
      <c r="J50" s="147"/>
    </row>
    <row r="51" spans="10:10" ht="12.75" customHeight="1">
      <c r="J51" s="147"/>
    </row>
    <row r="52" spans="10:10" ht="12.75" customHeight="1">
      <c r="J52" s="147"/>
    </row>
    <row r="53" spans="10:10" ht="12.75" customHeight="1">
      <c r="J53" s="147"/>
    </row>
    <row r="54" spans="10:10" ht="12.75" customHeight="1">
      <c r="J54" s="147"/>
    </row>
    <row r="55" spans="10:10" ht="12.75" customHeight="1">
      <c r="J55" s="147"/>
    </row>
    <row r="56" spans="10:10" ht="12.75" customHeight="1">
      <c r="J56" s="147"/>
    </row>
    <row r="57" spans="10:10" ht="12.75" customHeight="1">
      <c r="J57" s="147"/>
    </row>
    <row r="58" spans="10:10" ht="12.75" customHeight="1">
      <c r="J58" s="147"/>
    </row>
    <row r="59" spans="10:10" ht="12.75" customHeight="1">
      <c r="J59" s="147"/>
    </row>
    <row r="60" spans="10:10" ht="12.75" customHeight="1">
      <c r="J60" s="147"/>
    </row>
    <row r="61" spans="10:10" ht="12.75" customHeight="1">
      <c r="J61" s="147"/>
    </row>
    <row r="62" spans="10:10" ht="12.75" customHeight="1">
      <c r="J62" s="147"/>
    </row>
    <row r="63" spans="10:10" ht="12.75" customHeight="1">
      <c r="J63" s="147"/>
    </row>
    <row r="64" spans="10:10" ht="12.75" customHeight="1">
      <c r="J64" s="147"/>
    </row>
    <row r="65" spans="10:10" ht="12.75" customHeight="1">
      <c r="J65" s="147"/>
    </row>
    <row r="66" spans="10:10" ht="12.75" customHeight="1">
      <c r="J66" s="147"/>
    </row>
    <row r="67" spans="10:10" ht="12.75" customHeight="1">
      <c r="J67" s="147"/>
    </row>
    <row r="68" spans="10:10" ht="12.75" customHeight="1">
      <c r="J68" s="147"/>
    </row>
    <row r="69" spans="10:10" ht="12.75" customHeight="1">
      <c r="J69" s="147"/>
    </row>
    <row r="70" spans="10:10" ht="12.75" customHeight="1">
      <c r="J70" s="147"/>
    </row>
    <row r="71" spans="10:10" ht="12.75" customHeight="1">
      <c r="J71" s="147"/>
    </row>
    <row r="72" spans="10:10" ht="12.75" customHeight="1">
      <c r="J72" s="147"/>
    </row>
    <row r="73" spans="10:10" ht="12.75" customHeight="1">
      <c r="J73" s="147"/>
    </row>
    <row r="74" spans="10:10" ht="12.75" customHeight="1">
      <c r="J74" s="147"/>
    </row>
    <row r="75" spans="10:10" ht="12.75" customHeight="1">
      <c r="J75" s="147"/>
    </row>
    <row r="76" spans="10:10" ht="12.75" customHeight="1">
      <c r="J76" s="147"/>
    </row>
    <row r="77" spans="10:10" ht="12.75" customHeight="1">
      <c r="J77" s="147"/>
    </row>
    <row r="78" spans="10:10" ht="12.75" customHeight="1">
      <c r="J78" s="147"/>
    </row>
    <row r="79" spans="10:10" ht="12.75" customHeight="1">
      <c r="J79" s="147"/>
    </row>
    <row r="80" spans="10:10" ht="12.75" customHeight="1">
      <c r="J80" s="147"/>
    </row>
    <row r="81" spans="10:10" ht="12.75" customHeight="1">
      <c r="J81" s="147"/>
    </row>
    <row r="82" spans="10:10" ht="12.75" customHeight="1">
      <c r="J82" s="147"/>
    </row>
    <row r="83" spans="10:10" ht="12.75" customHeight="1">
      <c r="J83" s="147"/>
    </row>
    <row r="84" spans="10:10" ht="12.75" customHeight="1">
      <c r="J84" s="147"/>
    </row>
    <row r="85" spans="10:10" ht="12.75" customHeight="1">
      <c r="J85" s="147"/>
    </row>
    <row r="86" spans="10:10" ht="12.75" customHeight="1">
      <c r="J86" s="147"/>
    </row>
    <row r="87" spans="10:10" ht="12.75" customHeight="1">
      <c r="J87" s="147"/>
    </row>
    <row r="88" spans="10:10" ht="12.75" customHeight="1">
      <c r="J88" s="147"/>
    </row>
    <row r="89" spans="10:10" ht="12.75" customHeight="1">
      <c r="J89" s="147"/>
    </row>
    <row r="90" spans="10:10" ht="12.75" customHeight="1">
      <c r="J90" s="147"/>
    </row>
    <row r="91" spans="10:10" ht="12.75" customHeight="1">
      <c r="J91" s="147"/>
    </row>
    <row r="92" spans="10:10" ht="12.75" customHeight="1">
      <c r="J92" s="147"/>
    </row>
    <row r="93" spans="10:10" ht="12.75" customHeight="1">
      <c r="J93" s="147"/>
    </row>
    <row r="94" spans="10:10" ht="12.75" customHeight="1">
      <c r="J94" s="147"/>
    </row>
    <row r="95" spans="10:10" ht="12.75" customHeight="1">
      <c r="J95" s="147"/>
    </row>
    <row r="96" spans="10:10" ht="12.75" customHeight="1">
      <c r="J96" s="147"/>
    </row>
    <row r="97" spans="10:10" ht="12.75" customHeight="1">
      <c r="J97" s="147"/>
    </row>
    <row r="98" spans="10:10" ht="12.75" customHeight="1">
      <c r="J98" s="147"/>
    </row>
    <row r="99" spans="10:10" ht="12.75" customHeight="1">
      <c r="J99" s="147"/>
    </row>
    <row r="100" spans="10:10" ht="12.75" customHeight="1">
      <c r="J100" s="147"/>
    </row>
    <row r="101" spans="10:10" ht="12.75" customHeight="1">
      <c r="J101" s="147"/>
    </row>
    <row r="102" spans="10:10" ht="12.75" customHeight="1">
      <c r="J102" s="147"/>
    </row>
    <row r="103" spans="10:10" ht="12.75" customHeight="1">
      <c r="J103" s="147"/>
    </row>
    <row r="104" spans="10:10" ht="12.75" customHeight="1">
      <c r="J104" s="147"/>
    </row>
    <row r="105" spans="10:10" ht="12.75" customHeight="1">
      <c r="J105" s="147"/>
    </row>
    <row r="106" spans="10:10" ht="12.75" customHeight="1">
      <c r="J106" s="147"/>
    </row>
    <row r="107" spans="10:10" ht="12.75" customHeight="1">
      <c r="J107" s="147"/>
    </row>
    <row r="108" spans="10:10" ht="12.75" customHeight="1">
      <c r="J108" s="147"/>
    </row>
    <row r="109" spans="10:10" ht="12.75" customHeight="1">
      <c r="J109" s="147"/>
    </row>
    <row r="110" spans="10:10" ht="12.75" customHeight="1">
      <c r="J110" s="147"/>
    </row>
    <row r="111" spans="10:10" ht="12.75" customHeight="1">
      <c r="J111" s="147"/>
    </row>
    <row r="112" spans="10:10" ht="12.75" customHeight="1">
      <c r="J112" s="147"/>
    </row>
    <row r="113" spans="10:10" ht="12.75" customHeight="1">
      <c r="J113" s="147"/>
    </row>
    <row r="114" spans="10:10" ht="12.75" customHeight="1">
      <c r="J114" s="147"/>
    </row>
    <row r="115" spans="10:10" ht="12.75" customHeight="1">
      <c r="J115" s="147"/>
    </row>
    <row r="116" spans="10:10" ht="12.75" customHeight="1">
      <c r="J116" s="147"/>
    </row>
    <row r="117" spans="10:10" ht="12.75" customHeight="1">
      <c r="J117" s="147"/>
    </row>
    <row r="118" spans="10:10" ht="12.75" customHeight="1">
      <c r="J118" s="147"/>
    </row>
    <row r="119" spans="10:10" ht="12.75" customHeight="1">
      <c r="J119" s="147"/>
    </row>
    <row r="120" spans="10:10" ht="12.75" customHeight="1">
      <c r="J120" s="147"/>
    </row>
    <row r="121" spans="10:10" ht="12.75" customHeight="1">
      <c r="J121" s="147"/>
    </row>
    <row r="122" spans="10:10" ht="12.75" customHeight="1">
      <c r="J122" s="147"/>
    </row>
    <row r="123" spans="10:10" ht="12.75" customHeight="1">
      <c r="J123" s="147"/>
    </row>
    <row r="124" spans="10:10" ht="12.75" customHeight="1">
      <c r="J124" s="147"/>
    </row>
    <row r="125" spans="10:10" ht="12.75" customHeight="1">
      <c r="J125" s="147"/>
    </row>
    <row r="126" spans="10:10" ht="12.75" customHeight="1">
      <c r="J126" s="147"/>
    </row>
    <row r="127" spans="10:10" ht="12.75" customHeight="1">
      <c r="J127" s="147"/>
    </row>
    <row r="128" spans="10:10" ht="12.75" customHeight="1">
      <c r="J128" s="147"/>
    </row>
    <row r="129" spans="10:10" ht="12.75" customHeight="1">
      <c r="J129" s="147"/>
    </row>
    <row r="130" spans="10:10" ht="12.75" customHeight="1">
      <c r="J130" s="147"/>
    </row>
    <row r="131" spans="10:10" ht="12.75" customHeight="1">
      <c r="J131" s="147"/>
    </row>
    <row r="132" spans="10:10" ht="12.75" customHeight="1">
      <c r="J132" s="147"/>
    </row>
    <row r="133" spans="10:10" ht="12.75" customHeight="1">
      <c r="J133" s="147"/>
    </row>
    <row r="134" spans="10:10" ht="12.75" customHeight="1">
      <c r="J134" s="147"/>
    </row>
    <row r="135" spans="10:10" ht="12.75" customHeight="1">
      <c r="J135" s="147"/>
    </row>
    <row r="136" spans="10:10" ht="12.75" customHeight="1">
      <c r="J136" s="147"/>
    </row>
    <row r="137" spans="10:10" ht="12.75" customHeight="1">
      <c r="J137" s="147"/>
    </row>
    <row r="138" spans="10:10" ht="12.75" customHeight="1">
      <c r="J138" s="147"/>
    </row>
    <row r="139" spans="10:10" ht="12.75" customHeight="1">
      <c r="J139" s="147"/>
    </row>
    <row r="140" spans="10:10" ht="12.75" customHeight="1">
      <c r="J140" s="147"/>
    </row>
    <row r="141" spans="10:10" ht="12.75" customHeight="1">
      <c r="J141" s="147"/>
    </row>
    <row r="142" spans="10:10" ht="12.75" customHeight="1">
      <c r="J142" s="147"/>
    </row>
    <row r="143" spans="10:10" ht="12.75" customHeight="1">
      <c r="J143" s="147"/>
    </row>
    <row r="144" spans="10:10" ht="12.75" customHeight="1">
      <c r="J144" s="147"/>
    </row>
    <row r="145" spans="10:10" ht="12.75" customHeight="1">
      <c r="J145" s="147"/>
    </row>
    <row r="146" spans="10:10" ht="12.75" customHeight="1">
      <c r="J146" s="147"/>
    </row>
    <row r="147" spans="10:10" ht="12.75" customHeight="1">
      <c r="J147" s="147"/>
    </row>
    <row r="148" spans="10:10" ht="12.75" customHeight="1">
      <c r="J148" s="147"/>
    </row>
    <row r="149" spans="10:10" ht="12.75" customHeight="1">
      <c r="J149" s="147"/>
    </row>
    <row r="150" spans="10:10" ht="12.75" customHeight="1">
      <c r="J150" s="147"/>
    </row>
    <row r="151" spans="10:10" ht="12.75" customHeight="1">
      <c r="J151" s="147"/>
    </row>
    <row r="152" spans="10:10" ht="12.75" customHeight="1">
      <c r="J152" s="147"/>
    </row>
    <row r="153" spans="10:10" ht="12.75" customHeight="1">
      <c r="J153" s="147"/>
    </row>
    <row r="154" spans="10:10" ht="12.75" customHeight="1">
      <c r="J154" s="147"/>
    </row>
    <row r="155" spans="10:10" ht="12.75" customHeight="1">
      <c r="J155" s="147"/>
    </row>
    <row r="156" spans="10:10" ht="12.75" customHeight="1">
      <c r="J156" s="147"/>
    </row>
    <row r="157" spans="10:10" ht="12.75" customHeight="1">
      <c r="J157" s="147"/>
    </row>
    <row r="158" spans="10:10" ht="12.75" customHeight="1">
      <c r="J158" s="147"/>
    </row>
    <row r="159" spans="10:10" ht="12.75" customHeight="1">
      <c r="J159" s="147"/>
    </row>
    <row r="160" spans="10:10" ht="12.75" customHeight="1">
      <c r="J160" s="147"/>
    </row>
    <row r="161" spans="10:10" ht="12.75" customHeight="1">
      <c r="J161" s="147"/>
    </row>
    <row r="162" spans="10:10" ht="12.75" customHeight="1">
      <c r="J162" s="147"/>
    </row>
    <row r="163" spans="10:10" ht="12.75" customHeight="1">
      <c r="J163" s="147"/>
    </row>
    <row r="164" spans="10:10" ht="12.75" customHeight="1">
      <c r="J164" s="147"/>
    </row>
    <row r="165" spans="10:10" ht="12.75" customHeight="1">
      <c r="J165" s="147"/>
    </row>
    <row r="166" spans="10:10" ht="12.75" customHeight="1">
      <c r="J166" s="147"/>
    </row>
    <row r="167" spans="10:10" ht="12.75" customHeight="1">
      <c r="J167" s="147"/>
    </row>
    <row r="168" spans="10:10" ht="12.75" customHeight="1">
      <c r="J168" s="147"/>
    </row>
    <row r="169" spans="10:10" ht="12.75" customHeight="1">
      <c r="J169" s="147"/>
    </row>
    <row r="170" spans="10:10" ht="12.75" customHeight="1">
      <c r="J170" s="147"/>
    </row>
    <row r="171" spans="10:10" ht="12.75" customHeight="1">
      <c r="J171" s="147"/>
    </row>
    <row r="172" spans="10:10" ht="12.75" customHeight="1">
      <c r="J172" s="147"/>
    </row>
    <row r="173" spans="10:10" ht="12.75" customHeight="1">
      <c r="J173" s="147"/>
    </row>
    <row r="174" spans="10:10" ht="12.75" customHeight="1">
      <c r="J174" s="147"/>
    </row>
    <row r="175" spans="10:10" ht="12.75" customHeight="1">
      <c r="J175" s="147"/>
    </row>
    <row r="176" spans="10:10" ht="12.75" customHeight="1">
      <c r="J176" s="147"/>
    </row>
    <row r="177" spans="10:10" ht="12.75" customHeight="1">
      <c r="J177" s="147"/>
    </row>
    <row r="178" spans="10:10" ht="12.75" customHeight="1">
      <c r="J178" s="147"/>
    </row>
    <row r="179" spans="10:10" ht="12.75" customHeight="1">
      <c r="J179" s="147"/>
    </row>
    <row r="180" spans="10:10" ht="12.75" customHeight="1">
      <c r="J180" s="147"/>
    </row>
    <row r="181" spans="10:10" ht="12.75" customHeight="1">
      <c r="J181" s="147"/>
    </row>
    <row r="182" spans="10:10" ht="12.75" customHeight="1">
      <c r="J182" s="147"/>
    </row>
    <row r="183" spans="10:10" ht="12.75" customHeight="1">
      <c r="J183" s="147"/>
    </row>
    <row r="184" spans="10:10" ht="12.75" customHeight="1">
      <c r="J184" s="147"/>
    </row>
    <row r="185" spans="10:10" ht="12.75" customHeight="1">
      <c r="J185" s="147"/>
    </row>
    <row r="186" spans="10:10" ht="12.75" customHeight="1">
      <c r="J186" s="147"/>
    </row>
    <row r="187" spans="10:10" ht="12.75" customHeight="1">
      <c r="J187" s="147"/>
    </row>
    <row r="188" spans="10:10" ht="12.75" customHeight="1">
      <c r="J188" s="147"/>
    </row>
    <row r="189" spans="10:10" ht="12.75" customHeight="1">
      <c r="J189" s="147"/>
    </row>
    <row r="190" spans="10:10" ht="12.75" customHeight="1">
      <c r="J190" s="147"/>
    </row>
    <row r="191" spans="10:10" ht="12.75" customHeight="1">
      <c r="J191" s="147"/>
    </row>
    <row r="192" spans="10:10" ht="12.75" customHeight="1">
      <c r="J192" s="147"/>
    </row>
    <row r="193" spans="10:10" ht="12.75" customHeight="1">
      <c r="J193" s="147"/>
    </row>
    <row r="194" spans="10:10" ht="12.75" customHeight="1">
      <c r="J194" s="147"/>
    </row>
    <row r="195" spans="10:10" ht="12.75" customHeight="1">
      <c r="J195" s="147"/>
    </row>
    <row r="196" spans="10:10" ht="12.75" customHeight="1">
      <c r="J196" s="147"/>
    </row>
    <row r="197" spans="10:10" ht="12.75" customHeight="1">
      <c r="J197" s="147"/>
    </row>
    <row r="198" spans="10:10" ht="12.75" customHeight="1">
      <c r="J198" s="147"/>
    </row>
    <row r="199" spans="10:10" ht="12.75" customHeight="1">
      <c r="J199" s="147"/>
    </row>
    <row r="200" spans="10:10" ht="12.75" customHeight="1">
      <c r="J200" s="147"/>
    </row>
    <row r="201" spans="10:10" ht="12.75" customHeight="1">
      <c r="J201" s="147"/>
    </row>
    <row r="202" spans="10:10" ht="12.75" customHeight="1">
      <c r="J202" s="147"/>
    </row>
    <row r="203" spans="10:10" ht="12.75" customHeight="1">
      <c r="J203" s="147"/>
    </row>
    <row r="204" spans="10:10" ht="12.75" customHeight="1">
      <c r="J204" s="147"/>
    </row>
    <row r="205" spans="10:10" ht="12.75" customHeight="1">
      <c r="J205" s="147"/>
    </row>
    <row r="206" spans="10:10" ht="12.75" customHeight="1">
      <c r="J206" s="147"/>
    </row>
    <row r="207" spans="10:10" ht="12.75" customHeight="1">
      <c r="J207" s="147"/>
    </row>
    <row r="208" spans="10:10" ht="12.75" customHeight="1">
      <c r="J208" s="147"/>
    </row>
    <row r="209" spans="10:10" ht="12.75" customHeight="1">
      <c r="J209" s="147"/>
    </row>
    <row r="210" spans="10:10" ht="12.75" customHeight="1">
      <c r="J210" s="147"/>
    </row>
    <row r="211" spans="10:10" ht="12.75" customHeight="1">
      <c r="J211" s="147"/>
    </row>
    <row r="212" spans="10:10" ht="12.75" customHeight="1">
      <c r="J212" s="147"/>
    </row>
    <row r="213" spans="10:10" ht="12.75" customHeight="1">
      <c r="J213" s="147"/>
    </row>
    <row r="214" spans="10:10" ht="12.75" customHeight="1">
      <c r="J214" s="147"/>
    </row>
    <row r="215" spans="10:10" ht="12.75" customHeight="1">
      <c r="J215" s="147"/>
    </row>
    <row r="216" spans="10:10" ht="12.75" customHeight="1">
      <c r="J216" s="147"/>
    </row>
    <row r="217" spans="10:10" ht="12.75" customHeight="1">
      <c r="J217" s="147"/>
    </row>
    <row r="218" spans="10:10" ht="12.75" customHeight="1">
      <c r="J218" s="147"/>
    </row>
    <row r="219" spans="10:10" ht="12.75" customHeight="1">
      <c r="J219" s="147"/>
    </row>
    <row r="220" spans="10:10" ht="12.75" customHeight="1">
      <c r="J220" s="147"/>
    </row>
    <row r="221" spans="10:10" ht="12.75" customHeight="1">
      <c r="J221" s="147"/>
    </row>
    <row r="222" spans="10:10" ht="12.75" customHeight="1">
      <c r="J222" s="147"/>
    </row>
    <row r="223" spans="10:10" ht="12.75" customHeight="1">
      <c r="J223" s="147"/>
    </row>
    <row r="224" spans="10:10" ht="12.75" customHeight="1">
      <c r="J224" s="147"/>
    </row>
    <row r="225" spans="10:10" ht="12.75" customHeight="1">
      <c r="J225" s="147"/>
    </row>
    <row r="226" spans="10:10" ht="12.75" customHeight="1">
      <c r="J226" s="147"/>
    </row>
    <row r="227" spans="10:10" ht="12.75" customHeight="1">
      <c r="J227" s="147"/>
    </row>
    <row r="228" spans="10:10" ht="12.75" customHeight="1">
      <c r="J228" s="147"/>
    </row>
    <row r="229" spans="10:10" ht="12.75" customHeight="1">
      <c r="J229" s="147"/>
    </row>
    <row r="230" spans="10:10" ht="12.75" customHeight="1">
      <c r="J230" s="147"/>
    </row>
    <row r="231" spans="10:10" ht="12.75" customHeight="1">
      <c r="J231" s="147"/>
    </row>
    <row r="232" spans="10:10" ht="12.75" customHeight="1">
      <c r="J232" s="147"/>
    </row>
    <row r="233" spans="10:10" ht="12.75" customHeight="1">
      <c r="J233" s="147"/>
    </row>
    <row r="234" spans="10:10" ht="12.75" customHeight="1">
      <c r="J234" s="147"/>
    </row>
    <row r="235" spans="10:10" ht="12.75" customHeight="1">
      <c r="J235" s="147"/>
    </row>
    <row r="236" spans="10:10" ht="12.75" customHeight="1">
      <c r="J236" s="147"/>
    </row>
    <row r="237" spans="10:10" ht="12.75" customHeight="1">
      <c r="J237" s="147"/>
    </row>
    <row r="238" spans="10:10" ht="12.75" customHeight="1">
      <c r="J238" s="147"/>
    </row>
    <row r="239" spans="10:10" ht="12.75" customHeight="1">
      <c r="J239" s="147"/>
    </row>
    <row r="240" spans="10:10" ht="12.75" customHeight="1">
      <c r="J240" s="147"/>
    </row>
    <row r="241" spans="10:10" ht="12.75" customHeight="1">
      <c r="J241" s="147"/>
    </row>
    <row r="242" spans="10:10" ht="12.75" customHeight="1">
      <c r="J242" s="147"/>
    </row>
    <row r="243" spans="10:10" ht="12.75" customHeight="1">
      <c r="J243" s="147"/>
    </row>
    <row r="244" spans="10:10" ht="12.75" customHeight="1">
      <c r="J244" s="147"/>
    </row>
    <row r="245" spans="10:10" ht="12.75" customHeight="1">
      <c r="J245" s="147"/>
    </row>
    <row r="246" spans="10:10" ht="12.75" customHeight="1">
      <c r="J246" s="147"/>
    </row>
    <row r="247" spans="10:10" ht="12.75" customHeight="1">
      <c r="J247" s="147"/>
    </row>
    <row r="248" spans="10:10" ht="12.75" customHeight="1">
      <c r="J248" s="147"/>
    </row>
    <row r="249" spans="10:10" ht="12.75" customHeight="1">
      <c r="J249" s="147"/>
    </row>
    <row r="250" spans="10:10" ht="12.75" customHeight="1">
      <c r="J250" s="147"/>
    </row>
    <row r="251" spans="10:10" ht="12.75" customHeight="1">
      <c r="J251" s="147"/>
    </row>
    <row r="252" spans="10:10" ht="12.75" customHeight="1">
      <c r="J252" s="147"/>
    </row>
    <row r="253" spans="10:10" ht="12.75" customHeight="1">
      <c r="J253" s="147"/>
    </row>
    <row r="254" spans="10:10" ht="12.75" customHeight="1">
      <c r="J254" s="147"/>
    </row>
    <row r="255" spans="10:10" ht="12.75" customHeight="1">
      <c r="J255" s="147"/>
    </row>
    <row r="256" spans="10:10" ht="12.75" customHeight="1">
      <c r="J256" s="147"/>
    </row>
    <row r="257" spans="10:10" ht="12.75" customHeight="1">
      <c r="J257" s="147"/>
    </row>
    <row r="258" spans="10:10" ht="12.75" customHeight="1">
      <c r="J258" s="147"/>
    </row>
    <row r="259" spans="10:10" ht="12.75" customHeight="1">
      <c r="J259" s="147"/>
    </row>
    <row r="260" spans="10:10" ht="12.75" customHeight="1">
      <c r="J260" s="147"/>
    </row>
    <row r="261" spans="10:10" ht="12.75" customHeight="1">
      <c r="J261" s="147"/>
    </row>
    <row r="262" spans="10:10" ht="12.75" customHeight="1">
      <c r="J262" s="147"/>
    </row>
    <row r="263" spans="10:10" ht="12.75" customHeight="1">
      <c r="J263" s="147"/>
    </row>
    <row r="264" spans="10:10" ht="12.75" customHeight="1">
      <c r="J264" s="147"/>
    </row>
    <row r="265" spans="10:10" ht="12.75" customHeight="1">
      <c r="J265" s="147"/>
    </row>
    <row r="266" spans="10:10" ht="12.75" customHeight="1">
      <c r="J266" s="147"/>
    </row>
    <row r="267" spans="10:10" ht="12.75" customHeight="1">
      <c r="J267" s="147"/>
    </row>
    <row r="268" spans="10:10" ht="12.75" customHeight="1">
      <c r="J268" s="147"/>
    </row>
    <row r="269" spans="10:10" ht="12.75" customHeight="1">
      <c r="J269" s="147"/>
    </row>
    <row r="270" spans="10:10" ht="12.75" customHeight="1">
      <c r="J270" s="147"/>
    </row>
    <row r="271" spans="10:10" ht="12.75" customHeight="1">
      <c r="J271" s="147"/>
    </row>
    <row r="272" spans="10:10" ht="12.75" customHeight="1">
      <c r="J272" s="147"/>
    </row>
    <row r="273" spans="10:10" ht="12.75" customHeight="1">
      <c r="J273" s="147"/>
    </row>
    <row r="274" spans="10:10" ht="12.75" customHeight="1">
      <c r="J274" s="147"/>
    </row>
    <row r="275" spans="10:10" ht="12.75" customHeight="1">
      <c r="J275" s="147"/>
    </row>
    <row r="276" spans="10:10" ht="12.75" customHeight="1">
      <c r="J276" s="147"/>
    </row>
    <row r="277" spans="10:10" ht="12.75" customHeight="1">
      <c r="J277" s="147"/>
    </row>
    <row r="278" spans="10:10" ht="12.75" customHeight="1">
      <c r="J278" s="147"/>
    </row>
    <row r="279" spans="10:10" ht="12.75" customHeight="1">
      <c r="J279" s="147"/>
    </row>
    <row r="280" spans="10:10" ht="12.75" customHeight="1">
      <c r="J280" s="147"/>
    </row>
    <row r="281" spans="10:10" ht="12.75" customHeight="1">
      <c r="J281" s="147"/>
    </row>
    <row r="282" spans="10:10" ht="12.75" customHeight="1">
      <c r="J282" s="147"/>
    </row>
    <row r="283" spans="10:10" ht="12.75" customHeight="1">
      <c r="J283" s="147"/>
    </row>
    <row r="284" spans="10:10" ht="12.75" customHeight="1">
      <c r="J284" s="147"/>
    </row>
    <row r="285" spans="10:10" ht="12.75" customHeight="1">
      <c r="J285" s="147"/>
    </row>
    <row r="286" spans="10:10" ht="12.75" customHeight="1">
      <c r="J286" s="147"/>
    </row>
    <row r="287" spans="10:10" ht="12.75" customHeight="1">
      <c r="J287" s="147"/>
    </row>
    <row r="288" spans="10:10" ht="12.75" customHeight="1">
      <c r="J288" s="147"/>
    </row>
    <row r="289" spans="10:10" ht="12.75" customHeight="1">
      <c r="J289" s="147"/>
    </row>
    <row r="290" spans="10:10" ht="12.75" customHeight="1">
      <c r="J290" s="147"/>
    </row>
    <row r="291" spans="10:10" ht="12.75" customHeight="1">
      <c r="J291" s="147"/>
    </row>
    <row r="292" spans="10:10" ht="12.75" customHeight="1">
      <c r="J292" s="147"/>
    </row>
    <row r="293" spans="10:10" ht="12.75" customHeight="1">
      <c r="J293" s="147"/>
    </row>
    <row r="294" spans="10:10" ht="12.75" customHeight="1">
      <c r="J294" s="147"/>
    </row>
    <row r="295" spans="10:10" ht="12.75" customHeight="1">
      <c r="J295" s="147"/>
    </row>
    <row r="296" spans="10:10" ht="12.75" customHeight="1">
      <c r="J296" s="147"/>
    </row>
    <row r="297" spans="10:10" ht="12.75" customHeight="1">
      <c r="J297" s="147"/>
    </row>
    <row r="298" spans="10:10" ht="12.75" customHeight="1">
      <c r="J298" s="147"/>
    </row>
    <row r="299" spans="10:10" ht="12.75" customHeight="1">
      <c r="J299" s="147"/>
    </row>
    <row r="300" spans="10:10" ht="12.75" customHeight="1">
      <c r="J300" s="147"/>
    </row>
    <row r="301" spans="10:10" ht="12.75" customHeight="1">
      <c r="J301" s="147"/>
    </row>
    <row r="302" spans="10:10" ht="12.75" customHeight="1">
      <c r="J302" s="147"/>
    </row>
    <row r="303" spans="10:10" ht="12.75" customHeight="1">
      <c r="J303" s="147"/>
    </row>
    <row r="304" spans="10:10" ht="12.75" customHeight="1">
      <c r="J304" s="147"/>
    </row>
    <row r="305" spans="10:10" ht="12.75" customHeight="1">
      <c r="J305" s="147"/>
    </row>
    <row r="306" spans="10:10" ht="12.75" customHeight="1">
      <c r="J306" s="147"/>
    </row>
    <row r="307" spans="10:10" ht="12.75" customHeight="1">
      <c r="J307" s="147"/>
    </row>
    <row r="308" spans="10:10" ht="12.75" customHeight="1">
      <c r="J308" s="147"/>
    </row>
    <row r="309" spans="10:10" ht="12.75" customHeight="1">
      <c r="J309" s="147"/>
    </row>
    <row r="310" spans="10:10" ht="12.75" customHeight="1">
      <c r="J310" s="147"/>
    </row>
    <row r="311" spans="10:10" ht="12.75" customHeight="1">
      <c r="J311" s="147"/>
    </row>
    <row r="312" spans="10:10" ht="12.75" customHeight="1">
      <c r="J312" s="147"/>
    </row>
    <row r="313" spans="10:10" ht="12.75" customHeight="1">
      <c r="J313" s="147"/>
    </row>
    <row r="314" spans="10:10" ht="12.75" customHeight="1">
      <c r="J314" s="147"/>
    </row>
    <row r="315" spans="10:10" ht="12.75" customHeight="1">
      <c r="J315" s="147"/>
    </row>
    <row r="316" spans="10:10" ht="12.75" customHeight="1">
      <c r="J316" s="147"/>
    </row>
    <row r="317" spans="10:10" ht="12.75" customHeight="1">
      <c r="J317" s="147"/>
    </row>
    <row r="318" spans="10:10" ht="12.75" customHeight="1">
      <c r="J318" s="147"/>
    </row>
    <row r="319" spans="10:10" ht="12.75" customHeight="1">
      <c r="J319" s="147"/>
    </row>
    <row r="320" spans="10:10" ht="12.75" customHeight="1">
      <c r="J320" s="147"/>
    </row>
    <row r="321" spans="10:10" ht="12.75" customHeight="1">
      <c r="J321" s="147"/>
    </row>
    <row r="322" spans="10:10" ht="12.75" customHeight="1">
      <c r="J322" s="147"/>
    </row>
    <row r="323" spans="10:10" ht="12.75" customHeight="1">
      <c r="J323" s="147"/>
    </row>
    <row r="324" spans="10:10" ht="12.75" customHeight="1">
      <c r="J324" s="147"/>
    </row>
    <row r="325" spans="10:10" ht="12.75" customHeight="1">
      <c r="J325" s="147"/>
    </row>
    <row r="326" spans="10:10" ht="12.75" customHeight="1">
      <c r="J326" s="147"/>
    </row>
    <row r="327" spans="10:10" ht="12.75" customHeight="1">
      <c r="J327" s="147"/>
    </row>
    <row r="328" spans="10:10" ht="12.75" customHeight="1">
      <c r="J328" s="147"/>
    </row>
    <row r="329" spans="10:10" ht="12.75" customHeight="1">
      <c r="J329" s="147"/>
    </row>
    <row r="330" spans="10:10" ht="12.75" customHeight="1">
      <c r="J330" s="147"/>
    </row>
    <row r="331" spans="10:10" ht="12.75" customHeight="1">
      <c r="J331" s="147"/>
    </row>
    <row r="332" spans="10:10" ht="12.75" customHeight="1">
      <c r="J332" s="147"/>
    </row>
    <row r="333" spans="10:10" ht="12.75" customHeight="1">
      <c r="J333" s="147"/>
    </row>
    <row r="334" spans="10:10" ht="12.75" customHeight="1">
      <c r="J334" s="147"/>
    </row>
    <row r="335" spans="10:10" ht="12.75" customHeight="1">
      <c r="J335" s="147"/>
    </row>
    <row r="336" spans="10:10" ht="12.75" customHeight="1">
      <c r="J336" s="147"/>
    </row>
    <row r="337" spans="10:10" ht="12.75" customHeight="1">
      <c r="J337" s="147"/>
    </row>
    <row r="338" spans="10:10" ht="12.75" customHeight="1">
      <c r="J338" s="147"/>
    </row>
    <row r="339" spans="10:10" ht="12.75" customHeight="1">
      <c r="J339" s="147"/>
    </row>
    <row r="340" spans="10:10" ht="12.75" customHeight="1">
      <c r="J340" s="147"/>
    </row>
    <row r="341" spans="10:10" ht="12.75" customHeight="1">
      <c r="J341" s="147"/>
    </row>
    <row r="342" spans="10:10" ht="12.75" customHeight="1">
      <c r="J342" s="147"/>
    </row>
    <row r="343" spans="10:10" ht="12.75" customHeight="1">
      <c r="J343" s="147"/>
    </row>
    <row r="344" spans="10:10" ht="12.75" customHeight="1">
      <c r="J344" s="147"/>
    </row>
    <row r="345" spans="10:10" ht="12.75" customHeight="1">
      <c r="J345" s="147"/>
    </row>
    <row r="346" spans="10:10" ht="12.75" customHeight="1">
      <c r="J346" s="147"/>
    </row>
    <row r="347" spans="10:10" ht="12.75" customHeight="1">
      <c r="J347" s="147"/>
    </row>
    <row r="348" spans="10:10" ht="12.75" customHeight="1">
      <c r="J348" s="147"/>
    </row>
    <row r="349" spans="10:10" ht="12.75" customHeight="1">
      <c r="J349" s="147"/>
    </row>
    <row r="350" spans="10:10" ht="12.75" customHeight="1">
      <c r="J350" s="147"/>
    </row>
    <row r="351" spans="10:10" ht="12.75" customHeight="1">
      <c r="J351" s="147"/>
    </row>
    <row r="352" spans="10:10" ht="12.75" customHeight="1">
      <c r="J352" s="147"/>
    </row>
    <row r="353" spans="10:10" ht="12.75" customHeight="1">
      <c r="J353" s="147"/>
    </row>
    <row r="354" spans="10:10" ht="12.75" customHeight="1">
      <c r="J354" s="147"/>
    </row>
    <row r="355" spans="10:10" ht="12.75" customHeight="1">
      <c r="J355" s="147"/>
    </row>
    <row r="356" spans="10:10" ht="12.75" customHeight="1">
      <c r="J356" s="147"/>
    </row>
    <row r="357" spans="10:10" ht="12.75" customHeight="1">
      <c r="J357" s="147"/>
    </row>
    <row r="358" spans="10:10" ht="12.75" customHeight="1">
      <c r="J358" s="147"/>
    </row>
    <row r="359" spans="10:10" ht="12.75" customHeight="1">
      <c r="J359" s="147"/>
    </row>
    <row r="360" spans="10:10" ht="12.75" customHeight="1">
      <c r="J360" s="147"/>
    </row>
    <row r="361" spans="10:10" ht="12.75" customHeight="1">
      <c r="J361" s="147"/>
    </row>
    <row r="362" spans="10:10" ht="12.75" customHeight="1">
      <c r="J362" s="147"/>
    </row>
    <row r="363" spans="10:10" ht="12.75" customHeight="1">
      <c r="J363" s="147"/>
    </row>
    <row r="364" spans="10:10" ht="12.75" customHeight="1">
      <c r="J364" s="147"/>
    </row>
    <row r="365" spans="10:10" ht="12.75" customHeight="1">
      <c r="J365" s="147"/>
    </row>
    <row r="366" spans="10:10" ht="12.75" customHeight="1">
      <c r="J366" s="147"/>
    </row>
    <row r="367" spans="10:10" ht="12.75" customHeight="1">
      <c r="J367" s="147"/>
    </row>
    <row r="368" spans="10:10" ht="12.75" customHeight="1">
      <c r="J368" s="147"/>
    </row>
    <row r="369" spans="10:10" ht="12.75" customHeight="1">
      <c r="J369" s="147"/>
    </row>
    <row r="370" spans="10:10" ht="12.75" customHeight="1">
      <c r="J370" s="147"/>
    </row>
    <row r="371" spans="10:10" ht="12.75" customHeight="1">
      <c r="J371" s="147"/>
    </row>
    <row r="372" spans="10:10" ht="12.75" customHeight="1">
      <c r="J372" s="147"/>
    </row>
    <row r="373" spans="10:10" ht="12.75" customHeight="1">
      <c r="J373" s="147"/>
    </row>
    <row r="374" spans="10:10" ht="12.75" customHeight="1">
      <c r="J374" s="147"/>
    </row>
    <row r="375" spans="10:10" ht="12.75" customHeight="1">
      <c r="J375" s="147"/>
    </row>
    <row r="376" spans="10:10" ht="12.75" customHeight="1">
      <c r="J376" s="147"/>
    </row>
    <row r="377" spans="10:10" ht="12.75" customHeight="1">
      <c r="J377" s="147"/>
    </row>
    <row r="378" spans="10:10" ht="12.75" customHeight="1">
      <c r="J378" s="147"/>
    </row>
    <row r="379" spans="10:10" ht="12.75" customHeight="1">
      <c r="J379" s="147"/>
    </row>
    <row r="380" spans="10:10" ht="12.75" customHeight="1">
      <c r="J380" s="147"/>
    </row>
    <row r="381" spans="10:10" ht="12.75" customHeight="1">
      <c r="J381" s="147"/>
    </row>
    <row r="382" spans="10:10" ht="12.75" customHeight="1">
      <c r="J382" s="147"/>
    </row>
    <row r="383" spans="10:10" ht="12.75" customHeight="1">
      <c r="J383" s="147"/>
    </row>
    <row r="384" spans="10:10" ht="12.75" customHeight="1">
      <c r="J384" s="147"/>
    </row>
    <row r="385" spans="10:10" ht="12.75" customHeight="1">
      <c r="J385" s="147"/>
    </row>
    <row r="386" spans="10:10" ht="12.75" customHeight="1">
      <c r="J386" s="147"/>
    </row>
    <row r="387" spans="10:10" ht="12.75" customHeight="1">
      <c r="J387" s="147"/>
    </row>
    <row r="388" spans="10:10" ht="12.75" customHeight="1">
      <c r="J388" s="147"/>
    </row>
    <row r="389" spans="10:10" ht="12.75" customHeight="1">
      <c r="J389" s="147"/>
    </row>
    <row r="390" spans="10:10" ht="12.75" customHeight="1">
      <c r="J390" s="147"/>
    </row>
    <row r="391" spans="10:10" ht="12.75" customHeight="1">
      <c r="J391" s="147"/>
    </row>
    <row r="392" spans="10:10" ht="12.75" customHeight="1">
      <c r="J392" s="147"/>
    </row>
    <row r="393" spans="10:10" ht="12.75" customHeight="1">
      <c r="J393" s="147"/>
    </row>
    <row r="394" spans="10:10" ht="12.75" customHeight="1">
      <c r="J394" s="147"/>
    </row>
    <row r="395" spans="10:10" ht="12.75" customHeight="1">
      <c r="J395" s="147"/>
    </row>
    <row r="396" spans="10:10" ht="12.75" customHeight="1">
      <c r="J396" s="147"/>
    </row>
    <row r="397" spans="10:10" ht="12.75" customHeight="1">
      <c r="J397" s="147"/>
    </row>
    <row r="398" spans="10:10" ht="12.75" customHeight="1">
      <c r="J398" s="147"/>
    </row>
    <row r="399" spans="10:10" ht="12.75" customHeight="1">
      <c r="J399" s="147"/>
    </row>
    <row r="400" spans="10:10" ht="12.75" customHeight="1">
      <c r="J400" s="147"/>
    </row>
    <row r="401" spans="10:10" ht="12.75" customHeight="1">
      <c r="J401" s="147"/>
    </row>
    <row r="402" spans="10:10" ht="12.75" customHeight="1">
      <c r="J402" s="147"/>
    </row>
    <row r="403" spans="10:10" ht="12.75" customHeight="1">
      <c r="J403" s="147"/>
    </row>
    <row r="404" spans="10:10" ht="12.75" customHeight="1">
      <c r="J404" s="147"/>
    </row>
    <row r="405" spans="10:10" ht="12.75" customHeight="1">
      <c r="J405" s="147"/>
    </row>
    <row r="406" spans="10:10" ht="12.75" customHeight="1">
      <c r="J406" s="147"/>
    </row>
    <row r="407" spans="10:10" ht="12.75" customHeight="1">
      <c r="J407" s="147"/>
    </row>
    <row r="408" spans="10:10" ht="12.75" customHeight="1">
      <c r="J408" s="147"/>
    </row>
    <row r="409" spans="10:10" ht="12.75" customHeight="1">
      <c r="J409" s="147"/>
    </row>
    <row r="410" spans="10:10" ht="12.75" customHeight="1">
      <c r="J410" s="147"/>
    </row>
    <row r="411" spans="10:10" ht="12.75" customHeight="1">
      <c r="J411" s="147"/>
    </row>
    <row r="412" spans="10:10" ht="12.75" customHeight="1">
      <c r="J412" s="147"/>
    </row>
    <row r="413" spans="10:10" ht="12.75" customHeight="1">
      <c r="J413" s="147"/>
    </row>
    <row r="414" spans="10:10" ht="12.75" customHeight="1">
      <c r="J414" s="147"/>
    </row>
    <row r="415" spans="10:10" ht="12.75" customHeight="1">
      <c r="J415" s="147"/>
    </row>
    <row r="416" spans="10:10" ht="12.75" customHeight="1">
      <c r="J416" s="147"/>
    </row>
    <row r="417" spans="10:10" ht="12.75" customHeight="1">
      <c r="J417" s="147"/>
    </row>
    <row r="418" spans="10:10" ht="12.75" customHeight="1">
      <c r="J418" s="147"/>
    </row>
    <row r="419" spans="10:10" ht="12.75" customHeight="1">
      <c r="J419" s="147"/>
    </row>
    <row r="420" spans="10:10" ht="12.75" customHeight="1">
      <c r="J420" s="147"/>
    </row>
    <row r="421" spans="10:10" ht="12.75" customHeight="1">
      <c r="J421" s="147"/>
    </row>
    <row r="422" spans="10:10" ht="12.75" customHeight="1">
      <c r="J422" s="147"/>
    </row>
    <row r="423" spans="10:10" ht="12.75" customHeight="1">
      <c r="J423" s="147"/>
    </row>
    <row r="424" spans="10:10" ht="12.75" customHeight="1">
      <c r="J424" s="147"/>
    </row>
    <row r="425" spans="10:10" ht="12.75" customHeight="1">
      <c r="J425" s="147"/>
    </row>
    <row r="426" spans="10:10" ht="12.75" customHeight="1">
      <c r="J426" s="147"/>
    </row>
    <row r="427" spans="10:10" ht="12.75" customHeight="1">
      <c r="J427" s="147"/>
    </row>
    <row r="428" spans="10:10" ht="12.75" customHeight="1">
      <c r="J428" s="147"/>
    </row>
    <row r="429" spans="10:10" ht="12.75" customHeight="1">
      <c r="J429" s="147"/>
    </row>
    <row r="430" spans="10:10" ht="12.75" customHeight="1">
      <c r="J430" s="147"/>
    </row>
    <row r="431" spans="10:10" ht="12.75" customHeight="1">
      <c r="J431" s="147"/>
    </row>
    <row r="432" spans="10:10" ht="12.75" customHeight="1">
      <c r="J432" s="147"/>
    </row>
    <row r="433" spans="10:10" ht="12.75" customHeight="1">
      <c r="J433" s="147"/>
    </row>
    <row r="434" spans="10:10" ht="12.75" customHeight="1">
      <c r="J434" s="147"/>
    </row>
    <row r="435" spans="10:10" ht="12.75" customHeight="1">
      <c r="J435" s="147"/>
    </row>
    <row r="436" spans="10:10" ht="12.75" customHeight="1">
      <c r="J436" s="147"/>
    </row>
    <row r="437" spans="10:10" ht="12.75" customHeight="1">
      <c r="J437" s="147"/>
    </row>
    <row r="438" spans="10:10" ht="12.75" customHeight="1">
      <c r="J438" s="147"/>
    </row>
    <row r="439" spans="10:10" ht="12.75" customHeight="1">
      <c r="J439" s="147"/>
    </row>
    <row r="440" spans="10:10" ht="12.75" customHeight="1">
      <c r="J440" s="147"/>
    </row>
    <row r="441" spans="10:10" ht="12.75" customHeight="1">
      <c r="J441" s="147"/>
    </row>
    <row r="442" spans="10:10" ht="12.75" customHeight="1">
      <c r="J442" s="147"/>
    </row>
    <row r="443" spans="10:10" ht="12.75" customHeight="1">
      <c r="J443" s="147"/>
    </row>
    <row r="444" spans="10:10" ht="12.75" customHeight="1">
      <c r="J444" s="147"/>
    </row>
    <row r="445" spans="10:10" ht="12.75" customHeight="1">
      <c r="J445" s="147"/>
    </row>
    <row r="446" spans="10:10" ht="12.75" customHeight="1">
      <c r="J446" s="147"/>
    </row>
    <row r="447" spans="10:10" ht="12.75" customHeight="1">
      <c r="J447" s="147"/>
    </row>
    <row r="448" spans="10:10" ht="12.75" customHeight="1">
      <c r="J448" s="147"/>
    </row>
    <row r="449" spans="10:10" ht="12.75" customHeight="1">
      <c r="J449" s="147"/>
    </row>
    <row r="450" spans="10:10" ht="12.75" customHeight="1">
      <c r="J450" s="147"/>
    </row>
    <row r="451" spans="10:10" ht="12.75" customHeight="1">
      <c r="J451" s="147"/>
    </row>
    <row r="452" spans="10:10" ht="12.75" customHeight="1">
      <c r="J452" s="147"/>
    </row>
    <row r="453" spans="10:10" ht="12.75" customHeight="1">
      <c r="J453" s="147"/>
    </row>
    <row r="454" spans="10:10" ht="12.75" customHeight="1">
      <c r="J454" s="147"/>
    </row>
    <row r="455" spans="10:10" ht="12.75" customHeight="1">
      <c r="J455" s="147"/>
    </row>
    <row r="456" spans="10:10" ht="12.75" customHeight="1">
      <c r="J456" s="147"/>
    </row>
    <row r="457" spans="10:10" ht="12.75" customHeight="1">
      <c r="J457" s="147"/>
    </row>
    <row r="458" spans="10:10" ht="12.75" customHeight="1">
      <c r="J458" s="147"/>
    </row>
    <row r="459" spans="10:10" ht="12.75" customHeight="1">
      <c r="J459" s="147"/>
    </row>
    <row r="460" spans="10:10" ht="12.75" customHeight="1">
      <c r="J460" s="147"/>
    </row>
    <row r="461" spans="10:10" ht="12.75" customHeight="1">
      <c r="J461" s="147"/>
    </row>
    <row r="462" spans="10:10" ht="12.75" customHeight="1">
      <c r="J462" s="147"/>
    </row>
    <row r="463" spans="10:10" ht="12.75" customHeight="1">
      <c r="J463" s="147"/>
    </row>
    <row r="464" spans="10:10" ht="12.75" customHeight="1">
      <c r="J464" s="147"/>
    </row>
    <row r="465" spans="10:10" ht="12.75" customHeight="1">
      <c r="J465" s="147"/>
    </row>
    <row r="466" spans="10:10" ht="12.75" customHeight="1">
      <c r="J466" s="147"/>
    </row>
    <row r="467" spans="10:10" ht="12.75" customHeight="1">
      <c r="J467" s="147"/>
    </row>
    <row r="468" spans="10:10" ht="12.75" customHeight="1">
      <c r="J468" s="147"/>
    </row>
    <row r="469" spans="10:10" ht="12.75" customHeight="1">
      <c r="J469" s="147"/>
    </row>
    <row r="470" spans="10:10" ht="12.75" customHeight="1">
      <c r="J470" s="147"/>
    </row>
    <row r="471" spans="10:10" ht="12.75" customHeight="1">
      <c r="J471" s="147"/>
    </row>
    <row r="472" spans="10:10" ht="12.75" customHeight="1">
      <c r="J472" s="147"/>
    </row>
    <row r="473" spans="10:10" ht="12.75" customHeight="1">
      <c r="J473" s="147"/>
    </row>
    <row r="474" spans="10:10" ht="12.75" customHeight="1">
      <c r="J474" s="147"/>
    </row>
    <row r="475" spans="10:10" ht="12.75" customHeight="1">
      <c r="J475" s="147"/>
    </row>
    <row r="476" spans="10:10" ht="12.75" customHeight="1">
      <c r="J476" s="147"/>
    </row>
    <row r="477" spans="10:10" ht="12.75" customHeight="1">
      <c r="J477" s="147"/>
    </row>
    <row r="478" spans="10:10" ht="12.75" customHeight="1">
      <c r="J478" s="147"/>
    </row>
    <row r="479" spans="10:10" ht="12.75" customHeight="1">
      <c r="J479" s="147"/>
    </row>
    <row r="480" spans="10:10" ht="12.75" customHeight="1">
      <c r="J480" s="147"/>
    </row>
    <row r="481" spans="10:10" ht="12.75" customHeight="1">
      <c r="J481" s="147"/>
    </row>
    <row r="482" spans="10:10" ht="12.75" customHeight="1">
      <c r="J482" s="147"/>
    </row>
    <row r="483" spans="10:10" ht="12.75" customHeight="1">
      <c r="J483" s="147"/>
    </row>
    <row r="484" spans="10:10" ht="12.75" customHeight="1">
      <c r="J484" s="147"/>
    </row>
    <row r="485" spans="10:10" ht="12.75" customHeight="1">
      <c r="J485" s="147"/>
    </row>
    <row r="486" spans="10:10" ht="12.75" customHeight="1">
      <c r="J486" s="147"/>
    </row>
    <row r="487" spans="10:10" ht="12.75" customHeight="1">
      <c r="J487" s="147"/>
    </row>
    <row r="488" spans="10:10" ht="12.75" customHeight="1">
      <c r="J488" s="147"/>
    </row>
    <row r="489" spans="10:10" ht="12.75" customHeight="1">
      <c r="J489" s="147"/>
    </row>
    <row r="490" spans="10:10" ht="12.75" customHeight="1">
      <c r="J490" s="147"/>
    </row>
    <row r="491" spans="10:10" ht="12.75" customHeight="1">
      <c r="J491" s="147"/>
    </row>
    <row r="492" spans="10:10" ht="12.75" customHeight="1">
      <c r="J492" s="147"/>
    </row>
    <row r="493" spans="10:10" ht="12.75" customHeight="1">
      <c r="J493" s="147"/>
    </row>
    <row r="494" spans="10:10" ht="12.75" customHeight="1">
      <c r="J494" s="147"/>
    </row>
    <row r="495" spans="10:10" ht="12.75" customHeight="1">
      <c r="J495" s="147"/>
    </row>
    <row r="496" spans="10:10" ht="12.75" customHeight="1">
      <c r="J496" s="147"/>
    </row>
    <row r="497" spans="10:10" ht="12.75" customHeight="1">
      <c r="J497" s="147"/>
    </row>
    <row r="498" spans="10:10" ht="12.75" customHeight="1">
      <c r="J498" s="147"/>
    </row>
    <row r="499" spans="10:10" ht="12.75" customHeight="1">
      <c r="J499" s="147"/>
    </row>
    <row r="500" spans="10:10" ht="12.75" customHeight="1">
      <c r="J500" s="147"/>
    </row>
    <row r="501" spans="10:10" ht="12.75" customHeight="1">
      <c r="J501" s="147"/>
    </row>
    <row r="502" spans="10:10" ht="12.75" customHeight="1">
      <c r="J502" s="147"/>
    </row>
    <row r="503" spans="10:10" ht="12.75" customHeight="1">
      <c r="J503" s="147"/>
    </row>
    <row r="504" spans="10:10" ht="12.75" customHeight="1">
      <c r="J504" s="147"/>
    </row>
    <row r="505" spans="10:10" ht="12.75" customHeight="1">
      <c r="J505" s="147"/>
    </row>
    <row r="506" spans="10:10" ht="12.75" customHeight="1">
      <c r="J506" s="147"/>
    </row>
    <row r="507" spans="10:10" ht="12.75" customHeight="1">
      <c r="J507" s="147"/>
    </row>
    <row r="508" spans="10:10" ht="12.75" customHeight="1">
      <c r="J508" s="147"/>
    </row>
    <row r="509" spans="10:10" ht="12.75" customHeight="1">
      <c r="J509" s="147"/>
    </row>
    <row r="510" spans="10:10" ht="12.75" customHeight="1">
      <c r="J510" s="147"/>
    </row>
    <row r="511" spans="10:10" ht="12.75" customHeight="1">
      <c r="J511" s="147"/>
    </row>
    <row r="512" spans="10:10" ht="12.75" customHeight="1">
      <c r="J512" s="147"/>
    </row>
    <row r="513" spans="10:10" ht="12.75" customHeight="1">
      <c r="J513" s="147"/>
    </row>
    <row r="514" spans="10:10" ht="12.75" customHeight="1">
      <c r="J514" s="147"/>
    </row>
    <row r="515" spans="10:10" ht="12.75" customHeight="1">
      <c r="J515" s="147"/>
    </row>
    <row r="516" spans="10:10" ht="12.75" customHeight="1">
      <c r="J516" s="147"/>
    </row>
    <row r="517" spans="10:10" ht="12.75" customHeight="1">
      <c r="J517" s="147"/>
    </row>
    <row r="518" spans="10:10" ht="12.75" customHeight="1">
      <c r="J518" s="147"/>
    </row>
    <row r="519" spans="10:10" ht="12.75" customHeight="1">
      <c r="J519" s="147"/>
    </row>
    <row r="520" spans="10:10" ht="12.75" customHeight="1">
      <c r="J520" s="147"/>
    </row>
    <row r="521" spans="10:10" ht="12.75" customHeight="1">
      <c r="J521" s="147"/>
    </row>
    <row r="522" spans="10:10" ht="12.75" customHeight="1">
      <c r="J522" s="147"/>
    </row>
    <row r="523" spans="10:10" ht="12.75" customHeight="1">
      <c r="J523" s="147"/>
    </row>
    <row r="524" spans="10:10" ht="12.75" customHeight="1">
      <c r="J524" s="147"/>
    </row>
    <row r="525" spans="10:10" ht="12.75" customHeight="1">
      <c r="J525" s="147"/>
    </row>
    <row r="526" spans="10:10" ht="12.75" customHeight="1">
      <c r="J526" s="147"/>
    </row>
    <row r="527" spans="10:10" ht="12.75" customHeight="1">
      <c r="J527" s="147"/>
    </row>
    <row r="528" spans="10:10" ht="12.75" customHeight="1">
      <c r="J528" s="147"/>
    </row>
    <row r="529" spans="10:10" ht="12.75" customHeight="1">
      <c r="J529" s="147"/>
    </row>
    <row r="530" spans="10:10" ht="12.75" customHeight="1">
      <c r="J530" s="147"/>
    </row>
    <row r="531" spans="10:10" ht="12.75" customHeight="1">
      <c r="J531" s="147"/>
    </row>
    <row r="532" spans="10:10" ht="12.75" customHeight="1">
      <c r="J532" s="147"/>
    </row>
    <row r="533" spans="10:10" ht="12.75" customHeight="1">
      <c r="J533" s="147"/>
    </row>
    <row r="534" spans="10:10" ht="12.75" customHeight="1">
      <c r="J534" s="147"/>
    </row>
    <row r="535" spans="10:10" ht="12.75" customHeight="1">
      <c r="J535" s="147"/>
    </row>
    <row r="536" spans="10:10" ht="12.75" customHeight="1">
      <c r="J536" s="147"/>
    </row>
    <row r="537" spans="10:10" ht="12.75" customHeight="1">
      <c r="J537" s="147"/>
    </row>
    <row r="538" spans="10:10" ht="12.75" customHeight="1">
      <c r="J538" s="147"/>
    </row>
    <row r="539" spans="10:10" ht="12.75" customHeight="1">
      <c r="J539" s="147"/>
    </row>
    <row r="540" spans="10:10" ht="12.75" customHeight="1">
      <c r="J540" s="147"/>
    </row>
    <row r="541" spans="10:10" ht="12.75" customHeight="1">
      <c r="J541" s="147"/>
    </row>
    <row r="542" spans="10:10" ht="12.75" customHeight="1">
      <c r="J542" s="147"/>
    </row>
    <row r="543" spans="10:10" ht="12.75" customHeight="1">
      <c r="J543" s="147"/>
    </row>
    <row r="544" spans="10:10" ht="12.75" customHeight="1">
      <c r="J544" s="147"/>
    </row>
    <row r="545" spans="10:10" ht="12.75" customHeight="1">
      <c r="J545" s="147"/>
    </row>
    <row r="546" spans="10:10" ht="12.75" customHeight="1">
      <c r="J546" s="147"/>
    </row>
    <row r="547" spans="10:10" ht="12.75" customHeight="1">
      <c r="J547" s="147"/>
    </row>
    <row r="548" spans="10:10" ht="12.75" customHeight="1">
      <c r="J548" s="147"/>
    </row>
    <row r="549" spans="10:10" ht="12.75" customHeight="1">
      <c r="J549" s="147"/>
    </row>
    <row r="550" spans="10:10" ht="12.75" customHeight="1">
      <c r="J550" s="147"/>
    </row>
    <row r="551" spans="10:10" ht="12.75" customHeight="1">
      <c r="J551" s="147"/>
    </row>
    <row r="552" spans="10:10" ht="12.75" customHeight="1">
      <c r="J552" s="147"/>
    </row>
    <row r="553" spans="10:10" ht="12.75" customHeight="1">
      <c r="J553" s="147"/>
    </row>
    <row r="554" spans="10:10" ht="12.75" customHeight="1">
      <c r="J554" s="147"/>
    </row>
    <row r="555" spans="10:10" ht="12.75" customHeight="1">
      <c r="J555" s="147"/>
    </row>
    <row r="556" spans="10:10" ht="12.75" customHeight="1">
      <c r="J556" s="147"/>
    </row>
    <row r="557" spans="10:10" ht="12.75" customHeight="1">
      <c r="J557" s="147"/>
    </row>
    <row r="558" spans="10:10" ht="12.75" customHeight="1">
      <c r="J558" s="147"/>
    </row>
    <row r="559" spans="10:10" ht="12.75" customHeight="1">
      <c r="J559" s="147"/>
    </row>
    <row r="560" spans="10:10" ht="12.75" customHeight="1">
      <c r="J560" s="147"/>
    </row>
    <row r="561" spans="10:10" ht="12.75" customHeight="1">
      <c r="J561" s="147"/>
    </row>
    <row r="562" spans="10:10" ht="12.75" customHeight="1">
      <c r="J562" s="147"/>
    </row>
    <row r="563" spans="10:10" ht="12.75" customHeight="1">
      <c r="J563" s="147"/>
    </row>
    <row r="564" spans="10:10" ht="12.75" customHeight="1">
      <c r="J564" s="147"/>
    </row>
    <row r="565" spans="10:10" ht="12.75" customHeight="1">
      <c r="J565" s="147"/>
    </row>
    <row r="566" spans="10:10" ht="12.75" customHeight="1">
      <c r="J566" s="147"/>
    </row>
    <row r="567" spans="10:10" ht="12.75" customHeight="1">
      <c r="J567" s="147"/>
    </row>
    <row r="568" spans="10:10" ht="12.75" customHeight="1">
      <c r="J568" s="147"/>
    </row>
    <row r="569" spans="10:10" ht="12.75" customHeight="1">
      <c r="J569" s="147"/>
    </row>
    <row r="570" spans="10:10" ht="12.75" customHeight="1">
      <c r="J570" s="147"/>
    </row>
    <row r="571" spans="10:10" ht="12.75" customHeight="1">
      <c r="J571" s="147"/>
    </row>
    <row r="572" spans="10:10" ht="12.75" customHeight="1">
      <c r="J572" s="147"/>
    </row>
    <row r="573" spans="10:10" ht="12.75" customHeight="1">
      <c r="J573" s="147"/>
    </row>
    <row r="574" spans="10:10" ht="12.75" customHeight="1">
      <c r="J574" s="147"/>
    </row>
    <row r="575" spans="10:10" ht="12.75" customHeight="1">
      <c r="J575" s="147"/>
    </row>
    <row r="576" spans="10:10" ht="12.75" customHeight="1">
      <c r="J576" s="147"/>
    </row>
    <row r="577" spans="10:10" ht="12.75" customHeight="1">
      <c r="J577" s="147"/>
    </row>
    <row r="578" spans="10:10" ht="12.75" customHeight="1">
      <c r="J578" s="147"/>
    </row>
    <row r="579" spans="10:10" ht="12.75" customHeight="1">
      <c r="J579" s="147"/>
    </row>
    <row r="580" spans="10:10" ht="12.75" customHeight="1">
      <c r="J580" s="147"/>
    </row>
    <row r="581" spans="10:10" ht="12.75" customHeight="1">
      <c r="J581" s="147"/>
    </row>
    <row r="582" spans="10:10" ht="12.75" customHeight="1">
      <c r="J582" s="147"/>
    </row>
    <row r="583" spans="10:10" ht="12.75" customHeight="1">
      <c r="J583" s="147"/>
    </row>
    <row r="584" spans="10:10" ht="12.75" customHeight="1">
      <c r="J584" s="147"/>
    </row>
    <row r="585" spans="10:10" ht="12.75" customHeight="1">
      <c r="J585" s="147"/>
    </row>
    <row r="586" spans="10:10" ht="12.75" customHeight="1">
      <c r="J586" s="147"/>
    </row>
    <row r="587" spans="10:10" ht="12.75" customHeight="1">
      <c r="J587" s="147"/>
    </row>
    <row r="588" spans="10:10" ht="12.75" customHeight="1">
      <c r="J588" s="147"/>
    </row>
    <row r="589" spans="10:10" ht="12.75" customHeight="1">
      <c r="J589" s="147"/>
    </row>
    <row r="590" spans="10:10" ht="12.75" customHeight="1">
      <c r="J590" s="147"/>
    </row>
    <row r="591" spans="10:10" ht="12.75" customHeight="1">
      <c r="J591" s="147"/>
    </row>
    <row r="592" spans="10:10" ht="12.75" customHeight="1">
      <c r="J592" s="147"/>
    </row>
    <row r="593" spans="10:10" ht="12.75" customHeight="1">
      <c r="J593" s="147"/>
    </row>
    <row r="594" spans="10:10" ht="12.75" customHeight="1">
      <c r="J594" s="147"/>
    </row>
    <row r="595" spans="10:10" ht="12.75" customHeight="1">
      <c r="J595" s="147"/>
    </row>
    <row r="596" spans="10:10" ht="12.75" customHeight="1">
      <c r="J596" s="147"/>
    </row>
    <row r="597" spans="10:10" ht="12.75" customHeight="1">
      <c r="J597" s="147"/>
    </row>
    <row r="598" spans="10:10" ht="12.75" customHeight="1">
      <c r="J598" s="147"/>
    </row>
    <row r="599" spans="10:10" ht="12.75" customHeight="1">
      <c r="J599" s="147"/>
    </row>
    <row r="600" spans="10:10" ht="12.75" customHeight="1">
      <c r="J600" s="147"/>
    </row>
    <row r="601" spans="10:10" ht="12.75" customHeight="1">
      <c r="J601" s="147"/>
    </row>
    <row r="602" spans="10:10" ht="12.75" customHeight="1">
      <c r="J602" s="147"/>
    </row>
    <row r="603" spans="10:10" ht="12.75" customHeight="1">
      <c r="J603" s="147"/>
    </row>
    <row r="604" spans="10:10" ht="12.75" customHeight="1">
      <c r="J604" s="147"/>
    </row>
    <row r="605" spans="10:10" ht="12.75" customHeight="1">
      <c r="J605" s="147"/>
    </row>
    <row r="606" spans="10:10" ht="12.75" customHeight="1">
      <c r="J606" s="147"/>
    </row>
    <row r="607" spans="10:10" ht="12.75" customHeight="1">
      <c r="J607" s="147"/>
    </row>
    <row r="608" spans="10:10" ht="12.75" customHeight="1">
      <c r="J608" s="147"/>
    </row>
    <row r="609" spans="10:10" ht="12.75" customHeight="1">
      <c r="J609" s="147"/>
    </row>
    <row r="610" spans="10:10" ht="12.75" customHeight="1">
      <c r="J610" s="147"/>
    </row>
    <row r="611" spans="10:10" ht="12.75" customHeight="1">
      <c r="J611" s="147"/>
    </row>
    <row r="612" spans="10:10" ht="12.75" customHeight="1">
      <c r="J612" s="147"/>
    </row>
    <row r="613" spans="10:10" ht="12.75" customHeight="1">
      <c r="J613" s="147"/>
    </row>
    <row r="614" spans="10:10" ht="12.75" customHeight="1">
      <c r="J614" s="147"/>
    </row>
    <row r="615" spans="10:10" ht="12.75" customHeight="1">
      <c r="J615" s="147"/>
    </row>
    <row r="616" spans="10:10" ht="12.75" customHeight="1">
      <c r="J616" s="147"/>
    </row>
    <row r="617" spans="10:10" ht="12.75" customHeight="1">
      <c r="J617" s="147"/>
    </row>
    <row r="618" spans="10:10" ht="12.75" customHeight="1">
      <c r="J618" s="147"/>
    </row>
    <row r="619" spans="10:10" ht="12.75" customHeight="1">
      <c r="J619" s="147"/>
    </row>
    <row r="620" spans="10:10" ht="12.75" customHeight="1">
      <c r="J620" s="147"/>
    </row>
    <row r="621" spans="10:10" ht="12.75" customHeight="1">
      <c r="J621" s="147"/>
    </row>
    <row r="622" spans="10:10" ht="12.75" customHeight="1">
      <c r="J622" s="147"/>
    </row>
    <row r="623" spans="10:10" ht="12.75" customHeight="1">
      <c r="J623" s="147"/>
    </row>
    <row r="624" spans="10:10" ht="12.75" customHeight="1">
      <c r="J624" s="147"/>
    </row>
    <row r="625" spans="10:10" ht="12.75" customHeight="1">
      <c r="J625" s="147"/>
    </row>
    <row r="626" spans="10:10" ht="12.75" customHeight="1">
      <c r="J626" s="147"/>
    </row>
    <row r="627" spans="10:10" ht="12.75" customHeight="1">
      <c r="J627" s="147"/>
    </row>
    <row r="628" spans="10:10" ht="12.75" customHeight="1">
      <c r="J628" s="147"/>
    </row>
    <row r="629" spans="10:10" ht="12.75" customHeight="1">
      <c r="J629" s="147"/>
    </row>
    <row r="630" spans="10:10" ht="12.75" customHeight="1">
      <c r="J630" s="147"/>
    </row>
    <row r="631" spans="10:10" ht="12.75" customHeight="1">
      <c r="J631" s="147"/>
    </row>
    <row r="632" spans="10:10" ht="12.75" customHeight="1">
      <c r="J632" s="147"/>
    </row>
    <row r="633" spans="10:10" ht="12.75" customHeight="1">
      <c r="J633" s="147"/>
    </row>
    <row r="634" spans="10:10" ht="12.75" customHeight="1">
      <c r="J634" s="147"/>
    </row>
    <row r="635" spans="10:10" ht="12.75" customHeight="1">
      <c r="J635" s="147"/>
    </row>
    <row r="636" spans="10:10" ht="12.75" customHeight="1">
      <c r="J636" s="147"/>
    </row>
    <row r="637" spans="10:10" ht="12.75" customHeight="1">
      <c r="J637" s="147"/>
    </row>
    <row r="638" spans="10:10" ht="12.75" customHeight="1">
      <c r="J638" s="147"/>
    </row>
    <row r="639" spans="10:10" ht="12.75" customHeight="1">
      <c r="J639" s="147"/>
    </row>
    <row r="640" spans="10:10" ht="12.75" customHeight="1">
      <c r="J640" s="147"/>
    </row>
    <row r="641" spans="10:10" ht="12.75" customHeight="1">
      <c r="J641" s="147"/>
    </row>
    <row r="642" spans="10:10" ht="12.75" customHeight="1">
      <c r="J642" s="147"/>
    </row>
    <row r="643" spans="10:10" ht="12.75" customHeight="1">
      <c r="J643" s="147"/>
    </row>
    <row r="644" spans="10:10" ht="12.75" customHeight="1">
      <c r="J644" s="147"/>
    </row>
    <row r="645" spans="10:10" ht="12.75" customHeight="1">
      <c r="J645" s="147"/>
    </row>
    <row r="646" spans="10:10" ht="12.75" customHeight="1">
      <c r="J646" s="147"/>
    </row>
    <row r="647" spans="10:10" ht="12.75" customHeight="1">
      <c r="J647" s="147"/>
    </row>
    <row r="648" spans="10:10" ht="12.75" customHeight="1">
      <c r="J648" s="147"/>
    </row>
    <row r="649" spans="10:10" ht="12.75" customHeight="1">
      <c r="J649" s="147"/>
    </row>
    <row r="650" spans="10:10" ht="12.75" customHeight="1">
      <c r="J650" s="147"/>
    </row>
    <row r="651" spans="10:10" ht="12.75" customHeight="1">
      <c r="J651" s="147"/>
    </row>
    <row r="652" spans="10:10" ht="12.75" customHeight="1">
      <c r="J652" s="147"/>
    </row>
    <row r="653" spans="10:10" ht="12.75" customHeight="1">
      <c r="J653" s="147"/>
    </row>
    <row r="654" spans="10:10" ht="12.75" customHeight="1">
      <c r="J654" s="147"/>
    </row>
    <row r="655" spans="10:10" ht="12.75" customHeight="1">
      <c r="J655" s="147"/>
    </row>
    <row r="656" spans="10:10" ht="12.75" customHeight="1">
      <c r="J656" s="147"/>
    </row>
    <row r="657" spans="10:10" ht="12.75" customHeight="1">
      <c r="J657" s="147"/>
    </row>
    <row r="658" spans="10:10" ht="12.75" customHeight="1">
      <c r="J658" s="147"/>
    </row>
    <row r="659" spans="10:10" ht="12.75" customHeight="1">
      <c r="J659" s="147"/>
    </row>
    <row r="660" spans="10:10" ht="12.75" customHeight="1">
      <c r="J660" s="147"/>
    </row>
    <row r="661" spans="10:10" ht="12.75" customHeight="1">
      <c r="J661" s="147"/>
    </row>
    <row r="662" spans="10:10" ht="12.75" customHeight="1">
      <c r="J662" s="147"/>
    </row>
    <row r="663" spans="10:10" ht="12.75" customHeight="1">
      <c r="J663" s="147"/>
    </row>
    <row r="664" spans="10:10" ht="12.75" customHeight="1">
      <c r="J664" s="147"/>
    </row>
    <row r="665" spans="10:10" ht="12.75" customHeight="1">
      <c r="J665" s="147"/>
    </row>
    <row r="666" spans="10:10" ht="12.75" customHeight="1">
      <c r="J666" s="147"/>
    </row>
    <row r="667" spans="10:10" ht="12.75" customHeight="1">
      <c r="J667" s="147"/>
    </row>
    <row r="668" spans="10:10" ht="12.75" customHeight="1">
      <c r="J668" s="147"/>
    </row>
    <row r="669" spans="10:10" ht="12.75" customHeight="1">
      <c r="J669" s="147"/>
    </row>
    <row r="670" spans="10:10" ht="12.75" customHeight="1">
      <c r="J670" s="147"/>
    </row>
    <row r="671" spans="10:10" ht="12.75" customHeight="1">
      <c r="J671" s="147"/>
    </row>
    <row r="672" spans="10:10" ht="12.75" customHeight="1">
      <c r="J672" s="147"/>
    </row>
    <row r="673" spans="10:10" ht="12.75" customHeight="1">
      <c r="J673" s="147"/>
    </row>
    <row r="674" spans="10:10" ht="12.75" customHeight="1">
      <c r="J674" s="147"/>
    </row>
    <row r="675" spans="10:10" ht="12.75" customHeight="1">
      <c r="J675" s="147"/>
    </row>
    <row r="676" spans="10:10" ht="12.75" customHeight="1">
      <c r="J676" s="147"/>
    </row>
    <row r="677" spans="10:10" ht="12.75" customHeight="1">
      <c r="J677" s="147"/>
    </row>
    <row r="678" spans="10:10" ht="12.75" customHeight="1">
      <c r="J678" s="147"/>
    </row>
    <row r="679" spans="10:10" ht="12.75" customHeight="1">
      <c r="J679" s="147"/>
    </row>
    <row r="680" spans="10:10" ht="12.75" customHeight="1">
      <c r="J680" s="147"/>
    </row>
    <row r="681" spans="10:10" ht="12.75" customHeight="1">
      <c r="J681" s="147"/>
    </row>
    <row r="682" spans="10:10" ht="12.75" customHeight="1">
      <c r="J682" s="147"/>
    </row>
    <row r="683" spans="10:10" ht="12.75" customHeight="1">
      <c r="J683" s="147"/>
    </row>
    <row r="684" spans="10:10" ht="12.75" customHeight="1">
      <c r="J684" s="147"/>
    </row>
    <row r="685" spans="10:10" ht="12.75" customHeight="1">
      <c r="J685" s="147"/>
    </row>
    <row r="686" spans="10:10" ht="12.75" customHeight="1">
      <c r="J686" s="147"/>
    </row>
    <row r="687" spans="10:10" ht="12.75" customHeight="1">
      <c r="J687" s="147"/>
    </row>
    <row r="688" spans="10:10" ht="12.75" customHeight="1">
      <c r="J688" s="147"/>
    </row>
    <row r="689" spans="10:10" ht="12.75" customHeight="1">
      <c r="J689" s="147"/>
    </row>
    <row r="690" spans="10:10" ht="12.75" customHeight="1">
      <c r="J690" s="147"/>
    </row>
    <row r="691" spans="10:10" ht="12.75" customHeight="1">
      <c r="J691" s="147"/>
    </row>
    <row r="692" spans="10:10" ht="12.75" customHeight="1">
      <c r="J692" s="147"/>
    </row>
    <row r="693" spans="10:10" ht="12.75" customHeight="1">
      <c r="J693" s="147"/>
    </row>
    <row r="694" spans="10:10" ht="12.75" customHeight="1">
      <c r="J694" s="147"/>
    </row>
    <row r="695" spans="10:10" ht="12.75" customHeight="1">
      <c r="J695" s="147"/>
    </row>
    <row r="696" spans="10:10" ht="12.75" customHeight="1">
      <c r="J696" s="147"/>
    </row>
    <row r="697" spans="10:10" ht="12.75" customHeight="1">
      <c r="J697" s="147"/>
    </row>
    <row r="698" spans="10:10" ht="12.75" customHeight="1">
      <c r="J698" s="147"/>
    </row>
    <row r="699" spans="10:10" ht="12.75" customHeight="1">
      <c r="J699" s="147"/>
    </row>
    <row r="700" spans="10:10" ht="12.75" customHeight="1">
      <c r="J700" s="147"/>
    </row>
    <row r="701" spans="10:10" ht="12.75" customHeight="1">
      <c r="J701" s="147"/>
    </row>
    <row r="702" spans="10:10" ht="12.75" customHeight="1">
      <c r="J702" s="147"/>
    </row>
    <row r="703" spans="10:10" ht="12.75" customHeight="1">
      <c r="J703" s="147"/>
    </row>
    <row r="704" spans="10:10" ht="12.75" customHeight="1">
      <c r="J704" s="147"/>
    </row>
    <row r="705" spans="10:10" ht="12.75" customHeight="1">
      <c r="J705" s="147"/>
    </row>
    <row r="706" spans="10:10" ht="12.75" customHeight="1">
      <c r="J706" s="147"/>
    </row>
    <row r="707" spans="10:10" ht="12.75" customHeight="1">
      <c r="J707" s="147"/>
    </row>
    <row r="708" spans="10:10" ht="12.75" customHeight="1">
      <c r="J708" s="147"/>
    </row>
    <row r="709" spans="10:10" ht="12.75" customHeight="1">
      <c r="J709" s="147"/>
    </row>
    <row r="710" spans="10:10" ht="12.75" customHeight="1">
      <c r="J710" s="147"/>
    </row>
    <row r="711" spans="10:10" ht="12.75" customHeight="1">
      <c r="J711" s="147"/>
    </row>
    <row r="712" spans="10:10" ht="12.75" customHeight="1">
      <c r="J712" s="147"/>
    </row>
    <row r="713" spans="10:10" ht="12.75" customHeight="1">
      <c r="J713" s="147"/>
    </row>
    <row r="714" spans="10:10" ht="12.75" customHeight="1">
      <c r="J714" s="147"/>
    </row>
    <row r="715" spans="10:10" ht="12.75" customHeight="1">
      <c r="J715" s="147"/>
    </row>
    <row r="716" spans="10:10" ht="12.75" customHeight="1">
      <c r="J716" s="147"/>
    </row>
    <row r="717" spans="10:10" ht="12.75" customHeight="1">
      <c r="J717" s="147"/>
    </row>
    <row r="718" spans="10:10" ht="12.75" customHeight="1">
      <c r="J718" s="147"/>
    </row>
    <row r="719" spans="10:10" ht="12.75" customHeight="1">
      <c r="J719" s="147"/>
    </row>
    <row r="720" spans="10:10" ht="12.75" customHeight="1">
      <c r="J720" s="147"/>
    </row>
    <row r="721" spans="10:10" ht="12.75" customHeight="1">
      <c r="J721" s="147"/>
    </row>
    <row r="722" spans="10:10" ht="12.75" customHeight="1">
      <c r="J722" s="147"/>
    </row>
    <row r="723" spans="10:10" ht="12.75" customHeight="1">
      <c r="J723" s="147"/>
    </row>
    <row r="724" spans="10:10" ht="12.75" customHeight="1">
      <c r="J724" s="147"/>
    </row>
    <row r="725" spans="10:10" ht="12.75" customHeight="1">
      <c r="J725" s="147"/>
    </row>
    <row r="726" spans="10:10" ht="12.75" customHeight="1">
      <c r="J726" s="147"/>
    </row>
    <row r="727" spans="10:10" ht="12.75" customHeight="1">
      <c r="J727" s="147"/>
    </row>
    <row r="728" spans="10:10" ht="12.75" customHeight="1">
      <c r="J728" s="147"/>
    </row>
    <row r="729" spans="10:10" ht="12.75" customHeight="1">
      <c r="J729" s="147"/>
    </row>
    <row r="730" spans="10:10" ht="12.75" customHeight="1">
      <c r="J730" s="147"/>
    </row>
    <row r="731" spans="10:10" ht="12.75" customHeight="1">
      <c r="J731" s="147"/>
    </row>
    <row r="732" spans="10:10" ht="12.75" customHeight="1">
      <c r="J732" s="147"/>
    </row>
    <row r="733" spans="10:10" ht="12.75" customHeight="1">
      <c r="J733" s="147"/>
    </row>
    <row r="734" spans="10:10" ht="12.75" customHeight="1">
      <c r="J734" s="147"/>
    </row>
    <row r="735" spans="10:10" ht="12.75" customHeight="1">
      <c r="J735" s="147"/>
    </row>
    <row r="736" spans="10:10" ht="12.75" customHeight="1">
      <c r="J736" s="147"/>
    </row>
    <row r="737" spans="10:10" ht="12.75" customHeight="1">
      <c r="J737" s="147"/>
    </row>
    <row r="738" spans="10:10" ht="12.75" customHeight="1">
      <c r="J738" s="147"/>
    </row>
    <row r="739" spans="10:10" ht="12.75" customHeight="1">
      <c r="J739" s="147"/>
    </row>
    <row r="740" spans="10:10" ht="12.75" customHeight="1">
      <c r="J740" s="147"/>
    </row>
    <row r="741" spans="10:10" ht="12.75" customHeight="1">
      <c r="J741" s="147"/>
    </row>
    <row r="742" spans="10:10" ht="12.75" customHeight="1">
      <c r="J742" s="147"/>
    </row>
    <row r="743" spans="10:10" ht="12.75" customHeight="1">
      <c r="J743" s="147"/>
    </row>
    <row r="744" spans="10:10" ht="12.75" customHeight="1">
      <c r="J744" s="147"/>
    </row>
    <row r="745" spans="10:10" ht="12.75" customHeight="1">
      <c r="J745" s="147"/>
    </row>
    <row r="746" spans="10:10" ht="12.75" customHeight="1">
      <c r="J746" s="147"/>
    </row>
    <row r="747" spans="10:10" ht="12.75" customHeight="1">
      <c r="J747" s="147"/>
    </row>
    <row r="748" spans="10:10" ht="12.75" customHeight="1">
      <c r="J748" s="147"/>
    </row>
    <row r="749" spans="10:10" ht="12.75" customHeight="1">
      <c r="J749" s="147"/>
    </row>
    <row r="750" spans="10:10" ht="12.75" customHeight="1">
      <c r="J750" s="147"/>
    </row>
    <row r="751" spans="10:10" ht="12.75" customHeight="1">
      <c r="J751" s="147"/>
    </row>
    <row r="752" spans="10:10" ht="12.75" customHeight="1">
      <c r="J752" s="147"/>
    </row>
    <row r="753" spans="10:10" ht="12.75" customHeight="1">
      <c r="J753" s="147"/>
    </row>
    <row r="754" spans="10:10" ht="12.75" customHeight="1">
      <c r="J754" s="147"/>
    </row>
    <row r="755" spans="10:10" ht="12.75" customHeight="1">
      <c r="J755" s="147"/>
    </row>
    <row r="756" spans="10:10" ht="12.75" customHeight="1">
      <c r="J756" s="147"/>
    </row>
    <row r="757" spans="10:10" ht="12.75" customHeight="1">
      <c r="J757" s="147"/>
    </row>
    <row r="758" spans="10:10" ht="12.75" customHeight="1">
      <c r="J758" s="147"/>
    </row>
    <row r="759" spans="10:10" ht="12.75" customHeight="1">
      <c r="J759" s="147"/>
    </row>
    <row r="760" spans="10:10" ht="12.75" customHeight="1">
      <c r="J760" s="147"/>
    </row>
    <row r="761" spans="10:10" ht="12.75" customHeight="1">
      <c r="J761" s="147"/>
    </row>
    <row r="762" spans="10:10" ht="12.75" customHeight="1">
      <c r="J762" s="147"/>
    </row>
    <row r="763" spans="10:10" ht="12.75" customHeight="1">
      <c r="J763" s="147"/>
    </row>
    <row r="764" spans="10:10" ht="12.75" customHeight="1">
      <c r="J764" s="147"/>
    </row>
    <row r="765" spans="10:10" ht="12.75" customHeight="1">
      <c r="J765" s="147"/>
    </row>
    <row r="766" spans="10:10" ht="12.75" customHeight="1">
      <c r="J766" s="147"/>
    </row>
    <row r="767" spans="10:10" ht="12.75" customHeight="1">
      <c r="J767" s="147"/>
    </row>
    <row r="768" spans="10:10" ht="12.75" customHeight="1">
      <c r="J768" s="147"/>
    </row>
    <row r="769" spans="10:10" ht="12.75" customHeight="1">
      <c r="J769" s="147"/>
    </row>
    <row r="770" spans="10:10" ht="12.75" customHeight="1">
      <c r="J770" s="147"/>
    </row>
    <row r="771" spans="10:10" ht="12.75" customHeight="1">
      <c r="J771" s="147"/>
    </row>
    <row r="772" spans="10:10" ht="12.75" customHeight="1">
      <c r="J772" s="147"/>
    </row>
    <row r="773" spans="10:10" ht="12.75" customHeight="1">
      <c r="J773" s="147"/>
    </row>
    <row r="774" spans="10:10" ht="12.75" customHeight="1">
      <c r="J774" s="147"/>
    </row>
    <row r="775" spans="10:10" ht="12.75" customHeight="1">
      <c r="J775" s="147"/>
    </row>
    <row r="776" spans="10:10" ht="12.75" customHeight="1">
      <c r="J776" s="147"/>
    </row>
    <row r="777" spans="10:10" ht="12.75" customHeight="1">
      <c r="J777" s="147"/>
    </row>
    <row r="778" spans="10:10" ht="12.75" customHeight="1">
      <c r="J778" s="147"/>
    </row>
    <row r="779" spans="10:10" ht="12.75" customHeight="1">
      <c r="J779" s="147"/>
    </row>
    <row r="780" spans="10:10" ht="12.75" customHeight="1">
      <c r="J780" s="147"/>
    </row>
    <row r="781" spans="10:10" ht="12.75" customHeight="1">
      <c r="J781" s="147"/>
    </row>
    <row r="782" spans="10:10" ht="12.75" customHeight="1">
      <c r="J782" s="147"/>
    </row>
    <row r="783" spans="10:10" ht="12.75" customHeight="1">
      <c r="J783" s="147"/>
    </row>
    <row r="784" spans="10:10" ht="12.75" customHeight="1">
      <c r="J784" s="147"/>
    </row>
    <row r="785" spans="10:10" ht="12.75" customHeight="1">
      <c r="J785" s="147"/>
    </row>
    <row r="786" spans="10:10" ht="12.75" customHeight="1">
      <c r="J786" s="147"/>
    </row>
    <row r="787" spans="10:10" ht="12.75" customHeight="1">
      <c r="J787" s="147"/>
    </row>
    <row r="788" spans="10:10" ht="12.75" customHeight="1">
      <c r="J788" s="147"/>
    </row>
    <row r="789" spans="10:10" ht="12.75" customHeight="1">
      <c r="J789" s="147"/>
    </row>
    <row r="790" spans="10:10" ht="12.75" customHeight="1">
      <c r="J790" s="147"/>
    </row>
    <row r="791" spans="10:10" ht="12.75" customHeight="1">
      <c r="J791" s="147"/>
    </row>
    <row r="792" spans="10:10" ht="12.75" customHeight="1">
      <c r="J792" s="147"/>
    </row>
    <row r="793" spans="10:10" ht="12.75" customHeight="1">
      <c r="J793" s="147"/>
    </row>
    <row r="794" spans="10:10" ht="12.75" customHeight="1">
      <c r="J794" s="147"/>
    </row>
    <row r="795" spans="10:10" ht="12.75" customHeight="1">
      <c r="J795" s="147"/>
    </row>
    <row r="796" spans="10:10" ht="12.75" customHeight="1">
      <c r="J796" s="147"/>
    </row>
    <row r="797" spans="10:10" ht="12.75" customHeight="1">
      <c r="J797" s="147"/>
    </row>
    <row r="798" spans="10:10" ht="12.75" customHeight="1">
      <c r="J798" s="147"/>
    </row>
    <row r="799" spans="10:10" ht="12.75" customHeight="1">
      <c r="J799" s="147"/>
    </row>
    <row r="800" spans="10:10" ht="12.75" customHeight="1">
      <c r="J800" s="147"/>
    </row>
    <row r="801" spans="10:10" ht="12.75" customHeight="1">
      <c r="J801" s="147"/>
    </row>
    <row r="802" spans="10:10" ht="12.75" customHeight="1">
      <c r="J802" s="147"/>
    </row>
    <row r="803" spans="10:10" ht="12.75" customHeight="1">
      <c r="J803" s="147"/>
    </row>
    <row r="804" spans="10:10" ht="12.75" customHeight="1">
      <c r="J804" s="147"/>
    </row>
    <row r="805" spans="10:10" ht="12.75" customHeight="1">
      <c r="J805" s="147"/>
    </row>
    <row r="806" spans="10:10" ht="12.75" customHeight="1">
      <c r="J806" s="147"/>
    </row>
    <row r="807" spans="10:10" ht="12.75" customHeight="1">
      <c r="J807" s="147"/>
    </row>
    <row r="808" spans="10:10" ht="12.75" customHeight="1">
      <c r="J808" s="147"/>
    </row>
    <row r="809" spans="10:10" ht="12.75" customHeight="1">
      <c r="J809" s="147"/>
    </row>
    <row r="810" spans="10:10" ht="12.75" customHeight="1">
      <c r="J810" s="147"/>
    </row>
    <row r="811" spans="10:10" ht="12.75" customHeight="1">
      <c r="J811" s="147"/>
    </row>
    <row r="812" spans="10:10" ht="12.75" customHeight="1">
      <c r="J812" s="147"/>
    </row>
    <row r="813" spans="10:10" ht="12.75" customHeight="1">
      <c r="J813" s="147"/>
    </row>
    <row r="814" spans="10:10" ht="12.75" customHeight="1">
      <c r="J814" s="147"/>
    </row>
    <row r="815" spans="10:10" ht="12.75" customHeight="1">
      <c r="J815" s="147"/>
    </row>
    <row r="816" spans="10:10" ht="12.75" customHeight="1">
      <c r="J816" s="147"/>
    </row>
    <row r="817" spans="10:10" ht="12.75" customHeight="1">
      <c r="J817" s="147"/>
    </row>
    <row r="818" spans="10:10" ht="12.75" customHeight="1">
      <c r="J818" s="147"/>
    </row>
    <row r="819" spans="10:10" ht="12.75" customHeight="1">
      <c r="J819" s="147"/>
    </row>
    <row r="820" spans="10:10" ht="12.75" customHeight="1">
      <c r="J820" s="147"/>
    </row>
    <row r="821" spans="10:10" ht="12.75" customHeight="1">
      <c r="J821" s="147"/>
    </row>
    <row r="822" spans="10:10" ht="12.75" customHeight="1">
      <c r="J822" s="147"/>
    </row>
    <row r="823" spans="10:10" ht="12.75" customHeight="1">
      <c r="J823" s="147"/>
    </row>
    <row r="824" spans="10:10" ht="12.75" customHeight="1">
      <c r="J824" s="147"/>
    </row>
    <row r="825" spans="10:10" ht="12.75" customHeight="1">
      <c r="J825" s="147"/>
    </row>
    <row r="826" spans="10:10" ht="12.75" customHeight="1">
      <c r="J826" s="147"/>
    </row>
    <row r="827" spans="10:10" ht="12.75" customHeight="1">
      <c r="J827" s="147"/>
    </row>
    <row r="828" spans="10:10" ht="12.75" customHeight="1">
      <c r="J828" s="147"/>
    </row>
    <row r="829" spans="10:10" ht="12.75" customHeight="1">
      <c r="J829" s="147"/>
    </row>
    <row r="830" spans="10:10" ht="12.75" customHeight="1">
      <c r="J830" s="147"/>
    </row>
    <row r="831" spans="10:10" ht="12.75" customHeight="1">
      <c r="J831" s="147"/>
    </row>
    <row r="832" spans="10:10" ht="12.75" customHeight="1">
      <c r="J832" s="147"/>
    </row>
    <row r="833" spans="10:10" ht="12.75" customHeight="1">
      <c r="J833" s="147"/>
    </row>
    <row r="834" spans="10:10" ht="12.75" customHeight="1">
      <c r="J834" s="147"/>
    </row>
    <row r="835" spans="10:10" ht="12.75" customHeight="1">
      <c r="J835" s="147"/>
    </row>
    <row r="836" spans="10:10" ht="12.75" customHeight="1">
      <c r="J836" s="147"/>
    </row>
    <row r="837" spans="10:10" ht="12.75" customHeight="1">
      <c r="J837" s="147"/>
    </row>
    <row r="838" spans="10:10" ht="12.75" customHeight="1">
      <c r="J838" s="147"/>
    </row>
    <row r="839" spans="10:10" ht="12.75" customHeight="1">
      <c r="J839" s="147"/>
    </row>
    <row r="840" spans="10:10" ht="12.75" customHeight="1">
      <c r="J840" s="147"/>
    </row>
    <row r="841" spans="10:10" ht="12.75" customHeight="1">
      <c r="J841" s="147"/>
    </row>
    <row r="842" spans="10:10" ht="12.75" customHeight="1">
      <c r="J842" s="147"/>
    </row>
    <row r="843" spans="10:10" ht="12.75" customHeight="1">
      <c r="J843" s="147"/>
    </row>
    <row r="844" spans="10:10" ht="12.75" customHeight="1">
      <c r="J844" s="147"/>
    </row>
    <row r="845" spans="10:10" ht="12.75" customHeight="1">
      <c r="J845" s="147"/>
    </row>
    <row r="846" spans="10:10" ht="12.75" customHeight="1">
      <c r="J846" s="147"/>
    </row>
    <row r="847" spans="10:10" ht="12.75" customHeight="1">
      <c r="J847" s="147"/>
    </row>
    <row r="848" spans="10:10" ht="12.75" customHeight="1">
      <c r="J848" s="147"/>
    </row>
    <row r="849" spans="10:10" ht="12.75" customHeight="1">
      <c r="J849" s="147"/>
    </row>
    <row r="850" spans="10:10" ht="12.75" customHeight="1">
      <c r="J850" s="147"/>
    </row>
    <row r="851" spans="10:10" ht="12.75" customHeight="1">
      <c r="J851" s="147"/>
    </row>
    <row r="852" spans="10:10" ht="12.75" customHeight="1">
      <c r="J852" s="147"/>
    </row>
    <row r="853" spans="10:10" ht="12.75" customHeight="1">
      <c r="J853" s="147"/>
    </row>
    <row r="854" spans="10:10" ht="12.75" customHeight="1">
      <c r="J854" s="147"/>
    </row>
    <row r="855" spans="10:10" ht="12.75" customHeight="1">
      <c r="J855" s="147"/>
    </row>
    <row r="856" spans="10:10" ht="12.75" customHeight="1">
      <c r="J856" s="147"/>
    </row>
    <row r="857" spans="10:10" ht="12.75" customHeight="1">
      <c r="J857" s="147"/>
    </row>
    <row r="858" spans="10:10" ht="12.75" customHeight="1">
      <c r="J858" s="147"/>
    </row>
    <row r="859" spans="10:10" ht="12.75" customHeight="1">
      <c r="J859" s="147"/>
    </row>
    <row r="860" spans="10:10" ht="12.75" customHeight="1">
      <c r="J860" s="147"/>
    </row>
    <row r="861" spans="10:10" ht="12.75" customHeight="1">
      <c r="J861" s="147"/>
    </row>
    <row r="862" spans="10:10" ht="12.75" customHeight="1">
      <c r="J862" s="147"/>
    </row>
    <row r="863" spans="10:10" ht="12.75" customHeight="1">
      <c r="J863" s="147"/>
    </row>
    <row r="864" spans="10:10" ht="12.75" customHeight="1">
      <c r="J864" s="147"/>
    </row>
    <row r="865" spans="10:10" ht="12.75" customHeight="1">
      <c r="J865" s="147"/>
    </row>
    <row r="866" spans="10:10" ht="12.75" customHeight="1">
      <c r="J866" s="147"/>
    </row>
    <row r="867" spans="10:10" ht="12.75" customHeight="1">
      <c r="J867" s="147"/>
    </row>
    <row r="868" spans="10:10" ht="12.75" customHeight="1">
      <c r="J868" s="147"/>
    </row>
    <row r="869" spans="10:10" ht="12.75" customHeight="1">
      <c r="J869" s="147"/>
    </row>
    <row r="870" spans="10:10" ht="12.75" customHeight="1">
      <c r="J870" s="147"/>
    </row>
    <row r="871" spans="10:10" ht="12.75" customHeight="1">
      <c r="J871" s="147"/>
    </row>
    <row r="872" spans="10:10" ht="12.75" customHeight="1">
      <c r="J872" s="147"/>
    </row>
    <row r="873" spans="10:10" ht="12.75" customHeight="1">
      <c r="J873" s="147"/>
    </row>
    <row r="874" spans="10:10" ht="12.75" customHeight="1">
      <c r="J874" s="147"/>
    </row>
    <row r="875" spans="10:10" ht="12.75" customHeight="1">
      <c r="J875" s="147"/>
    </row>
    <row r="876" spans="10:10" ht="12.75" customHeight="1">
      <c r="J876" s="147"/>
    </row>
    <row r="877" spans="10:10" ht="12.75" customHeight="1">
      <c r="J877" s="147"/>
    </row>
    <row r="878" spans="10:10" ht="12.75" customHeight="1">
      <c r="J878" s="147"/>
    </row>
    <row r="879" spans="10:10" ht="12.75" customHeight="1">
      <c r="J879" s="147"/>
    </row>
    <row r="880" spans="10:10" ht="12.75" customHeight="1">
      <c r="J880" s="147"/>
    </row>
    <row r="881" spans="10:10" ht="12.75" customHeight="1">
      <c r="J881" s="147"/>
    </row>
    <row r="882" spans="10:10" ht="12.75" customHeight="1">
      <c r="J882" s="147"/>
    </row>
    <row r="883" spans="10:10" ht="12.75" customHeight="1">
      <c r="J883" s="147"/>
    </row>
    <row r="884" spans="10:10" ht="12.75" customHeight="1">
      <c r="J884" s="147"/>
    </row>
    <row r="885" spans="10:10" ht="12.75" customHeight="1">
      <c r="J885" s="147"/>
    </row>
    <row r="886" spans="10:10" ht="12.75" customHeight="1">
      <c r="J886" s="147"/>
    </row>
    <row r="887" spans="10:10" ht="12.75" customHeight="1">
      <c r="J887" s="147"/>
    </row>
    <row r="888" spans="10:10" ht="12.75" customHeight="1">
      <c r="J888" s="147"/>
    </row>
    <row r="889" spans="10:10" ht="12.75" customHeight="1">
      <c r="J889" s="147"/>
    </row>
    <row r="890" spans="10:10" ht="12.75" customHeight="1">
      <c r="J890" s="147"/>
    </row>
    <row r="891" spans="10:10" ht="12.75" customHeight="1">
      <c r="J891" s="147"/>
    </row>
    <row r="892" spans="10:10" ht="12.75" customHeight="1">
      <c r="J892" s="147"/>
    </row>
    <row r="893" spans="10:10" ht="12.75" customHeight="1">
      <c r="J893" s="147"/>
    </row>
    <row r="894" spans="10:10" ht="12.75" customHeight="1">
      <c r="J894" s="147"/>
    </row>
    <row r="895" spans="10:10" ht="12.75" customHeight="1">
      <c r="J895" s="147"/>
    </row>
    <row r="896" spans="10:10" ht="12.75" customHeight="1">
      <c r="J896" s="147"/>
    </row>
    <row r="897" spans="10:10" ht="12.75" customHeight="1">
      <c r="J897" s="147"/>
    </row>
    <row r="898" spans="10:10" ht="12.75" customHeight="1">
      <c r="J898" s="147"/>
    </row>
    <row r="899" spans="10:10" ht="12.75" customHeight="1">
      <c r="J899" s="147"/>
    </row>
    <row r="900" spans="10:10" ht="12.75" customHeight="1">
      <c r="J900" s="147"/>
    </row>
    <row r="901" spans="10:10" ht="12.75" customHeight="1">
      <c r="J901" s="147"/>
    </row>
    <row r="902" spans="10:10" ht="12.75" customHeight="1">
      <c r="J902" s="147"/>
    </row>
    <row r="903" spans="10:10" ht="12.75" customHeight="1">
      <c r="J903" s="147"/>
    </row>
    <row r="904" spans="10:10" ht="12.75" customHeight="1">
      <c r="J904" s="147"/>
    </row>
    <row r="905" spans="10:10" ht="12.75" customHeight="1">
      <c r="J905" s="147"/>
    </row>
    <row r="906" spans="10:10" ht="12.75" customHeight="1">
      <c r="J906" s="147"/>
    </row>
    <row r="907" spans="10:10" ht="12.75" customHeight="1">
      <c r="J907" s="147"/>
    </row>
    <row r="908" spans="10:10" ht="12.75" customHeight="1">
      <c r="J908" s="147"/>
    </row>
    <row r="909" spans="10:10" ht="12.75" customHeight="1">
      <c r="J909" s="147"/>
    </row>
    <row r="910" spans="10:10" ht="12.75" customHeight="1">
      <c r="J910" s="147"/>
    </row>
    <row r="911" spans="10:10" ht="12.75" customHeight="1">
      <c r="J911" s="147"/>
    </row>
    <row r="912" spans="10:10" ht="12.75" customHeight="1">
      <c r="J912" s="147"/>
    </row>
    <row r="913" spans="10:10" ht="12.75" customHeight="1">
      <c r="J913" s="147"/>
    </row>
    <row r="914" spans="10:10" ht="12.75" customHeight="1">
      <c r="J914" s="147"/>
    </row>
    <row r="915" spans="10:10" ht="12.75" customHeight="1">
      <c r="J915" s="147"/>
    </row>
    <row r="916" spans="10:10" ht="12.75" customHeight="1">
      <c r="J916" s="147"/>
    </row>
    <row r="917" spans="10:10" ht="12.75" customHeight="1">
      <c r="J917" s="147"/>
    </row>
    <row r="918" spans="10:10" ht="12.75" customHeight="1">
      <c r="J918" s="147"/>
    </row>
    <row r="919" spans="10:10" ht="12.75" customHeight="1">
      <c r="J919" s="147"/>
    </row>
    <row r="920" spans="10:10" ht="12.75" customHeight="1">
      <c r="J920" s="147"/>
    </row>
    <row r="921" spans="10:10" ht="12.75" customHeight="1">
      <c r="J921" s="147"/>
    </row>
    <row r="922" spans="10:10" ht="12.75" customHeight="1">
      <c r="J922" s="147"/>
    </row>
    <row r="923" spans="10:10" ht="12.75" customHeight="1">
      <c r="J923" s="147"/>
    </row>
    <row r="924" spans="10:10" ht="12.75" customHeight="1">
      <c r="J924" s="147"/>
    </row>
    <row r="925" spans="10:10" ht="12.75" customHeight="1">
      <c r="J925" s="147"/>
    </row>
    <row r="926" spans="10:10" ht="12.75" customHeight="1">
      <c r="J926" s="147"/>
    </row>
    <row r="927" spans="10:10" ht="12.75" customHeight="1">
      <c r="J927" s="147"/>
    </row>
    <row r="928" spans="10:10" ht="12.75" customHeight="1">
      <c r="J928" s="147"/>
    </row>
    <row r="929" spans="10:10" ht="12.75" customHeight="1">
      <c r="J929" s="147"/>
    </row>
    <row r="930" spans="10:10" ht="12.75" customHeight="1">
      <c r="J930" s="147"/>
    </row>
    <row r="931" spans="10:10" ht="12.75" customHeight="1">
      <c r="J931" s="147"/>
    </row>
    <row r="932" spans="10:10" ht="12.75" customHeight="1">
      <c r="J932" s="147"/>
    </row>
    <row r="933" spans="10:10" ht="12.75" customHeight="1">
      <c r="J933" s="147"/>
    </row>
    <row r="934" spans="10:10" ht="12.75" customHeight="1">
      <c r="J934" s="147"/>
    </row>
    <row r="935" spans="10:10" ht="12.75" customHeight="1">
      <c r="J935" s="147"/>
    </row>
    <row r="936" spans="10:10" ht="12.75" customHeight="1">
      <c r="J936" s="147"/>
    </row>
    <row r="937" spans="10:10" ht="12.75" customHeight="1">
      <c r="J937" s="147"/>
    </row>
    <row r="938" spans="10:10" ht="12.75" customHeight="1">
      <c r="J938" s="147"/>
    </row>
    <row r="939" spans="10:10" ht="12.75" customHeight="1">
      <c r="J939" s="147"/>
    </row>
    <row r="940" spans="10:10" ht="12.75" customHeight="1">
      <c r="J940" s="147"/>
    </row>
    <row r="941" spans="10:10" ht="12.75" customHeight="1">
      <c r="J941" s="147"/>
    </row>
    <row r="942" spans="10:10" ht="12.75" customHeight="1">
      <c r="J942" s="147"/>
    </row>
    <row r="943" spans="10:10" ht="12.75" customHeight="1">
      <c r="J943" s="147"/>
    </row>
    <row r="944" spans="10:10" ht="12.75" customHeight="1">
      <c r="J944" s="147"/>
    </row>
    <row r="945" spans="10:10" ht="12.75" customHeight="1">
      <c r="J945" s="147"/>
    </row>
    <row r="946" spans="10:10" ht="12.75" customHeight="1">
      <c r="J946" s="147"/>
    </row>
    <row r="947" spans="10:10" ht="12.75" customHeight="1">
      <c r="J947" s="147"/>
    </row>
    <row r="948" spans="10:10" ht="12.75" customHeight="1">
      <c r="J948" s="147"/>
    </row>
    <row r="949" spans="10:10" ht="12.75" customHeight="1">
      <c r="J949" s="147"/>
    </row>
    <row r="950" spans="10:10" ht="12.75" customHeight="1">
      <c r="J950" s="147"/>
    </row>
    <row r="951" spans="10:10" ht="12.75" customHeight="1">
      <c r="J951" s="147"/>
    </row>
    <row r="952" spans="10:10" ht="12.75" customHeight="1">
      <c r="J952" s="147"/>
    </row>
    <row r="953" spans="10:10" ht="12.75" customHeight="1">
      <c r="J953" s="147"/>
    </row>
    <row r="954" spans="10:10" ht="12.75" customHeight="1">
      <c r="J954" s="147"/>
    </row>
    <row r="955" spans="10:10" ht="12.75" customHeight="1">
      <c r="J955" s="147"/>
    </row>
    <row r="956" spans="10:10" ht="12.75" customHeight="1">
      <c r="J956" s="147"/>
    </row>
    <row r="957" spans="10:10" ht="12.75" customHeight="1">
      <c r="J957" s="147"/>
    </row>
    <row r="958" spans="10:10" ht="12.75" customHeight="1">
      <c r="J958" s="147"/>
    </row>
    <row r="959" spans="10:10" ht="12.75" customHeight="1">
      <c r="J959" s="147"/>
    </row>
    <row r="960" spans="10:10" ht="12.75" customHeight="1">
      <c r="J960" s="147"/>
    </row>
    <row r="961" spans="10:10" ht="12.75" customHeight="1">
      <c r="J961" s="147"/>
    </row>
    <row r="962" spans="10:10" ht="12.75" customHeight="1">
      <c r="J962" s="147"/>
    </row>
    <row r="963" spans="10:10" ht="12.75" customHeight="1">
      <c r="J963" s="147"/>
    </row>
    <row r="964" spans="10:10" ht="12.75" customHeight="1">
      <c r="J964" s="147"/>
    </row>
    <row r="965" spans="10:10" ht="12.75" customHeight="1">
      <c r="J965" s="147"/>
    </row>
    <row r="966" spans="10:10" ht="12.75" customHeight="1">
      <c r="J966" s="147"/>
    </row>
    <row r="967" spans="10:10" ht="12.75" customHeight="1">
      <c r="J967" s="147"/>
    </row>
    <row r="968" spans="10:10" ht="12.75" customHeight="1">
      <c r="J968" s="147"/>
    </row>
    <row r="969" spans="10:10" ht="12.75" customHeight="1">
      <c r="J969" s="147"/>
    </row>
    <row r="970" spans="10:10" ht="12.75" customHeight="1">
      <c r="J970" s="147"/>
    </row>
    <row r="971" spans="10:10" ht="12.75" customHeight="1">
      <c r="J971" s="147"/>
    </row>
    <row r="972" spans="10:10" ht="12.75" customHeight="1">
      <c r="J972" s="147"/>
    </row>
    <row r="973" spans="10:10" ht="12.75" customHeight="1">
      <c r="J973" s="147"/>
    </row>
    <row r="974" spans="10:10" ht="12.75" customHeight="1">
      <c r="J974" s="147"/>
    </row>
    <row r="975" spans="10:10" ht="12.75" customHeight="1">
      <c r="J975" s="147"/>
    </row>
    <row r="976" spans="10:10" ht="12.75" customHeight="1">
      <c r="J976" s="147"/>
    </row>
    <row r="977" spans="10:10" ht="12.75" customHeight="1">
      <c r="J977" s="147"/>
    </row>
    <row r="978" spans="10:10" ht="12.75" customHeight="1">
      <c r="J978" s="147"/>
    </row>
    <row r="979" spans="10:10" ht="12.75" customHeight="1">
      <c r="J979" s="147"/>
    </row>
    <row r="980" spans="10:10" ht="12.75" customHeight="1">
      <c r="J980" s="147"/>
    </row>
    <row r="981" spans="10:10" ht="12.75" customHeight="1">
      <c r="J981" s="147"/>
    </row>
    <row r="982" spans="10:10" ht="12.75" customHeight="1">
      <c r="J982" s="147"/>
    </row>
    <row r="983" spans="10:10" ht="12.75" customHeight="1">
      <c r="J983" s="147"/>
    </row>
    <row r="984" spans="10:10" ht="12.75" customHeight="1">
      <c r="J984" s="147"/>
    </row>
    <row r="985" spans="10:10" ht="12.75" customHeight="1">
      <c r="J985" s="147"/>
    </row>
    <row r="986" spans="10:10" ht="12.75" customHeight="1">
      <c r="J986" s="147"/>
    </row>
    <row r="987" spans="10:10" ht="12.75" customHeight="1">
      <c r="J987" s="147"/>
    </row>
    <row r="988" spans="10:10" ht="12.75" customHeight="1">
      <c r="J988" s="147"/>
    </row>
    <row r="989" spans="10:10" ht="12.75" customHeight="1">
      <c r="J989" s="147"/>
    </row>
    <row r="990" spans="10:10" ht="12.75" customHeight="1">
      <c r="J990" s="147"/>
    </row>
    <row r="991" spans="10:10" ht="12.75" customHeight="1">
      <c r="J991" s="147"/>
    </row>
    <row r="992" spans="10:10" ht="12.75" customHeight="1">
      <c r="J992" s="147"/>
    </row>
    <row r="993" spans="10:10" ht="12.75" customHeight="1">
      <c r="J993" s="147"/>
    </row>
    <row r="994" spans="10:10" ht="12.75" customHeight="1">
      <c r="J994" s="147"/>
    </row>
    <row r="995" spans="10:10" ht="12.75" customHeight="1">
      <c r="J995" s="147"/>
    </row>
    <row r="996" spans="10:10" ht="12.75" customHeight="1">
      <c r="J996" s="147"/>
    </row>
    <row r="997" spans="10:10" ht="12.75" customHeight="1">
      <c r="J997" s="147"/>
    </row>
    <row r="998" spans="10:10" ht="12.75" customHeight="1">
      <c r="J998" s="147"/>
    </row>
    <row r="999" spans="10:10" ht="12.75" customHeight="1">
      <c r="J999" s="147"/>
    </row>
    <row r="1000" spans="10:10" ht="12.75" customHeight="1">
      <c r="J1000" s="147"/>
    </row>
  </sheetData>
  <mergeCells count="4">
    <mergeCell ref="D2:H2"/>
    <mergeCell ref="A5:J5"/>
    <mergeCell ref="A13:J13"/>
    <mergeCell ref="A15:J15"/>
  </mergeCells>
  <hyperlinks>
    <hyperlink ref="D8" r:id="rId1" location="polycard_client=search-desktop&amp;search_layout=grid&amp;position=45&amp;type=product&amp;tracking_id=0c1bb0a9-ac8d-43b7-8fd1-87587f3ec486&amp;wid=MCO3120823028&amp;sid=search" xr:uid="{00000000-0004-0000-0B00-000000000000}"/>
    <hyperlink ref="D9" r:id="rId2" xr:uid="{00000000-0004-0000-0B00-000001000000}"/>
    <hyperlink ref="D10" r:id="rId3" xr:uid="{00000000-0004-0000-0B00-000002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9" width="27" customWidth="1"/>
    <col min="10" max="10" width="30.88671875" customWidth="1"/>
    <col min="11" max="26" width="10" customWidth="1"/>
  </cols>
  <sheetData>
    <row r="1" spans="1:26" ht="12.75" customHeight="1">
      <c r="E1" s="162"/>
      <c r="F1" s="162"/>
      <c r="G1" s="163"/>
      <c r="H1" s="162"/>
      <c r="J1" s="147"/>
    </row>
    <row r="2" spans="1:26" ht="27.75" customHeight="1">
      <c r="D2" s="309" t="s">
        <v>116</v>
      </c>
      <c r="E2" s="310"/>
      <c r="F2" s="310"/>
      <c r="G2" s="310"/>
      <c r="H2" s="310"/>
      <c r="J2" s="147"/>
    </row>
    <row r="3" spans="1:26" ht="12.75" customHeight="1">
      <c r="E3" s="162"/>
      <c r="F3" s="162"/>
      <c r="G3" s="163"/>
      <c r="H3" s="162"/>
      <c r="J3" s="147"/>
    </row>
    <row r="4" spans="1:26" ht="12.75" customHeight="1">
      <c r="E4" s="162"/>
      <c r="F4" s="162"/>
      <c r="G4" s="163"/>
      <c r="H4" s="162"/>
      <c r="J4" s="147"/>
    </row>
    <row r="5" spans="1:26" ht="43.5" customHeight="1">
      <c r="A5" s="311" t="s">
        <v>117</v>
      </c>
      <c r="B5" s="297"/>
      <c r="C5" s="297"/>
      <c r="D5" s="297"/>
      <c r="E5" s="297"/>
      <c r="F5" s="297"/>
      <c r="G5" s="297"/>
      <c r="H5" s="297"/>
      <c r="I5" s="297"/>
      <c r="J5" s="298"/>
    </row>
    <row r="6" spans="1:26" ht="15.75" customHeight="1">
      <c r="E6" s="162"/>
      <c r="F6" s="162"/>
      <c r="G6" s="163"/>
      <c r="H6" s="162"/>
      <c r="J6" s="147"/>
    </row>
    <row r="7" spans="1:26" ht="75.75" customHeight="1">
      <c r="A7" s="81" t="s">
        <v>118</v>
      </c>
      <c r="B7" s="106" t="s">
        <v>304</v>
      </c>
      <c r="C7" s="82" t="s">
        <v>305</v>
      </c>
      <c r="D7" s="82" t="s">
        <v>306</v>
      </c>
      <c r="E7" s="164" t="s">
        <v>307</v>
      </c>
      <c r="F7" s="165" t="s">
        <v>308</v>
      </c>
      <c r="G7" s="166" t="s">
        <v>309</v>
      </c>
      <c r="H7" s="164" t="s">
        <v>125</v>
      </c>
      <c r="I7" s="106" t="s">
        <v>310</v>
      </c>
      <c r="J7" s="106" t="s">
        <v>311</v>
      </c>
      <c r="K7" s="85"/>
      <c r="L7" s="85"/>
      <c r="M7" s="85"/>
      <c r="N7" s="85"/>
      <c r="O7" s="85"/>
      <c r="P7" s="85"/>
      <c r="Q7" s="85"/>
      <c r="R7" s="85"/>
      <c r="S7" s="85"/>
      <c r="T7" s="85"/>
      <c r="U7" s="85"/>
      <c r="V7" s="85"/>
      <c r="W7" s="85"/>
      <c r="X7" s="85"/>
      <c r="Y7" s="85"/>
      <c r="Z7" s="85"/>
    </row>
    <row r="8" spans="1:26" ht="123.75" customHeight="1">
      <c r="A8" s="119" t="s">
        <v>128</v>
      </c>
      <c r="B8" s="109" t="s">
        <v>312</v>
      </c>
      <c r="C8" s="109" t="s">
        <v>313</v>
      </c>
      <c r="D8" s="167" t="s">
        <v>314</v>
      </c>
      <c r="E8" s="168">
        <v>365207</v>
      </c>
      <c r="F8" s="169">
        <v>365207</v>
      </c>
      <c r="G8" s="103">
        <v>100.34</v>
      </c>
      <c r="H8" s="170" t="s">
        <v>292</v>
      </c>
      <c r="I8" s="109" t="s">
        <v>315</v>
      </c>
      <c r="J8" s="171" t="s">
        <v>316</v>
      </c>
    </row>
    <row r="9" spans="1:26" ht="112.5" customHeight="1">
      <c r="A9" s="119" t="s">
        <v>135</v>
      </c>
      <c r="B9" s="109" t="s">
        <v>317</v>
      </c>
      <c r="C9" s="112" t="s">
        <v>290</v>
      </c>
      <c r="D9" s="172" t="s">
        <v>318</v>
      </c>
      <c r="E9" s="102">
        <v>250000</v>
      </c>
      <c r="F9" s="169">
        <v>250000</v>
      </c>
      <c r="G9" s="103">
        <v>68.69</v>
      </c>
      <c r="H9" s="170" t="s">
        <v>292</v>
      </c>
      <c r="I9" s="109" t="s">
        <v>293</v>
      </c>
      <c r="J9" s="173" t="s">
        <v>294</v>
      </c>
    </row>
    <row r="10" spans="1:26" ht="106.5" customHeight="1">
      <c r="A10" s="119" t="s">
        <v>144</v>
      </c>
      <c r="B10" s="109" t="s">
        <v>319</v>
      </c>
      <c r="C10" s="174" t="s">
        <v>320</v>
      </c>
      <c r="D10" s="175" t="s">
        <v>321</v>
      </c>
      <c r="E10" s="169">
        <v>379000</v>
      </c>
      <c r="F10" s="169">
        <v>379000</v>
      </c>
      <c r="G10" s="103">
        <v>104.13</v>
      </c>
      <c r="H10" s="170" t="s">
        <v>292</v>
      </c>
      <c r="I10" s="109" t="s">
        <v>322</v>
      </c>
      <c r="J10" s="176" t="s">
        <v>323</v>
      </c>
    </row>
    <row r="11" spans="1:26" ht="15" customHeight="1">
      <c r="A11" s="96"/>
      <c r="B11" s="128"/>
      <c r="C11" s="128"/>
      <c r="D11" s="128"/>
      <c r="E11" s="177"/>
      <c r="F11" s="177"/>
      <c r="G11" s="178"/>
      <c r="H11" s="177"/>
      <c r="I11" s="128"/>
      <c r="J11" s="161"/>
    </row>
    <row r="12" spans="1:26" ht="12.75" customHeight="1">
      <c r="E12" s="162"/>
      <c r="F12" s="162"/>
      <c r="G12" s="163"/>
      <c r="H12" s="162"/>
      <c r="J12" s="147"/>
    </row>
    <row r="13" spans="1:26" ht="138.75" customHeight="1">
      <c r="A13" s="312" t="s">
        <v>324</v>
      </c>
      <c r="B13" s="297"/>
      <c r="C13" s="297"/>
      <c r="D13" s="297"/>
      <c r="E13" s="297"/>
      <c r="F13" s="297"/>
      <c r="G13" s="297"/>
      <c r="H13" s="297"/>
      <c r="I13" s="297"/>
      <c r="J13" s="298"/>
    </row>
    <row r="14" spans="1:26" ht="12.75" customHeight="1">
      <c r="E14" s="162"/>
      <c r="F14" s="162"/>
      <c r="G14" s="163"/>
      <c r="H14" s="162"/>
      <c r="J14" s="147"/>
    </row>
    <row r="15" spans="1:26" ht="75" customHeight="1">
      <c r="A15" s="312" t="s">
        <v>325</v>
      </c>
      <c r="B15" s="297"/>
      <c r="C15" s="297"/>
      <c r="D15" s="297"/>
      <c r="E15" s="297"/>
      <c r="F15" s="297"/>
      <c r="G15" s="297"/>
      <c r="H15" s="297"/>
      <c r="I15" s="297"/>
      <c r="J15" s="298"/>
    </row>
    <row r="16" spans="1:26" ht="12.75" customHeight="1">
      <c r="E16" s="162"/>
      <c r="F16" s="162"/>
      <c r="G16" s="163"/>
      <c r="H16" s="162"/>
      <c r="J16" s="147"/>
    </row>
    <row r="17" spans="4:10" ht="12.75" customHeight="1">
      <c r="E17" s="162"/>
      <c r="F17" s="162"/>
      <c r="G17" s="163"/>
      <c r="H17" s="162"/>
      <c r="J17" s="147"/>
    </row>
    <row r="18" spans="4:10" ht="12.75" customHeight="1">
      <c r="E18" s="162"/>
      <c r="F18" s="162"/>
      <c r="G18" s="163"/>
      <c r="H18" s="162"/>
      <c r="J18" s="147"/>
    </row>
    <row r="19" spans="4:10" ht="12.75" customHeight="1">
      <c r="E19" s="162"/>
      <c r="F19" s="162"/>
      <c r="G19" s="163"/>
      <c r="H19" s="162"/>
      <c r="J19" s="147"/>
    </row>
    <row r="20" spans="4:10" ht="12.75" customHeight="1">
      <c r="E20" s="162"/>
      <c r="F20" s="162"/>
      <c r="G20" s="163"/>
      <c r="H20" s="162"/>
      <c r="J20" s="147"/>
    </row>
    <row r="21" spans="4:10" ht="12.75" customHeight="1">
      <c r="E21" s="162"/>
      <c r="F21" s="162"/>
      <c r="G21" s="163"/>
      <c r="H21" s="162"/>
      <c r="J21" s="147"/>
    </row>
    <row r="22" spans="4:10" ht="12.75" customHeight="1">
      <c r="E22" s="162"/>
      <c r="F22" s="162"/>
      <c r="G22" s="163"/>
      <c r="H22" s="162"/>
      <c r="J22" s="147"/>
    </row>
    <row r="23" spans="4:10" ht="12.75" customHeight="1">
      <c r="E23" s="162"/>
      <c r="F23" s="162"/>
      <c r="G23" s="163"/>
      <c r="H23" s="162"/>
      <c r="J23" s="147"/>
    </row>
    <row r="24" spans="4:10" ht="12.75" customHeight="1">
      <c r="E24" s="162"/>
      <c r="F24" s="162"/>
      <c r="G24" s="163"/>
      <c r="H24" s="162"/>
      <c r="J24" s="147"/>
    </row>
    <row r="25" spans="4:10" ht="12.75" customHeight="1">
      <c r="E25" s="162"/>
      <c r="F25" s="162"/>
      <c r="G25" s="163"/>
      <c r="H25" s="162"/>
      <c r="J25" s="147"/>
    </row>
    <row r="26" spans="4:10" ht="12.75" customHeight="1">
      <c r="D26" s="98"/>
      <c r="E26" s="179"/>
      <c r="F26" s="180"/>
      <c r="G26" s="181"/>
      <c r="H26" s="162"/>
      <c r="J26" s="147"/>
    </row>
    <row r="27" spans="4:10" ht="12.75" customHeight="1">
      <c r="E27" s="162"/>
      <c r="F27" s="162"/>
      <c r="G27" s="163"/>
      <c r="H27" s="162"/>
      <c r="J27" s="147"/>
    </row>
    <row r="28" spans="4:10" ht="12.75" customHeight="1">
      <c r="E28" s="162"/>
      <c r="F28" s="162"/>
      <c r="G28" s="163"/>
      <c r="H28" s="162"/>
      <c r="J28" s="147"/>
    </row>
    <row r="29" spans="4:10" ht="12.75" customHeight="1">
      <c r="E29" s="162"/>
      <c r="F29" s="162"/>
      <c r="G29" s="163"/>
      <c r="H29" s="162"/>
      <c r="J29" s="147"/>
    </row>
    <row r="30" spans="4:10" ht="12.75" customHeight="1">
      <c r="E30" s="162"/>
      <c r="F30" s="162"/>
      <c r="G30" s="163"/>
      <c r="H30" s="162"/>
      <c r="J30" s="147"/>
    </row>
    <row r="31" spans="4:10" ht="12.75" customHeight="1">
      <c r="E31" s="162"/>
      <c r="F31" s="162"/>
      <c r="G31" s="163"/>
      <c r="H31" s="162"/>
      <c r="J31" s="147"/>
    </row>
    <row r="32" spans="4:10" ht="12.75" customHeight="1">
      <c r="E32" s="162"/>
      <c r="F32" s="162"/>
      <c r="G32" s="163"/>
      <c r="H32" s="162"/>
      <c r="J32" s="147"/>
    </row>
    <row r="33" spans="5:10" ht="12.75" customHeight="1">
      <c r="E33" s="162"/>
      <c r="F33" s="162"/>
      <c r="G33" s="163"/>
      <c r="H33" s="162"/>
      <c r="J33" s="147"/>
    </row>
    <row r="34" spans="5:10" ht="12.75" customHeight="1">
      <c r="E34" s="162"/>
      <c r="F34" s="162"/>
      <c r="G34" s="163"/>
      <c r="H34" s="162"/>
      <c r="J34" s="147"/>
    </row>
    <row r="35" spans="5:10" ht="12.75" customHeight="1">
      <c r="E35" s="162"/>
      <c r="F35" s="162"/>
      <c r="G35" s="163"/>
      <c r="H35" s="162"/>
      <c r="J35" s="147"/>
    </row>
    <row r="36" spans="5:10" ht="12.75" customHeight="1">
      <c r="E36" s="162"/>
      <c r="F36" s="162"/>
      <c r="G36" s="163"/>
      <c r="H36" s="162"/>
      <c r="J36" s="147"/>
    </row>
    <row r="37" spans="5:10" ht="12.75" customHeight="1">
      <c r="E37" s="162"/>
      <c r="F37" s="162"/>
      <c r="G37" s="163"/>
      <c r="H37" s="162"/>
      <c r="J37" s="147"/>
    </row>
    <row r="38" spans="5:10" ht="12.75" customHeight="1">
      <c r="E38" s="162"/>
      <c r="F38" s="162"/>
      <c r="G38" s="163"/>
      <c r="H38" s="162"/>
      <c r="J38" s="147"/>
    </row>
    <row r="39" spans="5:10" ht="12.75" customHeight="1">
      <c r="E39" s="162"/>
      <c r="F39" s="162"/>
      <c r="G39" s="163"/>
      <c r="H39" s="162"/>
      <c r="J39" s="147"/>
    </row>
    <row r="40" spans="5:10" ht="12.75" customHeight="1">
      <c r="E40" s="162"/>
      <c r="F40" s="162"/>
      <c r="G40" s="163"/>
      <c r="H40" s="162"/>
      <c r="J40" s="147"/>
    </row>
    <row r="41" spans="5:10" ht="12.75" customHeight="1">
      <c r="E41" s="162"/>
      <c r="F41" s="162"/>
      <c r="G41" s="163"/>
      <c r="H41" s="162"/>
      <c r="J41" s="147"/>
    </row>
    <row r="42" spans="5:10" ht="12.75" customHeight="1">
      <c r="E42" s="162"/>
      <c r="F42" s="162"/>
      <c r="G42" s="163"/>
      <c r="H42" s="162"/>
      <c r="J42" s="147"/>
    </row>
    <row r="43" spans="5:10" ht="12.75" customHeight="1">
      <c r="E43" s="162"/>
      <c r="F43" s="162"/>
      <c r="G43" s="163"/>
      <c r="H43" s="162"/>
      <c r="J43" s="147"/>
    </row>
    <row r="44" spans="5:10" ht="12.75" customHeight="1">
      <c r="E44" s="162"/>
      <c r="F44" s="162"/>
      <c r="G44" s="163"/>
      <c r="H44" s="162"/>
      <c r="J44" s="147"/>
    </row>
    <row r="45" spans="5:10" ht="12.75" customHeight="1">
      <c r="E45" s="162"/>
      <c r="F45" s="162"/>
      <c r="G45" s="163"/>
      <c r="H45" s="162"/>
      <c r="J45" s="147"/>
    </row>
    <row r="46" spans="5:10" ht="12.75" customHeight="1">
      <c r="E46" s="162"/>
      <c r="F46" s="162"/>
      <c r="G46" s="163"/>
      <c r="H46" s="162"/>
      <c r="J46" s="147"/>
    </row>
    <row r="47" spans="5:10" ht="12.75" customHeight="1">
      <c r="E47" s="162"/>
      <c r="F47" s="162"/>
      <c r="G47" s="163"/>
      <c r="H47" s="162"/>
      <c r="J47" s="147"/>
    </row>
    <row r="48" spans="5:10" ht="12.75" customHeight="1">
      <c r="E48" s="162"/>
      <c r="F48" s="162"/>
      <c r="G48" s="163"/>
      <c r="H48" s="162"/>
      <c r="J48" s="147"/>
    </row>
    <row r="49" spans="5:10" ht="12.75" customHeight="1">
      <c r="E49" s="162"/>
      <c r="F49" s="162"/>
      <c r="G49" s="163"/>
      <c r="H49" s="162"/>
      <c r="J49" s="147"/>
    </row>
    <row r="50" spans="5:10" ht="12.75" customHeight="1">
      <c r="E50" s="162"/>
      <c r="F50" s="162"/>
      <c r="G50" s="163"/>
      <c r="H50" s="162"/>
      <c r="J50" s="147"/>
    </row>
    <row r="51" spans="5:10" ht="12.75" customHeight="1">
      <c r="E51" s="162"/>
      <c r="F51" s="162"/>
      <c r="G51" s="163"/>
      <c r="H51" s="162"/>
      <c r="J51" s="147"/>
    </row>
    <row r="52" spans="5:10" ht="12.75" customHeight="1">
      <c r="E52" s="162"/>
      <c r="F52" s="162"/>
      <c r="G52" s="163"/>
      <c r="H52" s="162"/>
      <c r="J52" s="147"/>
    </row>
    <row r="53" spans="5:10" ht="12.75" customHeight="1">
      <c r="E53" s="162"/>
      <c r="F53" s="162"/>
      <c r="G53" s="163"/>
      <c r="H53" s="162"/>
      <c r="J53" s="147"/>
    </row>
    <row r="54" spans="5:10" ht="12.75" customHeight="1">
      <c r="E54" s="162"/>
      <c r="F54" s="162"/>
      <c r="G54" s="163"/>
      <c r="H54" s="162"/>
      <c r="J54" s="147"/>
    </row>
    <row r="55" spans="5:10" ht="12.75" customHeight="1">
      <c r="E55" s="162"/>
      <c r="F55" s="162"/>
      <c r="G55" s="163"/>
      <c r="H55" s="162"/>
      <c r="J55" s="147"/>
    </row>
    <row r="56" spans="5:10" ht="12.75" customHeight="1">
      <c r="E56" s="162"/>
      <c r="F56" s="162"/>
      <c r="G56" s="163"/>
      <c r="H56" s="162"/>
      <c r="J56" s="147"/>
    </row>
    <row r="57" spans="5:10" ht="12.75" customHeight="1">
      <c r="E57" s="162"/>
      <c r="F57" s="162"/>
      <c r="G57" s="163"/>
      <c r="H57" s="162"/>
      <c r="J57" s="147"/>
    </row>
    <row r="58" spans="5:10" ht="12.75" customHeight="1">
      <c r="E58" s="162"/>
      <c r="F58" s="162"/>
      <c r="G58" s="163"/>
      <c r="H58" s="162"/>
      <c r="J58" s="147"/>
    </row>
    <row r="59" spans="5:10" ht="12.75" customHeight="1">
      <c r="E59" s="162"/>
      <c r="F59" s="162"/>
      <c r="G59" s="163"/>
      <c r="H59" s="162"/>
      <c r="J59" s="147"/>
    </row>
    <row r="60" spans="5:10" ht="12.75" customHeight="1">
      <c r="E60" s="162"/>
      <c r="F60" s="162"/>
      <c r="G60" s="163"/>
      <c r="H60" s="162"/>
      <c r="J60" s="147"/>
    </row>
    <row r="61" spans="5:10" ht="12.75" customHeight="1">
      <c r="E61" s="162"/>
      <c r="F61" s="162"/>
      <c r="G61" s="163"/>
      <c r="H61" s="162"/>
      <c r="J61" s="147"/>
    </row>
    <row r="62" spans="5:10" ht="12.75" customHeight="1">
      <c r="E62" s="162"/>
      <c r="F62" s="162"/>
      <c r="G62" s="163"/>
      <c r="H62" s="162"/>
      <c r="J62" s="147"/>
    </row>
    <row r="63" spans="5:10" ht="12.75" customHeight="1">
      <c r="E63" s="162"/>
      <c r="F63" s="162"/>
      <c r="G63" s="163"/>
      <c r="H63" s="162"/>
      <c r="J63" s="147"/>
    </row>
    <row r="64" spans="5:10" ht="12.75" customHeight="1">
      <c r="E64" s="162"/>
      <c r="F64" s="162"/>
      <c r="G64" s="163"/>
      <c r="H64" s="162"/>
      <c r="J64" s="147"/>
    </row>
    <row r="65" spans="5:10" ht="12.75" customHeight="1">
      <c r="E65" s="162"/>
      <c r="F65" s="162"/>
      <c r="G65" s="163"/>
      <c r="H65" s="162"/>
      <c r="J65" s="147"/>
    </row>
    <row r="66" spans="5:10" ht="12.75" customHeight="1">
      <c r="E66" s="162"/>
      <c r="F66" s="162"/>
      <c r="G66" s="163"/>
      <c r="H66" s="162"/>
      <c r="J66" s="147"/>
    </row>
    <row r="67" spans="5:10" ht="12.75" customHeight="1">
      <c r="E67" s="162"/>
      <c r="F67" s="162"/>
      <c r="G67" s="163"/>
      <c r="H67" s="162"/>
      <c r="J67" s="147"/>
    </row>
    <row r="68" spans="5:10" ht="12.75" customHeight="1">
      <c r="E68" s="162"/>
      <c r="F68" s="162"/>
      <c r="G68" s="163"/>
      <c r="H68" s="162"/>
      <c r="J68" s="147"/>
    </row>
    <row r="69" spans="5:10" ht="12.75" customHeight="1">
      <c r="E69" s="162"/>
      <c r="F69" s="162"/>
      <c r="G69" s="163"/>
      <c r="H69" s="162"/>
      <c r="J69" s="147"/>
    </row>
    <row r="70" spans="5:10" ht="12.75" customHeight="1">
      <c r="E70" s="162"/>
      <c r="F70" s="162"/>
      <c r="G70" s="163"/>
      <c r="H70" s="162"/>
      <c r="J70" s="147"/>
    </row>
    <row r="71" spans="5:10" ht="12.75" customHeight="1">
      <c r="E71" s="162"/>
      <c r="F71" s="162"/>
      <c r="G71" s="163"/>
      <c r="H71" s="162"/>
      <c r="J71" s="147"/>
    </row>
    <row r="72" spans="5:10" ht="12.75" customHeight="1">
      <c r="E72" s="162"/>
      <c r="F72" s="162"/>
      <c r="G72" s="163"/>
      <c r="H72" s="162"/>
      <c r="J72" s="147"/>
    </row>
    <row r="73" spans="5:10" ht="12.75" customHeight="1">
      <c r="E73" s="162"/>
      <c r="F73" s="162"/>
      <c r="G73" s="163"/>
      <c r="H73" s="162"/>
      <c r="J73" s="147"/>
    </row>
    <row r="74" spans="5:10" ht="12.75" customHeight="1">
      <c r="E74" s="162"/>
      <c r="F74" s="162"/>
      <c r="G74" s="163"/>
      <c r="H74" s="162"/>
      <c r="J74" s="147"/>
    </row>
    <row r="75" spans="5:10" ht="12.75" customHeight="1">
      <c r="E75" s="162"/>
      <c r="F75" s="162"/>
      <c r="G75" s="163"/>
      <c r="H75" s="162"/>
      <c r="J75" s="147"/>
    </row>
    <row r="76" spans="5:10" ht="12.75" customHeight="1">
      <c r="E76" s="162"/>
      <c r="F76" s="162"/>
      <c r="G76" s="163"/>
      <c r="H76" s="162"/>
      <c r="J76" s="147"/>
    </row>
    <row r="77" spans="5:10" ht="12.75" customHeight="1">
      <c r="E77" s="162"/>
      <c r="F77" s="162"/>
      <c r="G77" s="163"/>
      <c r="H77" s="162"/>
      <c r="J77" s="147"/>
    </row>
    <row r="78" spans="5:10" ht="12.75" customHeight="1">
      <c r="E78" s="162"/>
      <c r="F78" s="162"/>
      <c r="G78" s="163"/>
      <c r="H78" s="162"/>
      <c r="J78" s="147"/>
    </row>
    <row r="79" spans="5:10" ht="12.75" customHeight="1">
      <c r="E79" s="162"/>
      <c r="F79" s="162"/>
      <c r="G79" s="163"/>
      <c r="H79" s="162"/>
      <c r="J79" s="147"/>
    </row>
    <row r="80" spans="5:10" ht="12.75" customHeight="1">
      <c r="E80" s="162"/>
      <c r="F80" s="162"/>
      <c r="G80" s="163"/>
      <c r="H80" s="162"/>
      <c r="J80" s="147"/>
    </row>
    <row r="81" spans="5:10" ht="12.75" customHeight="1">
      <c r="E81" s="162"/>
      <c r="F81" s="162"/>
      <c r="G81" s="163"/>
      <c r="H81" s="162"/>
      <c r="J81" s="147"/>
    </row>
    <row r="82" spans="5:10" ht="12.75" customHeight="1">
      <c r="E82" s="162"/>
      <c r="F82" s="162"/>
      <c r="G82" s="163"/>
      <c r="H82" s="162"/>
      <c r="J82" s="147"/>
    </row>
    <row r="83" spans="5:10" ht="12.75" customHeight="1">
      <c r="E83" s="162"/>
      <c r="F83" s="162"/>
      <c r="G83" s="163"/>
      <c r="H83" s="162"/>
      <c r="J83" s="147"/>
    </row>
    <row r="84" spans="5:10" ht="12.75" customHeight="1">
      <c r="E84" s="162"/>
      <c r="F84" s="162"/>
      <c r="G84" s="163"/>
      <c r="H84" s="162"/>
      <c r="J84" s="147"/>
    </row>
    <row r="85" spans="5:10" ht="12.75" customHeight="1">
      <c r="E85" s="162"/>
      <c r="F85" s="162"/>
      <c r="G85" s="163"/>
      <c r="H85" s="162"/>
      <c r="J85" s="147"/>
    </row>
    <row r="86" spans="5:10" ht="12.75" customHeight="1">
      <c r="E86" s="162"/>
      <c r="F86" s="162"/>
      <c r="G86" s="163"/>
      <c r="H86" s="162"/>
      <c r="J86" s="147"/>
    </row>
    <row r="87" spans="5:10" ht="12.75" customHeight="1">
      <c r="E87" s="162"/>
      <c r="F87" s="162"/>
      <c r="G87" s="163"/>
      <c r="H87" s="162"/>
      <c r="J87" s="147"/>
    </row>
    <row r="88" spans="5:10" ht="12.75" customHeight="1">
      <c r="E88" s="162"/>
      <c r="F88" s="162"/>
      <c r="G88" s="163"/>
      <c r="H88" s="162"/>
      <c r="J88" s="147"/>
    </row>
    <row r="89" spans="5:10" ht="12.75" customHeight="1">
      <c r="E89" s="162"/>
      <c r="F89" s="162"/>
      <c r="G89" s="163"/>
      <c r="H89" s="162"/>
      <c r="J89" s="147"/>
    </row>
    <row r="90" spans="5:10" ht="12.75" customHeight="1">
      <c r="E90" s="162"/>
      <c r="F90" s="162"/>
      <c r="G90" s="163"/>
      <c r="H90" s="162"/>
      <c r="J90" s="147"/>
    </row>
    <row r="91" spans="5:10" ht="12.75" customHeight="1">
      <c r="E91" s="162"/>
      <c r="F91" s="162"/>
      <c r="G91" s="163"/>
      <c r="H91" s="162"/>
      <c r="J91" s="147"/>
    </row>
    <row r="92" spans="5:10" ht="12.75" customHeight="1">
      <c r="E92" s="162"/>
      <c r="F92" s="162"/>
      <c r="G92" s="163"/>
      <c r="H92" s="162"/>
      <c r="J92" s="147"/>
    </row>
    <row r="93" spans="5:10" ht="12.75" customHeight="1">
      <c r="E93" s="162"/>
      <c r="F93" s="162"/>
      <c r="G93" s="163"/>
      <c r="H93" s="162"/>
      <c r="J93" s="147"/>
    </row>
    <row r="94" spans="5:10" ht="12.75" customHeight="1">
      <c r="E94" s="162"/>
      <c r="F94" s="162"/>
      <c r="G94" s="163"/>
      <c r="H94" s="162"/>
      <c r="J94" s="147"/>
    </row>
    <row r="95" spans="5:10" ht="12.75" customHeight="1">
      <c r="E95" s="162"/>
      <c r="F95" s="162"/>
      <c r="G95" s="163"/>
      <c r="H95" s="162"/>
      <c r="J95" s="147"/>
    </row>
    <row r="96" spans="5:10" ht="12.75" customHeight="1">
      <c r="E96" s="162"/>
      <c r="F96" s="162"/>
      <c r="G96" s="163"/>
      <c r="H96" s="162"/>
      <c r="J96" s="147"/>
    </row>
    <row r="97" spans="5:10" ht="12.75" customHeight="1">
      <c r="E97" s="162"/>
      <c r="F97" s="162"/>
      <c r="G97" s="163"/>
      <c r="H97" s="162"/>
      <c r="J97" s="147"/>
    </row>
    <row r="98" spans="5:10" ht="12.75" customHeight="1">
      <c r="E98" s="162"/>
      <c r="F98" s="162"/>
      <c r="G98" s="163"/>
      <c r="H98" s="162"/>
      <c r="J98" s="147"/>
    </row>
    <row r="99" spans="5:10" ht="12.75" customHeight="1">
      <c r="E99" s="162"/>
      <c r="F99" s="162"/>
      <c r="G99" s="163"/>
      <c r="H99" s="162"/>
      <c r="J99" s="147"/>
    </row>
    <row r="100" spans="5:10" ht="12.75" customHeight="1">
      <c r="E100" s="162"/>
      <c r="F100" s="162"/>
      <c r="G100" s="163"/>
      <c r="H100" s="162"/>
      <c r="J100" s="147"/>
    </row>
    <row r="101" spans="5:10" ht="12.75" customHeight="1">
      <c r="E101" s="162"/>
      <c r="F101" s="162"/>
      <c r="G101" s="163"/>
      <c r="H101" s="162"/>
      <c r="J101" s="147"/>
    </row>
    <row r="102" spans="5:10" ht="12.75" customHeight="1">
      <c r="E102" s="162"/>
      <c r="F102" s="162"/>
      <c r="G102" s="163"/>
      <c r="H102" s="162"/>
      <c r="J102" s="147"/>
    </row>
    <row r="103" spans="5:10" ht="12.75" customHeight="1">
      <c r="E103" s="162"/>
      <c r="F103" s="162"/>
      <c r="G103" s="163"/>
      <c r="H103" s="162"/>
      <c r="J103" s="147"/>
    </row>
    <row r="104" spans="5:10" ht="12.75" customHeight="1">
      <c r="E104" s="162"/>
      <c r="F104" s="162"/>
      <c r="G104" s="163"/>
      <c r="H104" s="162"/>
      <c r="J104" s="147"/>
    </row>
    <row r="105" spans="5:10" ht="12.75" customHeight="1">
      <c r="E105" s="162"/>
      <c r="F105" s="162"/>
      <c r="G105" s="163"/>
      <c r="H105" s="162"/>
      <c r="J105" s="147"/>
    </row>
    <row r="106" spans="5:10" ht="12.75" customHeight="1">
      <c r="E106" s="162"/>
      <c r="F106" s="162"/>
      <c r="G106" s="163"/>
      <c r="H106" s="162"/>
      <c r="J106" s="147"/>
    </row>
    <row r="107" spans="5:10" ht="12.75" customHeight="1">
      <c r="E107" s="162"/>
      <c r="F107" s="162"/>
      <c r="G107" s="163"/>
      <c r="H107" s="162"/>
      <c r="J107" s="147"/>
    </row>
    <row r="108" spans="5:10" ht="12.75" customHeight="1">
      <c r="E108" s="162"/>
      <c r="F108" s="162"/>
      <c r="G108" s="163"/>
      <c r="H108" s="162"/>
      <c r="J108" s="147"/>
    </row>
    <row r="109" spans="5:10" ht="12.75" customHeight="1">
      <c r="E109" s="162"/>
      <c r="F109" s="162"/>
      <c r="G109" s="163"/>
      <c r="H109" s="162"/>
      <c r="J109" s="147"/>
    </row>
    <row r="110" spans="5:10" ht="12.75" customHeight="1">
      <c r="E110" s="162"/>
      <c r="F110" s="162"/>
      <c r="G110" s="163"/>
      <c r="H110" s="162"/>
      <c r="J110" s="147"/>
    </row>
    <row r="111" spans="5:10" ht="12.75" customHeight="1">
      <c r="E111" s="162"/>
      <c r="F111" s="162"/>
      <c r="G111" s="163"/>
      <c r="H111" s="162"/>
      <c r="J111" s="147"/>
    </row>
    <row r="112" spans="5:10" ht="12.75" customHeight="1">
      <c r="E112" s="162"/>
      <c r="F112" s="162"/>
      <c r="G112" s="163"/>
      <c r="H112" s="162"/>
      <c r="J112" s="147"/>
    </row>
    <row r="113" spans="5:10" ht="12.75" customHeight="1">
      <c r="E113" s="162"/>
      <c r="F113" s="162"/>
      <c r="G113" s="163"/>
      <c r="H113" s="162"/>
      <c r="J113" s="147"/>
    </row>
    <row r="114" spans="5:10" ht="12.75" customHeight="1">
      <c r="E114" s="162"/>
      <c r="F114" s="162"/>
      <c r="G114" s="163"/>
      <c r="H114" s="162"/>
      <c r="J114" s="147"/>
    </row>
    <row r="115" spans="5:10" ht="12.75" customHeight="1">
      <c r="E115" s="162"/>
      <c r="F115" s="162"/>
      <c r="G115" s="163"/>
      <c r="H115" s="162"/>
      <c r="J115" s="147"/>
    </row>
    <row r="116" spans="5:10" ht="12.75" customHeight="1">
      <c r="E116" s="162"/>
      <c r="F116" s="162"/>
      <c r="G116" s="163"/>
      <c r="H116" s="162"/>
      <c r="J116" s="147"/>
    </row>
    <row r="117" spans="5:10" ht="12.75" customHeight="1">
      <c r="E117" s="162"/>
      <c r="F117" s="162"/>
      <c r="G117" s="163"/>
      <c r="H117" s="162"/>
      <c r="J117" s="147"/>
    </row>
    <row r="118" spans="5:10" ht="12.75" customHeight="1">
      <c r="E118" s="162"/>
      <c r="F118" s="162"/>
      <c r="G118" s="163"/>
      <c r="H118" s="162"/>
      <c r="J118" s="147"/>
    </row>
    <row r="119" spans="5:10" ht="12.75" customHeight="1">
      <c r="E119" s="162"/>
      <c r="F119" s="162"/>
      <c r="G119" s="163"/>
      <c r="H119" s="162"/>
      <c r="J119" s="147"/>
    </row>
    <row r="120" spans="5:10" ht="12.75" customHeight="1">
      <c r="E120" s="162"/>
      <c r="F120" s="162"/>
      <c r="G120" s="163"/>
      <c r="H120" s="162"/>
      <c r="J120" s="147"/>
    </row>
    <row r="121" spans="5:10" ht="12.75" customHeight="1">
      <c r="E121" s="162"/>
      <c r="F121" s="162"/>
      <c r="G121" s="163"/>
      <c r="H121" s="162"/>
      <c r="J121" s="147"/>
    </row>
    <row r="122" spans="5:10" ht="12.75" customHeight="1">
      <c r="E122" s="162"/>
      <c r="F122" s="162"/>
      <c r="G122" s="163"/>
      <c r="H122" s="162"/>
      <c r="J122" s="147"/>
    </row>
    <row r="123" spans="5:10" ht="12.75" customHeight="1">
      <c r="E123" s="162"/>
      <c r="F123" s="162"/>
      <c r="G123" s="163"/>
      <c r="H123" s="162"/>
      <c r="J123" s="147"/>
    </row>
    <row r="124" spans="5:10" ht="12.75" customHeight="1">
      <c r="E124" s="162"/>
      <c r="F124" s="162"/>
      <c r="G124" s="163"/>
      <c r="H124" s="162"/>
      <c r="J124" s="147"/>
    </row>
    <row r="125" spans="5:10" ht="12.75" customHeight="1">
      <c r="E125" s="162"/>
      <c r="F125" s="162"/>
      <c r="G125" s="163"/>
      <c r="H125" s="162"/>
      <c r="J125" s="147"/>
    </row>
    <row r="126" spans="5:10" ht="12.75" customHeight="1">
      <c r="E126" s="162"/>
      <c r="F126" s="162"/>
      <c r="G126" s="163"/>
      <c r="H126" s="162"/>
      <c r="J126" s="147"/>
    </row>
    <row r="127" spans="5:10" ht="12.75" customHeight="1">
      <c r="E127" s="162"/>
      <c r="F127" s="162"/>
      <c r="G127" s="163"/>
      <c r="H127" s="162"/>
      <c r="J127" s="147"/>
    </row>
    <row r="128" spans="5:10" ht="12.75" customHeight="1">
      <c r="E128" s="162"/>
      <c r="F128" s="162"/>
      <c r="G128" s="163"/>
      <c r="H128" s="162"/>
      <c r="J128" s="147"/>
    </row>
    <row r="129" spans="5:10" ht="12.75" customHeight="1">
      <c r="E129" s="162"/>
      <c r="F129" s="162"/>
      <c r="G129" s="163"/>
      <c r="H129" s="162"/>
      <c r="J129" s="147"/>
    </row>
    <row r="130" spans="5:10" ht="12.75" customHeight="1">
      <c r="E130" s="162"/>
      <c r="F130" s="162"/>
      <c r="G130" s="163"/>
      <c r="H130" s="162"/>
      <c r="J130" s="147"/>
    </row>
    <row r="131" spans="5:10" ht="12.75" customHeight="1">
      <c r="E131" s="162"/>
      <c r="F131" s="162"/>
      <c r="G131" s="163"/>
      <c r="H131" s="162"/>
      <c r="J131" s="147"/>
    </row>
    <row r="132" spans="5:10" ht="12.75" customHeight="1">
      <c r="E132" s="162"/>
      <c r="F132" s="162"/>
      <c r="G132" s="163"/>
      <c r="H132" s="162"/>
      <c r="J132" s="147"/>
    </row>
    <row r="133" spans="5:10" ht="12.75" customHeight="1">
      <c r="E133" s="162"/>
      <c r="F133" s="162"/>
      <c r="G133" s="163"/>
      <c r="H133" s="162"/>
      <c r="J133" s="147"/>
    </row>
    <row r="134" spans="5:10" ht="12.75" customHeight="1">
      <c r="E134" s="162"/>
      <c r="F134" s="162"/>
      <c r="G134" s="163"/>
      <c r="H134" s="162"/>
      <c r="J134" s="147"/>
    </row>
    <row r="135" spans="5:10" ht="12.75" customHeight="1">
      <c r="E135" s="162"/>
      <c r="F135" s="162"/>
      <c r="G135" s="163"/>
      <c r="H135" s="162"/>
      <c r="J135" s="147"/>
    </row>
    <row r="136" spans="5:10" ht="12.75" customHeight="1">
      <c r="E136" s="162"/>
      <c r="F136" s="162"/>
      <c r="G136" s="163"/>
      <c r="H136" s="162"/>
      <c r="J136" s="147"/>
    </row>
    <row r="137" spans="5:10" ht="12.75" customHeight="1">
      <c r="E137" s="162"/>
      <c r="F137" s="162"/>
      <c r="G137" s="163"/>
      <c r="H137" s="162"/>
      <c r="J137" s="147"/>
    </row>
    <row r="138" spans="5:10" ht="12.75" customHeight="1">
      <c r="E138" s="162"/>
      <c r="F138" s="162"/>
      <c r="G138" s="163"/>
      <c r="H138" s="162"/>
      <c r="J138" s="147"/>
    </row>
    <row r="139" spans="5:10" ht="12.75" customHeight="1">
      <c r="E139" s="162"/>
      <c r="F139" s="162"/>
      <c r="G139" s="163"/>
      <c r="H139" s="162"/>
      <c r="J139" s="147"/>
    </row>
    <row r="140" spans="5:10" ht="12.75" customHeight="1">
      <c r="E140" s="162"/>
      <c r="F140" s="162"/>
      <c r="G140" s="163"/>
      <c r="H140" s="162"/>
      <c r="J140" s="147"/>
    </row>
    <row r="141" spans="5:10" ht="12.75" customHeight="1">
      <c r="E141" s="162"/>
      <c r="F141" s="162"/>
      <c r="G141" s="163"/>
      <c r="H141" s="162"/>
      <c r="J141" s="147"/>
    </row>
    <row r="142" spans="5:10" ht="12.75" customHeight="1">
      <c r="E142" s="162"/>
      <c r="F142" s="162"/>
      <c r="G142" s="163"/>
      <c r="H142" s="162"/>
      <c r="J142" s="147"/>
    </row>
    <row r="143" spans="5:10" ht="12.75" customHeight="1">
      <c r="E143" s="162"/>
      <c r="F143" s="162"/>
      <c r="G143" s="163"/>
      <c r="H143" s="162"/>
      <c r="J143" s="147"/>
    </row>
    <row r="144" spans="5:10" ht="12.75" customHeight="1">
      <c r="E144" s="162"/>
      <c r="F144" s="162"/>
      <c r="G144" s="163"/>
      <c r="H144" s="162"/>
      <c r="J144" s="147"/>
    </row>
    <row r="145" spans="5:10" ht="12.75" customHeight="1">
      <c r="E145" s="162"/>
      <c r="F145" s="162"/>
      <c r="G145" s="163"/>
      <c r="H145" s="162"/>
      <c r="J145" s="147"/>
    </row>
    <row r="146" spans="5:10" ht="12.75" customHeight="1">
      <c r="E146" s="162"/>
      <c r="F146" s="162"/>
      <c r="G146" s="163"/>
      <c r="H146" s="162"/>
      <c r="J146" s="147"/>
    </row>
    <row r="147" spans="5:10" ht="12.75" customHeight="1">
      <c r="E147" s="162"/>
      <c r="F147" s="162"/>
      <c r="G147" s="163"/>
      <c r="H147" s="162"/>
      <c r="J147" s="147"/>
    </row>
    <row r="148" spans="5:10" ht="12.75" customHeight="1">
      <c r="E148" s="162"/>
      <c r="F148" s="162"/>
      <c r="G148" s="163"/>
      <c r="H148" s="162"/>
      <c r="J148" s="147"/>
    </row>
    <row r="149" spans="5:10" ht="12.75" customHeight="1">
      <c r="E149" s="162"/>
      <c r="F149" s="162"/>
      <c r="G149" s="163"/>
      <c r="H149" s="162"/>
      <c r="J149" s="147"/>
    </row>
    <row r="150" spans="5:10" ht="12.75" customHeight="1">
      <c r="E150" s="162"/>
      <c r="F150" s="162"/>
      <c r="G150" s="163"/>
      <c r="H150" s="162"/>
      <c r="J150" s="147"/>
    </row>
    <row r="151" spans="5:10" ht="12.75" customHeight="1">
      <c r="E151" s="162"/>
      <c r="F151" s="162"/>
      <c r="G151" s="163"/>
      <c r="H151" s="162"/>
      <c r="J151" s="147"/>
    </row>
    <row r="152" spans="5:10" ht="12.75" customHeight="1">
      <c r="E152" s="162"/>
      <c r="F152" s="162"/>
      <c r="G152" s="163"/>
      <c r="H152" s="162"/>
      <c r="J152" s="147"/>
    </row>
    <row r="153" spans="5:10" ht="12.75" customHeight="1">
      <c r="E153" s="162"/>
      <c r="F153" s="162"/>
      <c r="G153" s="163"/>
      <c r="H153" s="162"/>
      <c r="J153" s="147"/>
    </row>
    <row r="154" spans="5:10" ht="12.75" customHeight="1">
      <c r="E154" s="162"/>
      <c r="F154" s="162"/>
      <c r="G154" s="163"/>
      <c r="H154" s="162"/>
      <c r="J154" s="147"/>
    </row>
    <row r="155" spans="5:10" ht="12.75" customHeight="1">
      <c r="E155" s="162"/>
      <c r="F155" s="162"/>
      <c r="G155" s="163"/>
      <c r="H155" s="162"/>
      <c r="J155" s="147"/>
    </row>
    <row r="156" spans="5:10" ht="12.75" customHeight="1">
      <c r="E156" s="162"/>
      <c r="F156" s="162"/>
      <c r="G156" s="163"/>
      <c r="H156" s="162"/>
      <c r="J156" s="147"/>
    </row>
    <row r="157" spans="5:10" ht="12.75" customHeight="1">
      <c r="E157" s="162"/>
      <c r="F157" s="162"/>
      <c r="G157" s="163"/>
      <c r="H157" s="162"/>
      <c r="J157" s="147"/>
    </row>
    <row r="158" spans="5:10" ht="12.75" customHeight="1">
      <c r="E158" s="162"/>
      <c r="F158" s="162"/>
      <c r="G158" s="163"/>
      <c r="H158" s="162"/>
      <c r="J158" s="147"/>
    </row>
    <row r="159" spans="5:10" ht="12.75" customHeight="1">
      <c r="E159" s="162"/>
      <c r="F159" s="162"/>
      <c r="G159" s="163"/>
      <c r="H159" s="162"/>
      <c r="J159" s="147"/>
    </row>
    <row r="160" spans="5:10" ht="12.75" customHeight="1">
      <c r="E160" s="162"/>
      <c r="F160" s="162"/>
      <c r="G160" s="163"/>
      <c r="H160" s="162"/>
      <c r="J160" s="147"/>
    </row>
    <row r="161" spans="5:10" ht="12.75" customHeight="1">
      <c r="E161" s="162"/>
      <c r="F161" s="162"/>
      <c r="G161" s="163"/>
      <c r="H161" s="162"/>
      <c r="J161" s="147"/>
    </row>
    <row r="162" spans="5:10" ht="12.75" customHeight="1">
      <c r="E162" s="162"/>
      <c r="F162" s="162"/>
      <c r="G162" s="163"/>
      <c r="H162" s="162"/>
      <c r="J162" s="147"/>
    </row>
    <row r="163" spans="5:10" ht="12.75" customHeight="1">
      <c r="E163" s="162"/>
      <c r="F163" s="162"/>
      <c r="G163" s="163"/>
      <c r="H163" s="162"/>
      <c r="J163" s="147"/>
    </row>
    <row r="164" spans="5:10" ht="12.75" customHeight="1">
      <c r="E164" s="162"/>
      <c r="F164" s="162"/>
      <c r="G164" s="163"/>
      <c r="H164" s="162"/>
      <c r="J164" s="147"/>
    </row>
    <row r="165" spans="5:10" ht="12.75" customHeight="1">
      <c r="E165" s="162"/>
      <c r="F165" s="162"/>
      <c r="G165" s="163"/>
      <c r="H165" s="162"/>
      <c r="J165" s="147"/>
    </row>
    <row r="166" spans="5:10" ht="12.75" customHeight="1">
      <c r="E166" s="162"/>
      <c r="F166" s="162"/>
      <c r="G166" s="163"/>
      <c r="H166" s="162"/>
      <c r="J166" s="147"/>
    </row>
    <row r="167" spans="5:10" ht="12.75" customHeight="1">
      <c r="E167" s="162"/>
      <c r="F167" s="162"/>
      <c r="G167" s="163"/>
      <c r="H167" s="162"/>
      <c r="J167" s="147"/>
    </row>
    <row r="168" spans="5:10" ht="12.75" customHeight="1">
      <c r="E168" s="162"/>
      <c r="F168" s="162"/>
      <c r="G168" s="163"/>
      <c r="H168" s="162"/>
      <c r="J168" s="147"/>
    </row>
    <row r="169" spans="5:10" ht="12.75" customHeight="1">
      <c r="E169" s="162"/>
      <c r="F169" s="162"/>
      <c r="G169" s="163"/>
      <c r="H169" s="162"/>
      <c r="J169" s="147"/>
    </row>
    <row r="170" spans="5:10" ht="12.75" customHeight="1">
      <c r="E170" s="162"/>
      <c r="F170" s="162"/>
      <c r="G170" s="163"/>
      <c r="H170" s="162"/>
      <c r="J170" s="147"/>
    </row>
    <row r="171" spans="5:10" ht="12.75" customHeight="1">
      <c r="E171" s="162"/>
      <c r="F171" s="162"/>
      <c r="G171" s="163"/>
      <c r="H171" s="162"/>
      <c r="J171" s="147"/>
    </row>
    <row r="172" spans="5:10" ht="12.75" customHeight="1">
      <c r="E172" s="162"/>
      <c r="F172" s="162"/>
      <c r="G172" s="163"/>
      <c r="H172" s="162"/>
      <c r="J172" s="147"/>
    </row>
    <row r="173" spans="5:10" ht="12.75" customHeight="1">
      <c r="E173" s="162"/>
      <c r="F173" s="162"/>
      <c r="G173" s="163"/>
      <c r="H173" s="162"/>
      <c r="J173" s="147"/>
    </row>
    <row r="174" spans="5:10" ht="12.75" customHeight="1">
      <c r="E174" s="162"/>
      <c r="F174" s="162"/>
      <c r="G174" s="163"/>
      <c r="H174" s="162"/>
      <c r="J174" s="147"/>
    </row>
    <row r="175" spans="5:10" ht="12.75" customHeight="1">
      <c r="E175" s="162"/>
      <c r="F175" s="162"/>
      <c r="G175" s="163"/>
      <c r="H175" s="162"/>
      <c r="J175" s="147"/>
    </row>
    <row r="176" spans="5:10" ht="12.75" customHeight="1">
      <c r="E176" s="162"/>
      <c r="F176" s="162"/>
      <c r="G176" s="163"/>
      <c r="H176" s="162"/>
      <c r="J176" s="147"/>
    </row>
    <row r="177" spans="5:10" ht="12.75" customHeight="1">
      <c r="E177" s="162"/>
      <c r="F177" s="162"/>
      <c r="G177" s="163"/>
      <c r="H177" s="162"/>
      <c r="J177" s="147"/>
    </row>
    <row r="178" spans="5:10" ht="12.75" customHeight="1">
      <c r="E178" s="162"/>
      <c r="F178" s="162"/>
      <c r="G178" s="163"/>
      <c r="H178" s="162"/>
      <c r="J178" s="147"/>
    </row>
    <row r="179" spans="5:10" ht="12.75" customHeight="1">
      <c r="E179" s="162"/>
      <c r="F179" s="162"/>
      <c r="G179" s="163"/>
      <c r="H179" s="162"/>
      <c r="J179" s="147"/>
    </row>
    <row r="180" spans="5:10" ht="12.75" customHeight="1">
      <c r="E180" s="162"/>
      <c r="F180" s="162"/>
      <c r="G180" s="163"/>
      <c r="H180" s="162"/>
      <c r="J180" s="147"/>
    </row>
    <row r="181" spans="5:10" ht="12.75" customHeight="1">
      <c r="E181" s="162"/>
      <c r="F181" s="162"/>
      <c r="G181" s="163"/>
      <c r="H181" s="162"/>
      <c r="J181" s="147"/>
    </row>
    <row r="182" spans="5:10" ht="12.75" customHeight="1">
      <c r="E182" s="162"/>
      <c r="F182" s="162"/>
      <c r="G182" s="163"/>
      <c r="H182" s="162"/>
      <c r="J182" s="147"/>
    </row>
    <row r="183" spans="5:10" ht="12.75" customHeight="1">
      <c r="E183" s="162"/>
      <c r="F183" s="162"/>
      <c r="G183" s="163"/>
      <c r="H183" s="162"/>
      <c r="J183" s="147"/>
    </row>
    <row r="184" spans="5:10" ht="12.75" customHeight="1">
      <c r="E184" s="162"/>
      <c r="F184" s="162"/>
      <c r="G184" s="163"/>
      <c r="H184" s="162"/>
      <c r="J184" s="147"/>
    </row>
    <row r="185" spans="5:10" ht="12.75" customHeight="1">
      <c r="E185" s="162"/>
      <c r="F185" s="162"/>
      <c r="G185" s="163"/>
      <c r="H185" s="162"/>
      <c r="J185" s="147"/>
    </row>
    <row r="186" spans="5:10" ht="12.75" customHeight="1">
      <c r="E186" s="162"/>
      <c r="F186" s="162"/>
      <c r="G186" s="163"/>
      <c r="H186" s="162"/>
      <c r="J186" s="147"/>
    </row>
    <row r="187" spans="5:10" ht="12.75" customHeight="1">
      <c r="E187" s="162"/>
      <c r="F187" s="162"/>
      <c r="G187" s="163"/>
      <c r="H187" s="162"/>
      <c r="J187" s="147"/>
    </row>
    <row r="188" spans="5:10" ht="12.75" customHeight="1">
      <c r="E188" s="162"/>
      <c r="F188" s="162"/>
      <c r="G188" s="163"/>
      <c r="H188" s="162"/>
      <c r="J188" s="147"/>
    </row>
    <row r="189" spans="5:10" ht="12.75" customHeight="1">
      <c r="E189" s="162"/>
      <c r="F189" s="162"/>
      <c r="G189" s="163"/>
      <c r="H189" s="162"/>
      <c r="J189" s="147"/>
    </row>
    <row r="190" spans="5:10" ht="12.75" customHeight="1">
      <c r="E190" s="162"/>
      <c r="F190" s="162"/>
      <c r="G190" s="163"/>
      <c r="H190" s="162"/>
      <c r="J190" s="147"/>
    </row>
    <row r="191" spans="5:10" ht="12.75" customHeight="1">
      <c r="E191" s="162"/>
      <c r="F191" s="162"/>
      <c r="G191" s="163"/>
      <c r="H191" s="162"/>
      <c r="J191" s="147"/>
    </row>
    <row r="192" spans="5:10" ht="12.75" customHeight="1">
      <c r="E192" s="162"/>
      <c r="F192" s="162"/>
      <c r="G192" s="163"/>
      <c r="H192" s="162"/>
      <c r="J192" s="147"/>
    </row>
    <row r="193" spans="5:10" ht="12.75" customHeight="1">
      <c r="E193" s="162"/>
      <c r="F193" s="162"/>
      <c r="G193" s="163"/>
      <c r="H193" s="162"/>
      <c r="J193" s="147"/>
    </row>
    <row r="194" spans="5:10" ht="12.75" customHeight="1">
      <c r="E194" s="162"/>
      <c r="F194" s="162"/>
      <c r="G194" s="163"/>
      <c r="H194" s="162"/>
      <c r="J194" s="147"/>
    </row>
    <row r="195" spans="5:10" ht="12.75" customHeight="1">
      <c r="E195" s="162"/>
      <c r="F195" s="162"/>
      <c r="G195" s="163"/>
      <c r="H195" s="162"/>
      <c r="J195" s="147"/>
    </row>
    <row r="196" spans="5:10" ht="12.75" customHeight="1">
      <c r="E196" s="162"/>
      <c r="F196" s="162"/>
      <c r="G196" s="163"/>
      <c r="H196" s="162"/>
      <c r="J196" s="147"/>
    </row>
    <row r="197" spans="5:10" ht="12.75" customHeight="1">
      <c r="E197" s="162"/>
      <c r="F197" s="162"/>
      <c r="G197" s="163"/>
      <c r="H197" s="162"/>
      <c r="J197" s="147"/>
    </row>
    <row r="198" spans="5:10" ht="12.75" customHeight="1">
      <c r="E198" s="162"/>
      <c r="F198" s="162"/>
      <c r="G198" s="163"/>
      <c r="H198" s="162"/>
      <c r="J198" s="147"/>
    </row>
    <row r="199" spans="5:10" ht="12.75" customHeight="1">
      <c r="E199" s="162"/>
      <c r="F199" s="162"/>
      <c r="G199" s="163"/>
      <c r="H199" s="162"/>
      <c r="J199" s="147"/>
    </row>
    <row r="200" spans="5:10" ht="12.75" customHeight="1">
      <c r="E200" s="162"/>
      <c r="F200" s="162"/>
      <c r="G200" s="163"/>
      <c r="H200" s="162"/>
      <c r="J200" s="147"/>
    </row>
    <row r="201" spans="5:10" ht="12.75" customHeight="1">
      <c r="E201" s="162"/>
      <c r="F201" s="162"/>
      <c r="G201" s="163"/>
      <c r="H201" s="162"/>
      <c r="J201" s="147"/>
    </row>
    <row r="202" spans="5:10" ht="12.75" customHeight="1">
      <c r="E202" s="162"/>
      <c r="F202" s="162"/>
      <c r="G202" s="163"/>
      <c r="H202" s="162"/>
      <c r="J202" s="147"/>
    </row>
    <row r="203" spans="5:10" ht="12.75" customHeight="1">
      <c r="E203" s="162"/>
      <c r="F203" s="162"/>
      <c r="G203" s="163"/>
      <c r="H203" s="162"/>
      <c r="J203" s="147"/>
    </row>
    <row r="204" spans="5:10" ht="12.75" customHeight="1">
      <c r="E204" s="162"/>
      <c r="F204" s="162"/>
      <c r="G204" s="163"/>
      <c r="H204" s="162"/>
      <c r="J204" s="147"/>
    </row>
    <row r="205" spans="5:10" ht="12.75" customHeight="1">
      <c r="E205" s="162"/>
      <c r="F205" s="162"/>
      <c r="G205" s="163"/>
      <c r="H205" s="162"/>
      <c r="J205" s="147"/>
    </row>
    <row r="206" spans="5:10" ht="12.75" customHeight="1">
      <c r="E206" s="162"/>
      <c r="F206" s="162"/>
      <c r="G206" s="163"/>
      <c r="H206" s="162"/>
      <c r="J206" s="147"/>
    </row>
    <row r="207" spans="5:10" ht="12.75" customHeight="1">
      <c r="E207" s="162"/>
      <c r="F207" s="162"/>
      <c r="G207" s="163"/>
      <c r="H207" s="162"/>
      <c r="J207" s="147"/>
    </row>
    <row r="208" spans="5:10" ht="12.75" customHeight="1">
      <c r="E208" s="162"/>
      <c r="F208" s="162"/>
      <c r="G208" s="163"/>
      <c r="H208" s="162"/>
      <c r="J208" s="147"/>
    </row>
    <row r="209" spans="5:10" ht="12.75" customHeight="1">
      <c r="E209" s="162"/>
      <c r="F209" s="162"/>
      <c r="G209" s="163"/>
      <c r="H209" s="162"/>
      <c r="J209" s="147"/>
    </row>
    <row r="210" spans="5:10" ht="12.75" customHeight="1">
      <c r="E210" s="162"/>
      <c r="F210" s="162"/>
      <c r="G210" s="163"/>
      <c r="H210" s="162"/>
      <c r="J210" s="147"/>
    </row>
    <row r="211" spans="5:10" ht="12.75" customHeight="1">
      <c r="E211" s="162"/>
      <c r="F211" s="162"/>
      <c r="G211" s="163"/>
      <c r="H211" s="162"/>
      <c r="J211" s="147"/>
    </row>
    <row r="212" spans="5:10" ht="12.75" customHeight="1">
      <c r="E212" s="162"/>
      <c r="F212" s="162"/>
      <c r="G212" s="163"/>
      <c r="H212" s="162"/>
      <c r="J212" s="147"/>
    </row>
    <row r="213" spans="5:10" ht="12.75" customHeight="1">
      <c r="E213" s="162"/>
      <c r="F213" s="162"/>
      <c r="G213" s="163"/>
      <c r="H213" s="162"/>
      <c r="J213" s="147"/>
    </row>
    <row r="214" spans="5:10" ht="12.75" customHeight="1">
      <c r="E214" s="162"/>
      <c r="F214" s="162"/>
      <c r="G214" s="163"/>
      <c r="H214" s="162"/>
      <c r="J214" s="147"/>
    </row>
    <row r="215" spans="5:10" ht="12.75" customHeight="1">
      <c r="E215" s="162"/>
      <c r="F215" s="162"/>
      <c r="G215" s="163"/>
      <c r="H215" s="162"/>
      <c r="J215" s="147"/>
    </row>
    <row r="216" spans="5:10" ht="12.75" customHeight="1">
      <c r="E216" s="162"/>
      <c r="F216" s="162"/>
      <c r="G216" s="163"/>
      <c r="H216" s="162"/>
      <c r="J216" s="147"/>
    </row>
    <row r="217" spans="5:10" ht="12.75" customHeight="1">
      <c r="E217" s="162"/>
      <c r="F217" s="162"/>
      <c r="G217" s="163"/>
      <c r="H217" s="162"/>
      <c r="J217" s="147"/>
    </row>
    <row r="218" spans="5:10" ht="12.75" customHeight="1">
      <c r="E218" s="162"/>
      <c r="F218" s="162"/>
      <c r="G218" s="163"/>
      <c r="H218" s="162"/>
      <c r="J218" s="147"/>
    </row>
    <row r="219" spans="5:10" ht="12.75" customHeight="1">
      <c r="E219" s="162"/>
      <c r="F219" s="162"/>
      <c r="G219" s="163"/>
      <c r="H219" s="162"/>
      <c r="J219" s="147"/>
    </row>
    <row r="220" spans="5:10" ht="12.75" customHeight="1">
      <c r="E220" s="162"/>
      <c r="F220" s="162"/>
      <c r="G220" s="163"/>
      <c r="H220" s="162"/>
      <c r="J220" s="147"/>
    </row>
    <row r="221" spans="5:10" ht="12.75" customHeight="1">
      <c r="E221" s="162"/>
      <c r="F221" s="162"/>
      <c r="G221" s="163"/>
      <c r="H221" s="162"/>
      <c r="J221" s="147"/>
    </row>
    <row r="222" spans="5:10" ht="12.75" customHeight="1">
      <c r="E222" s="162"/>
      <c r="F222" s="162"/>
      <c r="G222" s="163"/>
      <c r="H222" s="162"/>
      <c r="J222" s="147"/>
    </row>
    <row r="223" spans="5:10" ht="12.75" customHeight="1">
      <c r="E223" s="162"/>
      <c r="F223" s="162"/>
      <c r="G223" s="163"/>
      <c r="H223" s="162"/>
      <c r="J223" s="147"/>
    </row>
    <row r="224" spans="5:10" ht="12.75" customHeight="1">
      <c r="E224" s="162"/>
      <c r="F224" s="162"/>
      <c r="G224" s="163"/>
      <c r="H224" s="162"/>
      <c r="J224" s="147"/>
    </row>
    <row r="225" spans="5:10" ht="12.75" customHeight="1">
      <c r="E225" s="162"/>
      <c r="F225" s="162"/>
      <c r="G225" s="163"/>
      <c r="H225" s="162"/>
      <c r="J225" s="147"/>
    </row>
    <row r="226" spans="5:10" ht="12.75" customHeight="1">
      <c r="E226" s="162"/>
      <c r="F226" s="162"/>
      <c r="G226" s="163"/>
      <c r="H226" s="162"/>
      <c r="J226" s="147"/>
    </row>
    <row r="227" spans="5:10" ht="12.75" customHeight="1">
      <c r="E227" s="162"/>
      <c r="F227" s="162"/>
      <c r="G227" s="163"/>
      <c r="H227" s="162"/>
      <c r="J227" s="147"/>
    </row>
    <row r="228" spans="5:10" ht="12.75" customHeight="1">
      <c r="E228" s="162"/>
      <c r="F228" s="162"/>
      <c r="G228" s="163"/>
      <c r="H228" s="162"/>
      <c r="J228" s="147"/>
    </row>
    <row r="229" spans="5:10" ht="12.75" customHeight="1">
      <c r="E229" s="162"/>
      <c r="F229" s="162"/>
      <c r="G229" s="163"/>
      <c r="H229" s="162"/>
      <c r="J229" s="147"/>
    </row>
    <row r="230" spans="5:10" ht="12.75" customHeight="1">
      <c r="E230" s="162"/>
      <c r="F230" s="162"/>
      <c r="G230" s="163"/>
      <c r="H230" s="162"/>
      <c r="J230" s="147"/>
    </row>
    <row r="231" spans="5:10" ht="12.75" customHeight="1">
      <c r="E231" s="162"/>
      <c r="F231" s="162"/>
      <c r="G231" s="163"/>
      <c r="H231" s="162"/>
      <c r="J231" s="147"/>
    </row>
    <row r="232" spans="5:10" ht="12.75" customHeight="1">
      <c r="E232" s="162"/>
      <c r="F232" s="162"/>
      <c r="G232" s="163"/>
      <c r="H232" s="162"/>
      <c r="J232" s="147"/>
    </row>
    <row r="233" spans="5:10" ht="12.75" customHeight="1">
      <c r="E233" s="162"/>
      <c r="F233" s="162"/>
      <c r="G233" s="163"/>
      <c r="H233" s="162"/>
      <c r="J233" s="147"/>
    </row>
    <row r="234" spans="5:10" ht="12.75" customHeight="1">
      <c r="E234" s="162"/>
      <c r="F234" s="162"/>
      <c r="G234" s="163"/>
      <c r="H234" s="162"/>
      <c r="J234" s="147"/>
    </row>
    <row r="235" spans="5:10" ht="12.75" customHeight="1">
      <c r="E235" s="162"/>
      <c r="F235" s="162"/>
      <c r="G235" s="163"/>
      <c r="H235" s="162"/>
      <c r="J235" s="147"/>
    </row>
    <row r="236" spans="5:10" ht="12.75" customHeight="1">
      <c r="E236" s="162"/>
      <c r="F236" s="162"/>
      <c r="G236" s="163"/>
      <c r="H236" s="162"/>
      <c r="J236" s="147"/>
    </row>
    <row r="237" spans="5:10" ht="12.75" customHeight="1">
      <c r="E237" s="162"/>
      <c r="F237" s="162"/>
      <c r="G237" s="163"/>
      <c r="H237" s="162"/>
      <c r="J237" s="147"/>
    </row>
    <row r="238" spans="5:10" ht="12.75" customHeight="1">
      <c r="E238" s="162"/>
      <c r="F238" s="162"/>
      <c r="G238" s="163"/>
      <c r="H238" s="162"/>
      <c r="J238" s="147"/>
    </row>
    <row r="239" spans="5:10" ht="12.75" customHeight="1">
      <c r="E239" s="162"/>
      <c r="F239" s="162"/>
      <c r="G239" s="163"/>
      <c r="H239" s="162"/>
      <c r="J239" s="147"/>
    </row>
    <row r="240" spans="5:10" ht="12.75" customHeight="1">
      <c r="E240" s="162"/>
      <c r="F240" s="162"/>
      <c r="G240" s="163"/>
      <c r="H240" s="162"/>
      <c r="J240" s="147"/>
    </row>
    <row r="241" spans="5:10" ht="12.75" customHeight="1">
      <c r="E241" s="162"/>
      <c r="F241" s="162"/>
      <c r="G241" s="163"/>
      <c r="H241" s="162"/>
      <c r="J241" s="147"/>
    </row>
    <row r="242" spans="5:10" ht="12.75" customHeight="1">
      <c r="E242" s="162"/>
      <c r="F242" s="162"/>
      <c r="G242" s="163"/>
      <c r="H242" s="162"/>
      <c r="J242" s="147"/>
    </row>
    <row r="243" spans="5:10" ht="12.75" customHeight="1">
      <c r="E243" s="162"/>
      <c r="F243" s="162"/>
      <c r="G243" s="163"/>
      <c r="H243" s="162"/>
      <c r="J243" s="147"/>
    </row>
    <row r="244" spans="5:10" ht="12.75" customHeight="1">
      <c r="E244" s="162"/>
      <c r="F244" s="162"/>
      <c r="G244" s="163"/>
      <c r="H244" s="162"/>
      <c r="J244" s="147"/>
    </row>
    <row r="245" spans="5:10" ht="12.75" customHeight="1">
      <c r="E245" s="162"/>
      <c r="F245" s="162"/>
      <c r="G245" s="163"/>
      <c r="H245" s="162"/>
      <c r="J245" s="147"/>
    </row>
    <row r="246" spans="5:10" ht="12.75" customHeight="1">
      <c r="E246" s="162"/>
      <c r="F246" s="162"/>
      <c r="G246" s="163"/>
      <c r="H246" s="162"/>
      <c r="J246" s="147"/>
    </row>
    <row r="247" spans="5:10" ht="12.75" customHeight="1">
      <c r="E247" s="162"/>
      <c r="F247" s="162"/>
      <c r="G247" s="163"/>
      <c r="H247" s="162"/>
      <c r="J247" s="147"/>
    </row>
    <row r="248" spans="5:10" ht="12.75" customHeight="1">
      <c r="E248" s="162"/>
      <c r="F248" s="162"/>
      <c r="G248" s="163"/>
      <c r="H248" s="162"/>
      <c r="J248" s="147"/>
    </row>
    <row r="249" spans="5:10" ht="12.75" customHeight="1">
      <c r="E249" s="162"/>
      <c r="F249" s="162"/>
      <c r="G249" s="163"/>
      <c r="H249" s="162"/>
      <c r="J249" s="147"/>
    </row>
    <row r="250" spans="5:10" ht="12.75" customHeight="1">
      <c r="E250" s="162"/>
      <c r="F250" s="162"/>
      <c r="G250" s="163"/>
      <c r="H250" s="162"/>
      <c r="J250" s="147"/>
    </row>
    <row r="251" spans="5:10" ht="12.75" customHeight="1">
      <c r="E251" s="162"/>
      <c r="F251" s="162"/>
      <c r="G251" s="163"/>
      <c r="H251" s="162"/>
      <c r="J251" s="147"/>
    </row>
    <row r="252" spans="5:10" ht="12.75" customHeight="1">
      <c r="E252" s="162"/>
      <c r="F252" s="162"/>
      <c r="G252" s="163"/>
      <c r="H252" s="162"/>
      <c r="J252" s="147"/>
    </row>
    <row r="253" spans="5:10" ht="12.75" customHeight="1">
      <c r="E253" s="162"/>
      <c r="F253" s="162"/>
      <c r="G253" s="163"/>
      <c r="H253" s="162"/>
      <c r="J253" s="147"/>
    </row>
    <row r="254" spans="5:10" ht="12.75" customHeight="1">
      <c r="E254" s="162"/>
      <c r="F254" s="162"/>
      <c r="G254" s="163"/>
      <c r="H254" s="162"/>
      <c r="J254" s="147"/>
    </row>
    <row r="255" spans="5:10" ht="12.75" customHeight="1">
      <c r="E255" s="162"/>
      <c r="F255" s="162"/>
      <c r="G255" s="163"/>
      <c r="H255" s="162"/>
      <c r="J255" s="147"/>
    </row>
    <row r="256" spans="5:10" ht="12.75" customHeight="1">
      <c r="E256" s="162"/>
      <c r="F256" s="162"/>
      <c r="G256" s="163"/>
      <c r="H256" s="162"/>
      <c r="J256" s="147"/>
    </row>
    <row r="257" spans="5:10" ht="12.75" customHeight="1">
      <c r="E257" s="162"/>
      <c r="F257" s="162"/>
      <c r="G257" s="163"/>
      <c r="H257" s="162"/>
      <c r="J257" s="147"/>
    </row>
    <row r="258" spans="5:10" ht="12.75" customHeight="1">
      <c r="E258" s="162"/>
      <c r="F258" s="162"/>
      <c r="G258" s="163"/>
      <c r="H258" s="162"/>
      <c r="J258" s="147"/>
    </row>
    <row r="259" spans="5:10" ht="12.75" customHeight="1">
      <c r="E259" s="162"/>
      <c r="F259" s="162"/>
      <c r="G259" s="163"/>
      <c r="H259" s="162"/>
      <c r="J259" s="147"/>
    </row>
    <row r="260" spans="5:10" ht="12.75" customHeight="1">
      <c r="E260" s="162"/>
      <c r="F260" s="162"/>
      <c r="G260" s="163"/>
      <c r="H260" s="162"/>
      <c r="J260" s="147"/>
    </row>
    <row r="261" spans="5:10" ht="12.75" customHeight="1">
      <c r="E261" s="162"/>
      <c r="F261" s="162"/>
      <c r="G261" s="163"/>
      <c r="H261" s="162"/>
      <c r="J261" s="147"/>
    </row>
    <row r="262" spans="5:10" ht="12.75" customHeight="1">
      <c r="E262" s="162"/>
      <c r="F262" s="162"/>
      <c r="G262" s="163"/>
      <c r="H262" s="162"/>
      <c r="J262" s="147"/>
    </row>
    <row r="263" spans="5:10" ht="12.75" customHeight="1">
      <c r="E263" s="162"/>
      <c r="F263" s="162"/>
      <c r="G263" s="163"/>
      <c r="H263" s="162"/>
      <c r="J263" s="147"/>
    </row>
    <row r="264" spans="5:10" ht="12.75" customHeight="1">
      <c r="E264" s="162"/>
      <c r="F264" s="162"/>
      <c r="G264" s="163"/>
      <c r="H264" s="162"/>
      <c r="J264" s="147"/>
    </row>
    <row r="265" spans="5:10" ht="12.75" customHeight="1">
      <c r="E265" s="162"/>
      <c r="F265" s="162"/>
      <c r="G265" s="163"/>
      <c r="H265" s="162"/>
      <c r="J265" s="147"/>
    </row>
    <row r="266" spans="5:10" ht="12.75" customHeight="1">
      <c r="E266" s="162"/>
      <c r="F266" s="162"/>
      <c r="G266" s="163"/>
      <c r="H266" s="162"/>
      <c r="J266" s="147"/>
    </row>
    <row r="267" spans="5:10" ht="12.75" customHeight="1">
      <c r="E267" s="162"/>
      <c r="F267" s="162"/>
      <c r="G267" s="163"/>
      <c r="H267" s="162"/>
      <c r="J267" s="147"/>
    </row>
    <row r="268" spans="5:10" ht="12.75" customHeight="1">
      <c r="E268" s="162"/>
      <c r="F268" s="162"/>
      <c r="G268" s="163"/>
      <c r="H268" s="162"/>
      <c r="J268" s="147"/>
    </row>
    <row r="269" spans="5:10" ht="12.75" customHeight="1">
      <c r="E269" s="162"/>
      <c r="F269" s="162"/>
      <c r="G269" s="163"/>
      <c r="H269" s="162"/>
      <c r="J269" s="147"/>
    </row>
    <row r="270" spans="5:10" ht="12.75" customHeight="1">
      <c r="E270" s="162"/>
      <c r="F270" s="162"/>
      <c r="G270" s="163"/>
      <c r="H270" s="162"/>
      <c r="J270" s="147"/>
    </row>
    <row r="271" spans="5:10" ht="12.75" customHeight="1">
      <c r="E271" s="162"/>
      <c r="F271" s="162"/>
      <c r="G271" s="163"/>
      <c r="H271" s="162"/>
      <c r="J271" s="147"/>
    </row>
    <row r="272" spans="5:10" ht="12.75" customHeight="1">
      <c r="E272" s="162"/>
      <c r="F272" s="162"/>
      <c r="G272" s="163"/>
      <c r="H272" s="162"/>
      <c r="J272" s="147"/>
    </row>
    <row r="273" spans="5:10" ht="12.75" customHeight="1">
      <c r="E273" s="162"/>
      <c r="F273" s="162"/>
      <c r="G273" s="163"/>
      <c r="H273" s="162"/>
      <c r="J273" s="147"/>
    </row>
    <row r="274" spans="5:10" ht="12.75" customHeight="1">
      <c r="E274" s="162"/>
      <c r="F274" s="162"/>
      <c r="G274" s="163"/>
      <c r="H274" s="162"/>
      <c r="J274" s="147"/>
    </row>
    <row r="275" spans="5:10" ht="12.75" customHeight="1">
      <c r="E275" s="162"/>
      <c r="F275" s="162"/>
      <c r="G275" s="163"/>
      <c r="H275" s="162"/>
      <c r="J275" s="147"/>
    </row>
    <row r="276" spans="5:10" ht="12.75" customHeight="1">
      <c r="E276" s="162"/>
      <c r="F276" s="162"/>
      <c r="G276" s="163"/>
      <c r="H276" s="162"/>
      <c r="J276" s="147"/>
    </row>
    <row r="277" spans="5:10" ht="12.75" customHeight="1">
      <c r="E277" s="162"/>
      <c r="F277" s="162"/>
      <c r="G277" s="163"/>
      <c r="H277" s="162"/>
      <c r="J277" s="147"/>
    </row>
    <row r="278" spans="5:10" ht="12.75" customHeight="1">
      <c r="E278" s="162"/>
      <c r="F278" s="162"/>
      <c r="G278" s="163"/>
      <c r="H278" s="162"/>
      <c r="J278" s="147"/>
    </row>
    <row r="279" spans="5:10" ht="12.75" customHeight="1">
      <c r="E279" s="162"/>
      <c r="F279" s="162"/>
      <c r="G279" s="163"/>
      <c r="H279" s="162"/>
      <c r="J279" s="147"/>
    </row>
    <row r="280" spans="5:10" ht="12.75" customHeight="1">
      <c r="E280" s="162"/>
      <c r="F280" s="162"/>
      <c r="G280" s="163"/>
      <c r="H280" s="162"/>
      <c r="J280" s="147"/>
    </row>
    <row r="281" spans="5:10" ht="12.75" customHeight="1">
      <c r="E281" s="162"/>
      <c r="F281" s="162"/>
      <c r="G281" s="163"/>
      <c r="H281" s="162"/>
      <c r="J281" s="147"/>
    </row>
    <row r="282" spans="5:10" ht="12.75" customHeight="1">
      <c r="E282" s="162"/>
      <c r="F282" s="162"/>
      <c r="G282" s="163"/>
      <c r="H282" s="162"/>
      <c r="J282" s="147"/>
    </row>
    <row r="283" spans="5:10" ht="12.75" customHeight="1">
      <c r="E283" s="162"/>
      <c r="F283" s="162"/>
      <c r="G283" s="163"/>
      <c r="H283" s="162"/>
      <c r="J283" s="147"/>
    </row>
    <row r="284" spans="5:10" ht="12.75" customHeight="1">
      <c r="E284" s="162"/>
      <c r="F284" s="162"/>
      <c r="G284" s="163"/>
      <c r="H284" s="162"/>
      <c r="J284" s="147"/>
    </row>
    <row r="285" spans="5:10" ht="12.75" customHeight="1">
      <c r="E285" s="162"/>
      <c r="F285" s="162"/>
      <c r="G285" s="163"/>
      <c r="H285" s="162"/>
      <c r="J285" s="147"/>
    </row>
    <row r="286" spans="5:10" ht="12.75" customHeight="1">
      <c r="E286" s="162"/>
      <c r="F286" s="162"/>
      <c r="G286" s="163"/>
      <c r="H286" s="162"/>
      <c r="J286" s="147"/>
    </row>
    <row r="287" spans="5:10" ht="12.75" customHeight="1">
      <c r="E287" s="162"/>
      <c r="F287" s="162"/>
      <c r="G287" s="163"/>
      <c r="H287" s="162"/>
      <c r="J287" s="147"/>
    </row>
    <row r="288" spans="5:10" ht="12.75" customHeight="1">
      <c r="E288" s="162"/>
      <c r="F288" s="162"/>
      <c r="G288" s="163"/>
      <c r="H288" s="162"/>
      <c r="J288" s="147"/>
    </row>
    <row r="289" spans="5:10" ht="12.75" customHeight="1">
      <c r="E289" s="162"/>
      <c r="F289" s="162"/>
      <c r="G289" s="163"/>
      <c r="H289" s="162"/>
      <c r="J289" s="147"/>
    </row>
    <row r="290" spans="5:10" ht="12.75" customHeight="1">
      <c r="E290" s="162"/>
      <c r="F290" s="162"/>
      <c r="G290" s="163"/>
      <c r="H290" s="162"/>
      <c r="J290" s="147"/>
    </row>
    <row r="291" spans="5:10" ht="12.75" customHeight="1">
      <c r="E291" s="162"/>
      <c r="F291" s="162"/>
      <c r="G291" s="163"/>
      <c r="H291" s="162"/>
      <c r="J291" s="147"/>
    </row>
    <row r="292" spans="5:10" ht="12.75" customHeight="1">
      <c r="E292" s="162"/>
      <c r="F292" s="162"/>
      <c r="G292" s="163"/>
      <c r="H292" s="162"/>
      <c r="J292" s="147"/>
    </row>
    <row r="293" spans="5:10" ht="12.75" customHeight="1">
      <c r="E293" s="162"/>
      <c r="F293" s="162"/>
      <c r="G293" s="163"/>
      <c r="H293" s="162"/>
      <c r="J293" s="147"/>
    </row>
    <row r="294" spans="5:10" ht="12.75" customHeight="1">
      <c r="E294" s="162"/>
      <c r="F294" s="162"/>
      <c r="G294" s="163"/>
      <c r="H294" s="162"/>
      <c r="J294" s="147"/>
    </row>
    <row r="295" spans="5:10" ht="12.75" customHeight="1">
      <c r="E295" s="162"/>
      <c r="F295" s="162"/>
      <c r="G295" s="163"/>
      <c r="H295" s="162"/>
      <c r="J295" s="147"/>
    </row>
    <row r="296" spans="5:10" ht="12.75" customHeight="1">
      <c r="E296" s="162"/>
      <c r="F296" s="162"/>
      <c r="G296" s="163"/>
      <c r="H296" s="162"/>
      <c r="J296" s="147"/>
    </row>
    <row r="297" spans="5:10" ht="12.75" customHeight="1">
      <c r="E297" s="162"/>
      <c r="F297" s="162"/>
      <c r="G297" s="163"/>
      <c r="H297" s="162"/>
      <c r="J297" s="147"/>
    </row>
    <row r="298" spans="5:10" ht="12.75" customHeight="1">
      <c r="E298" s="162"/>
      <c r="F298" s="162"/>
      <c r="G298" s="163"/>
      <c r="H298" s="162"/>
      <c r="J298" s="147"/>
    </row>
    <row r="299" spans="5:10" ht="12.75" customHeight="1">
      <c r="E299" s="162"/>
      <c r="F299" s="162"/>
      <c r="G299" s="163"/>
      <c r="H299" s="162"/>
      <c r="J299" s="147"/>
    </row>
    <row r="300" spans="5:10" ht="12.75" customHeight="1">
      <c r="E300" s="162"/>
      <c r="F300" s="162"/>
      <c r="G300" s="163"/>
      <c r="H300" s="162"/>
      <c r="J300" s="147"/>
    </row>
    <row r="301" spans="5:10" ht="12.75" customHeight="1">
      <c r="E301" s="162"/>
      <c r="F301" s="162"/>
      <c r="G301" s="163"/>
      <c r="H301" s="162"/>
      <c r="J301" s="147"/>
    </row>
    <row r="302" spans="5:10" ht="12.75" customHeight="1">
      <c r="E302" s="162"/>
      <c r="F302" s="162"/>
      <c r="G302" s="163"/>
      <c r="H302" s="162"/>
      <c r="J302" s="147"/>
    </row>
    <row r="303" spans="5:10" ht="12.75" customHeight="1">
      <c r="E303" s="162"/>
      <c r="F303" s="162"/>
      <c r="G303" s="163"/>
      <c r="H303" s="162"/>
      <c r="J303" s="147"/>
    </row>
    <row r="304" spans="5:10" ht="12.75" customHeight="1">
      <c r="E304" s="162"/>
      <c r="F304" s="162"/>
      <c r="G304" s="163"/>
      <c r="H304" s="162"/>
      <c r="J304" s="147"/>
    </row>
    <row r="305" spans="5:10" ht="12.75" customHeight="1">
      <c r="E305" s="162"/>
      <c r="F305" s="162"/>
      <c r="G305" s="163"/>
      <c r="H305" s="162"/>
      <c r="J305" s="147"/>
    </row>
    <row r="306" spans="5:10" ht="12.75" customHeight="1">
      <c r="E306" s="162"/>
      <c r="F306" s="162"/>
      <c r="G306" s="163"/>
      <c r="H306" s="162"/>
      <c r="J306" s="147"/>
    </row>
    <row r="307" spans="5:10" ht="12.75" customHeight="1">
      <c r="E307" s="162"/>
      <c r="F307" s="162"/>
      <c r="G307" s="163"/>
      <c r="H307" s="162"/>
      <c r="J307" s="147"/>
    </row>
    <row r="308" spans="5:10" ht="12.75" customHeight="1">
      <c r="E308" s="162"/>
      <c r="F308" s="162"/>
      <c r="G308" s="163"/>
      <c r="H308" s="162"/>
      <c r="J308" s="147"/>
    </row>
    <row r="309" spans="5:10" ht="12.75" customHeight="1">
      <c r="E309" s="162"/>
      <c r="F309" s="162"/>
      <c r="G309" s="163"/>
      <c r="H309" s="162"/>
      <c r="J309" s="147"/>
    </row>
    <row r="310" spans="5:10" ht="12.75" customHeight="1">
      <c r="E310" s="162"/>
      <c r="F310" s="162"/>
      <c r="G310" s="163"/>
      <c r="H310" s="162"/>
      <c r="J310" s="147"/>
    </row>
    <row r="311" spans="5:10" ht="12.75" customHeight="1">
      <c r="E311" s="162"/>
      <c r="F311" s="162"/>
      <c r="G311" s="163"/>
      <c r="H311" s="162"/>
      <c r="J311" s="147"/>
    </row>
    <row r="312" spans="5:10" ht="12.75" customHeight="1">
      <c r="E312" s="162"/>
      <c r="F312" s="162"/>
      <c r="G312" s="163"/>
      <c r="H312" s="162"/>
      <c r="J312" s="147"/>
    </row>
    <row r="313" spans="5:10" ht="12.75" customHeight="1">
      <c r="E313" s="162"/>
      <c r="F313" s="162"/>
      <c r="G313" s="163"/>
      <c r="H313" s="162"/>
      <c r="J313" s="147"/>
    </row>
    <row r="314" spans="5:10" ht="12.75" customHeight="1">
      <c r="E314" s="162"/>
      <c r="F314" s="162"/>
      <c r="G314" s="163"/>
      <c r="H314" s="162"/>
      <c r="J314" s="147"/>
    </row>
    <row r="315" spans="5:10" ht="12.75" customHeight="1">
      <c r="E315" s="162"/>
      <c r="F315" s="162"/>
      <c r="G315" s="163"/>
      <c r="H315" s="162"/>
      <c r="J315" s="147"/>
    </row>
    <row r="316" spans="5:10" ht="12.75" customHeight="1">
      <c r="E316" s="162"/>
      <c r="F316" s="162"/>
      <c r="G316" s="163"/>
      <c r="H316" s="162"/>
      <c r="J316" s="147"/>
    </row>
    <row r="317" spans="5:10" ht="12.75" customHeight="1">
      <c r="E317" s="162"/>
      <c r="F317" s="162"/>
      <c r="G317" s="163"/>
      <c r="H317" s="162"/>
      <c r="J317" s="147"/>
    </row>
    <row r="318" spans="5:10" ht="12.75" customHeight="1">
      <c r="E318" s="162"/>
      <c r="F318" s="162"/>
      <c r="G318" s="163"/>
      <c r="H318" s="162"/>
      <c r="J318" s="147"/>
    </row>
    <row r="319" spans="5:10" ht="12.75" customHeight="1">
      <c r="E319" s="162"/>
      <c r="F319" s="162"/>
      <c r="G319" s="163"/>
      <c r="H319" s="162"/>
      <c r="J319" s="147"/>
    </row>
    <row r="320" spans="5:10" ht="12.75" customHeight="1">
      <c r="E320" s="162"/>
      <c r="F320" s="162"/>
      <c r="G320" s="163"/>
      <c r="H320" s="162"/>
      <c r="J320" s="147"/>
    </row>
    <row r="321" spans="5:10" ht="12.75" customHeight="1">
      <c r="E321" s="162"/>
      <c r="F321" s="162"/>
      <c r="G321" s="163"/>
      <c r="H321" s="162"/>
      <c r="J321" s="147"/>
    </row>
    <row r="322" spans="5:10" ht="12.75" customHeight="1">
      <c r="E322" s="162"/>
      <c r="F322" s="162"/>
      <c r="G322" s="163"/>
      <c r="H322" s="162"/>
      <c r="J322" s="147"/>
    </row>
    <row r="323" spans="5:10" ht="12.75" customHeight="1">
      <c r="E323" s="162"/>
      <c r="F323" s="162"/>
      <c r="G323" s="163"/>
      <c r="H323" s="162"/>
      <c r="J323" s="147"/>
    </row>
    <row r="324" spans="5:10" ht="12.75" customHeight="1">
      <c r="E324" s="162"/>
      <c r="F324" s="162"/>
      <c r="G324" s="163"/>
      <c r="H324" s="162"/>
      <c r="J324" s="147"/>
    </row>
    <row r="325" spans="5:10" ht="12.75" customHeight="1">
      <c r="E325" s="162"/>
      <c r="F325" s="162"/>
      <c r="G325" s="163"/>
      <c r="H325" s="162"/>
      <c r="J325" s="147"/>
    </row>
    <row r="326" spans="5:10" ht="12.75" customHeight="1">
      <c r="E326" s="162"/>
      <c r="F326" s="162"/>
      <c r="G326" s="163"/>
      <c r="H326" s="162"/>
      <c r="J326" s="147"/>
    </row>
    <row r="327" spans="5:10" ht="12.75" customHeight="1">
      <c r="E327" s="162"/>
      <c r="F327" s="162"/>
      <c r="G327" s="163"/>
      <c r="H327" s="162"/>
      <c r="J327" s="147"/>
    </row>
    <row r="328" spans="5:10" ht="12.75" customHeight="1">
      <c r="E328" s="162"/>
      <c r="F328" s="162"/>
      <c r="G328" s="163"/>
      <c r="H328" s="162"/>
      <c r="J328" s="147"/>
    </row>
    <row r="329" spans="5:10" ht="12.75" customHeight="1">
      <c r="E329" s="162"/>
      <c r="F329" s="162"/>
      <c r="G329" s="163"/>
      <c r="H329" s="162"/>
      <c r="J329" s="147"/>
    </row>
    <row r="330" spans="5:10" ht="12.75" customHeight="1">
      <c r="E330" s="162"/>
      <c r="F330" s="162"/>
      <c r="G330" s="163"/>
      <c r="H330" s="162"/>
      <c r="J330" s="147"/>
    </row>
    <row r="331" spans="5:10" ht="12.75" customHeight="1">
      <c r="E331" s="162"/>
      <c r="F331" s="162"/>
      <c r="G331" s="163"/>
      <c r="H331" s="162"/>
      <c r="J331" s="147"/>
    </row>
    <row r="332" spans="5:10" ht="12.75" customHeight="1">
      <c r="E332" s="162"/>
      <c r="F332" s="162"/>
      <c r="G332" s="163"/>
      <c r="H332" s="162"/>
      <c r="J332" s="147"/>
    </row>
    <row r="333" spans="5:10" ht="12.75" customHeight="1">
      <c r="E333" s="162"/>
      <c r="F333" s="162"/>
      <c r="G333" s="163"/>
      <c r="H333" s="162"/>
      <c r="J333" s="147"/>
    </row>
    <row r="334" spans="5:10" ht="12.75" customHeight="1">
      <c r="E334" s="162"/>
      <c r="F334" s="162"/>
      <c r="G334" s="163"/>
      <c r="H334" s="162"/>
      <c r="J334" s="147"/>
    </row>
    <row r="335" spans="5:10" ht="12.75" customHeight="1">
      <c r="E335" s="162"/>
      <c r="F335" s="162"/>
      <c r="G335" s="163"/>
      <c r="H335" s="162"/>
      <c r="J335" s="147"/>
    </row>
    <row r="336" spans="5:10" ht="12.75" customHeight="1">
      <c r="E336" s="162"/>
      <c r="F336" s="162"/>
      <c r="G336" s="163"/>
      <c r="H336" s="162"/>
      <c r="J336" s="147"/>
    </row>
    <row r="337" spans="5:10" ht="12.75" customHeight="1">
      <c r="E337" s="162"/>
      <c r="F337" s="162"/>
      <c r="G337" s="163"/>
      <c r="H337" s="162"/>
      <c r="J337" s="147"/>
    </row>
    <row r="338" spans="5:10" ht="12.75" customHeight="1">
      <c r="E338" s="162"/>
      <c r="F338" s="162"/>
      <c r="G338" s="163"/>
      <c r="H338" s="162"/>
      <c r="J338" s="147"/>
    </row>
    <row r="339" spans="5:10" ht="12.75" customHeight="1">
      <c r="E339" s="162"/>
      <c r="F339" s="162"/>
      <c r="G339" s="163"/>
      <c r="H339" s="162"/>
      <c r="J339" s="147"/>
    </row>
    <row r="340" spans="5:10" ht="12.75" customHeight="1">
      <c r="E340" s="162"/>
      <c r="F340" s="162"/>
      <c r="G340" s="163"/>
      <c r="H340" s="162"/>
      <c r="J340" s="147"/>
    </row>
    <row r="341" spans="5:10" ht="12.75" customHeight="1">
      <c r="E341" s="162"/>
      <c r="F341" s="162"/>
      <c r="G341" s="163"/>
      <c r="H341" s="162"/>
      <c r="J341" s="147"/>
    </row>
    <row r="342" spans="5:10" ht="12.75" customHeight="1">
      <c r="E342" s="162"/>
      <c r="F342" s="162"/>
      <c r="G342" s="163"/>
      <c r="H342" s="162"/>
      <c r="J342" s="147"/>
    </row>
    <row r="343" spans="5:10" ht="12.75" customHeight="1">
      <c r="E343" s="162"/>
      <c r="F343" s="162"/>
      <c r="G343" s="163"/>
      <c r="H343" s="162"/>
      <c r="J343" s="147"/>
    </row>
    <row r="344" spans="5:10" ht="12.75" customHeight="1">
      <c r="E344" s="162"/>
      <c r="F344" s="162"/>
      <c r="G344" s="163"/>
      <c r="H344" s="162"/>
      <c r="J344" s="147"/>
    </row>
    <row r="345" spans="5:10" ht="12.75" customHeight="1">
      <c r="E345" s="162"/>
      <c r="F345" s="162"/>
      <c r="G345" s="163"/>
      <c r="H345" s="162"/>
      <c r="J345" s="147"/>
    </row>
    <row r="346" spans="5:10" ht="12.75" customHeight="1">
      <c r="E346" s="162"/>
      <c r="F346" s="162"/>
      <c r="G346" s="163"/>
      <c r="H346" s="162"/>
      <c r="J346" s="147"/>
    </row>
    <row r="347" spans="5:10" ht="12.75" customHeight="1">
      <c r="E347" s="162"/>
      <c r="F347" s="162"/>
      <c r="G347" s="163"/>
      <c r="H347" s="162"/>
      <c r="J347" s="147"/>
    </row>
    <row r="348" spans="5:10" ht="12.75" customHeight="1">
      <c r="E348" s="162"/>
      <c r="F348" s="162"/>
      <c r="G348" s="163"/>
      <c r="H348" s="162"/>
      <c r="J348" s="147"/>
    </row>
    <row r="349" spans="5:10" ht="12.75" customHeight="1">
      <c r="E349" s="162"/>
      <c r="F349" s="162"/>
      <c r="G349" s="163"/>
      <c r="H349" s="162"/>
      <c r="J349" s="147"/>
    </row>
    <row r="350" spans="5:10" ht="12.75" customHeight="1">
      <c r="E350" s="162"/>
      <c r="F350" s="162"/>
      <c r="G350" s="163"/>
      <c r="H350" s="162"/>
      <c r="J350" s="147"/>
    </row>
    <row r="351" spans="5:10" ht="12.75" customHeight="1">
      <c r="E351" s="162"/>
      <c r="F351" s="162"/>
      <c r="G351" s="163"/>
      <c r="H351" s="162"/>
      <c r="J351" s="147"/>
    </row>
    <row r="352" spans="5:10" ht="12.75" customHeight="1">
      <c r="E352" s="162"/>
      <c r="F352" s="162"/>
      <c r="G352" s="163"/>
      <c r="H352" s="162"/>
      <c r="J352" s="147"/>
    </row>
    <row r="353" spans="5:10" ht="12.75" customHeight="1">
      <c r="E353" s="162"/>
      <c r="F353" s="162"/>
      <c r="G353" s="163"/>
      <c r="H353" s="162"/>
      <c r="J353" s="147"/>
    </row>
    <row r="354" spans="5:10" ht="12.75" customHeight="1">
      <c r="E354" s="162"/>
      <c r="F354" s="162"/>
      <c r="G354" s="163"/>
      <c r="H354" s="162"/>
      <c r="J354" s="147"/>
    </row>
    <row r="355" spans="5:10" ht="12.75" customHeight="1">
      <c r="E355" s="162"/>
      <c r="F355" s="162"/>
      <c r="G355" s="163"/>
      <c r="H355" s="162"/>
      <c r="J355" s="147"/>
    </row>
    <row r="356" spans="5:10" ht="12.75" customHeight="1">
      <c r="E356" s="162"/>
      <c r="F356" s="162"/>
      <c r="G356" s="163"/>
      <c r="H356" s="162"/>
      <c r="J356" s="147"/>
    </row>
    <row r="357" spans="5:10" ht="12.75" customHeight="1">
      <c r="E357" s="162"/>
      <c r="F357" s="162"/>
      <c r="G357" s="163"/>
      <c r="H357" s="162"/>
      <c r="J357" s="147"/>
    </row>
    <row r="358" spans="5:10" ht="12.75" customHeight="1">
      <c r="E358" s="162"/>
      <c r="F358" s="162"/>
      <c r="G358" s="163"/>
      <c r="H358" s="162"/>
      <c r="J358" s="147"/>
    </row>
    <row r="359" spans="5:10" ht="12.75" customHeight="1">
      <c r="E359" s="162"/>
      <c r="F359" s="162"/>
      <c r="G359" s="163"/>
      <c r="H359" s="162"/>
      <c r="J359" s="147"/>
    </row>
    <row r="360" spans="5:10" ht="12.75" customHeight="1">
      <c r="E360" s="162"/>
      <c r="F360" s="162"/>
      <c r="G360" s="163"/>
      <c r="H360" s="162"/>
      <c r="J360" s="147"/>
    </row>
    <row r="361" spans="5:10" ht="12.75" customHeight="1">
      <c r="E361" s="162"/>
      <c r="F361" s="162"/>
      <c r="G361" s="163"/>
      <c r="H361" s="162"/>
      <c r="J361" s="147"/>
    </row>
    <row r="362" spans="5:10" ht="12.75" customHeight="1">
      <c r="E362" s="162"/>
      <c r="F362" s="162"/>
      <c r="G362" s="163"/>
      <c r="H362" s="162"/>
      <c r="J362" s="147"/>
    </row>
    <row r="363" spans="5:10" ht="12.75" customHeight="1">
      <c r="E363" s="162"/>
      <c r="F363" s="162"/>
      <c r="G363" s="163"/>
      <c r="H363" s="162"/>
      <c r="J363" s="147"/>
    </row>
    <row r="364" spans="5:10" ht="12.75" customHeight="1">
      <c r="E364" s="162"/>
      <c r="F364" s="162"/>
      <c r="G364" s="163"/>
      <c r="H364" s="162"/>
      <c r="J364" s="147"/>
    </row>
    <row r="365" spans="5:10" ht="12.75" customHeight="1">
      <c r="E365" s="162"/>
      <c r="F365" s="162"/>
      <c r="G365" s="163"/>
      <c r="H365" s="162"/>
      <c r="J365" s="147"/>
    </row>
    <row r="366" spans="5:10" ht="12.75" customHeight="1">
      <c r="E366" s="162"/>
      <c r="F366" s="162"/>
      <c r="G366" s="163"/>
      <c r="H366" s="162"/>
      <c r="J366" s="147"/>
    </row>
    <row r="367" spans="5:10" ht="12.75" customHeight="1">
      <c r="E367" s="162"/>
      <c r="F367" s="162"/>
      <c r="G367" s="163"/>
      <c r="H367" s="162"/>
      <c r="J367" s="147"/>
    </row>
    <row r="368" spans="5:10" ht="12.75" customHeight="1">
      <c r="E368" s="162"/>
      <c r="F368" s="162"/>
      <c r="G368" s="163"/>
      <c r="H368" s="162"/>
      <c r="J368" s="147"/>
    </row>
    <row r="369" spans="5:10" ht="12.75" customHeight="1">
      <c r="E369" s="162"/>
      <c r="F369" s="162"/>
      <c r="G369" s="163"/>
      <c r="H369" s="162"/>
      <c r="J369" s="147"/>
    </row>
    <row r="370" spans="5:10" ht="12.75" customHeight="1">
      <c r="E370" s="162"/>
      <c r="F370" s="162"/>
      <c r="G370" s="163"/>
      <c r="H370" s="162"/>
      <c r="J370" s="147"/>
    </row>
    <row r="371" spans="5:10" ht="12.75" customHeight="1">
      <c r="E371" s="162"/>
      <c r="F371" s="162"/>
      <c r="G371" s="163"/>
      <c r="H371" s="162"/>
      <c r="J371" s="147"/>
    </row>
    <row r="372" spans="5:10" ht="12.75" customHeight="1">
      <c r="E372" s="162"/>
      <c r="F372" s="162"/>
      <c r="G372" s="163"/>
      <c r="H372" s="162"/>
      <c r="J372" s="147"/>
    </row>
    <row r="373" spans="5:10" ht="12.75" customHeight="1">
      <c r="E373" s="162"/>
      <c r="F373" s="162"/>
      <c r="G373" s="163"/>
      <c r="H373" s="162"/>
      <c r="J373" s="147"/>
    </row>
    <row r="374" spans="5:10" ht="12.75" customHeight="1">
      <c r="E374" s="162"/>
      <c r="F374" s="162"/>
      <c r="G374" s="163"/>
      <c r="H374" s="162"/>
      <c r="J374" s="147"/>
    </row>
    <row r="375" spans="5:10" ht="12.75" customHeight="1">
      <c r="E375" s="162"/>
      <c r="F375" s="162"/>
      <c r="G375" s="163"/>
      <c r="H375" s="162"/>
      <c r="J375" s="147"/>
    </row>
    <row r="376" spans="5:10" ht="12.75" customHeight="1">
      <c r="E376" s="162"/>
      <c r="F376" s="162"/>
      <c r="G376" s="163"/>
      <c r="H376" s="162"/>
      <c r="J376" s="147"/>
    </row>
    <row r="377" spans="5:10" ht="12.75" customHeight="1">
      <c r="E377" s="162"/>
      <c r="F377" s="162"/>
      <c r="G377" s="163"/>
      <c r="H377" s="162"/>
      <c r="J377" s="147"/>
    </row>
    <row r="378" spans="5:10" ht="12.75" customHeight="1">
      <c r="E378" s="162"/>
      <c r="F378" s="162"/>
      <c r="G378" s="163"/>
      <c r="H378" s="162"/>
      <c r="J378" s="147"/>
    </row>
    <row r="379" spans="5:10" ht="12.75" customHeight="1">
      <c r="E379" s="162"/>
      <c r="F379" s="162"/>
      <c r="G379" s="163"/>
      <c r="H379" s="162"/>
      <c r="J379" s="147"/>
    </row>
    <row r="380" spans="5:10" ht="12.75" customHeight="1">
      <c r="E380" s="162"/>
      <c r="F380" s="162"/>
      <c r="G380" s="163"/>
      <c r="H380" s="162"/>
      <c r="J380" s="147"/>
    </row>
    <row r="381" spans="5:10" ht="12.75" customHeight="1">
      <c r="E381" s="162"/>
      <c r="F381" s="162"/>
      <c r="G381" s="163"/>
      <c r="H381" s="162"/>
      <c r="J381" s="147"/>
    </row>
    <row r="382" spans="5:10" ht="12.75" customHeight="1">
      <c r="E382" s="162"/>
      <c r="F382" s="162"/>
      <c r="G382" s="163"/>
      <c r="H382" s="162"/>
      <c r="J382" s="147"/>
    </row>
    <row r="383" spans="5:10" ht="12.75" customHeight="1">
      <c r="E383" s="162"/>
      <c r="F383" s="162"/>
      <c r="G383" s="163"/>
      <c r="H383" s="162"/>
      <c r="J383" s="147"/>
    </row>
    <row r="384" spans="5:10" ht="12.75" customHeight="1">
      <c r="E384" s="162"/>
      <c r="F384" s="162"/>
      <c r="G384" s="163"/>
      <c r="H384" s="162"/>
      <c r="J384" s="147"/>
    </row>
    <row r="385" spans="5:10" ht="12.75" customHeight="1">
      <c r="E385" s="162"/>
      <c r="F385" s="162"/>
      <c r="G385" s="163"/>
      <c r="H385" s="162"/>
      <c r="J385" s="147"/>
    </row>
    <row r="386" spans="5:10" ht="12.75" customHeight="1">
      <c r="E386" s="162"/>
      <c r="F386" s="162"/>
      <c r="G386" s="163"/>
      <c r="H386" s="162"/>
      <c r="J386" s="147"/>
    </row>
    <row r="387" spans="5:10" ht="12.75" customHeight="1">
      <c r="E387" s="162"/>
      <c r="F387" s="162"/>
      <c r="G387" s="163"/>
      <c r="H387" s="162"/>
      <c r="J387" s="147"/>
    </row>
    <row r="388" spans="5:10" ht="12.75" customHeight="1">
      <c r="E388" s="162"/>
      <c r="F388" s="162"/>
      <c r="G388" s="163"/>
      <c r="H388" s="162"/>
      <c r="J388" s="147"/>
    </row>
    <row r="389" spans="5:10" ht="12.75" customHeight="1">
      <c r="E389" s="162"/>
      <c r="F389" s="162"/>
      <c r="G389" s="163"/>
      <c r="H389" s="162"/>
      <c r="J389" s="147"/>
    </row>
    <row r="390" spans="5:10" ht="12.75" customHeight="1">
      <c r="E390" s="162"/>
      <c r="F390" s="162"/>
      <c r="G390" s="163"/>
      <c r="H390" s="162"/>
      <c r="J390" s="147"/>
    </row>
    <row r="391" spans="5:10" ht="12.75" customHeight="1">
      <c r="E391" s="162"/>
      <c r="F391" s="162"/>
      <c r="G391" s="163"/>
      <c r="H391" s="162"/>
      <c r="J391" s="147"/>
    </row>
    <row r="392" spans="5:10" ht="12.75" customHeight="1">
      <c r="E392" s="162"/>
      <c r="F392" s="162"/>
      <c r="G392" s="163"/>
      <c r="H392" s="162"/>
      <c r="J392" s="147"/>
    </row>
    <row r="393" spans="5:10" ht="12.75" customHeight="1">
      <c r="E393" s="162"/>
      <c r="F393" s="162"/>
      <c r="G393" s="163"/>
      <c r="H393" s="162"/>
      <c r="J393" s="147"/>
    </row>
    <row r="394" spans="5:10" ht="12.75" customHeight="1">
      <c r="E394" s="162"/>
      <c r="F394" s="162"/>
      <c r="G394" s="163"/>
      <c r="H394" s="162"/>
      <c r="J394" s="147"/>
    </row>
    <row r="395" spans="5:10" ht="12.75" customHeight="1">
      <c r="E395" s="162"/>
      <c r="F395" s="162"/>
      <c r="G395" s="163"/>
      <c r="H395" s="162"/>
      <c r="J395" s="147"/>
    </row>
    <row r="396" spans="5:10" ht="12.75" customHeight="1">
      <c r="E396" s="162"/>
      <c r="F396" s="162"/>
      <c r="G396" s="163"/>
      <c r="H396" s="162"/>
      <c r="J396" s="147"/>
    </row>
    <row r="397" spans="5:10" ht="12.75" customHeight="1">
      <c r="E397" s="162"/>
      <c r="F397" s="162"/>
      <c r="G397" s="163"/>
      <c r="H397" s="162"/>
      <c r="J397" s="147"/>
    </row>
    <row r="398" spans="5:10" ht="12.75" customHeight="1">
      <c r="E398" s="162"/>
      <c r="F398" s="162"/>
      <c r="G398" s="163"/>
      <c r="H398" s="162"/>
      <c r="J398" s="147"/>
    </row>
    <row r="399" spans="5:10" ht="12.75" customHeight="1">
      <c r="E399" s="162"/>
      <c r="F399" s="162"/>
      <c r="G399" s="163"/>
      <c r="H399" s="162"/>
      <c r="J399" s="147"/>
    </row>
    <row r="400" spans="5:10" ht="12.75" customHeight="1">
      <c r="E400" s="162"/>
      <c r="F400" s="162"/>
      <c r="G400" s="163"/>
      <c r="H400" s="162"/>
      <c r="J400" s="147"/>
    </row>
    <row r="401" spans="5:10" ht="12.75" customHeight="1">
      <c r="E401" s="162"/>
      <c r="F401" s="162"/>
      <c r="G401" s="163"/>
      <c r="H401" s="162"/>
      <c r="J401" s="147"/>
    </row>
    <row r="402" spans="5:10" ht="12.75" customHeight="1">
      <c r="E402" s="162"/>
      <c r="F402" s="162"/>
      <c r="G402" s="163"/>
      <c r="H402" s="162"/>
      <c r="J402" s="147"/>
    </row>
    <row r="403" spans="5:10" ht="12.75" customHeight="1">
      <c r="E403" s="162"/>
      <c r="F403" s="162"/>
      <c r="G403" s="163"/>
      <c r="H403" s="162"/>
      <c r="J403" s="147"/>
    </row>
    <row r="404" spans="5:10" ht="12.75" customHeight="1">
      <c r="E404" s="162"/>
      <c r="F404" s="162"/>
      <c r="G404" s="163"/>
      <c r="H404" s="162"/>
      <c r="J404" s="147"/>
    </row>
    <row r="405" spans="5:10" ht="12.75" customHeight="1">
      <c r="E405" s="162"/>
      <c r="F405" s="162"/>
      <c r="G405" s="163"/>
      <c r="H405" s="162"/>
      <c r="J405" s="147"/>
    </row>
    <row r="406" spans="5:10" ht="12.75" customHeight="1">
      <c r="E406" s="162"/>
      <c r="F406" s="162"/>
      <c r="G406" s="163"/>
      <c r="H406" s="162"/>
      <c r="J406" s="147"/>
    </row>
    <row r="407" spans="5:10" ht="12.75" customHeight="1">
      <c r="E407" s="162"/>
      <c r="F407" s="162"/>
      <c r="G407" s="163"/>
      <c r="H407" s="162"/>
      <c r="J407" s="147"/>
    </row>
    <row r="408" spans="5:10" ht="12.75" customHeight="1">
      <c r="E408" s="162"/>
      <c r="F408" s="162"/>
      <c r="G408" s="163"/>
      <c r="H408" s="162"/>
      <c r="J408" s="147"/>
    </row>
    <row r="409" spans="5:10" ht="12.75" customHeight="1">
      <c r="E409" s="162"/>
      <c r="F409" s="162"/>
      <c r="G409" s="163"/>
      <c r="H409" s="162"/>
      <c r="J409" s="147"/>
    </row>
    <row r="410" spans="5:10" ht="12.75" customHeight="1">
      <c r="E410" s="162"/>
      <c r="F410" s="162"/>
      <c r="G410" s="163"/>
      <c r="H410" s="162"/>
      <c r="J410" s="147"/>
    </row>
    <row r="411" spans="5:10" ht="12.75" customHeight="1">
      <c r="E411" s="162"/>
      <c r="F411" s="162"/>
      <c r="G411" s="163"/>
      <c r="H411" s="162"/>
      <c r="J411" s="147"/>
    </row>
    <row r="412" spans="5:10" ht="12.75" customHeight="1">
      <c r="E412" s="162"/>
      <c r="F412" s="162"/>
      <c r="G412" s="163"/>
      <c r="H412" s="162"/>
      <c r="J412" s="147"/>
    </row>
    <row r="413" spans="5:10" ht="12.75" customHeight="1">
      <c r="E413" s="162"/>
      <c r="F413" s="162"/>
      <c r="G413" s="163"/>
      <c r="H413" s="162"/>
      <c r="J413" s="147"/>
    </row>
    <row r="414" spans="5:10" ht="12.75" customHeight="1">
      <c r="E414" s="162"/>
      <c r="F414" s="162"/>
      <c r="G414" s="163"/>
      <c r="H414" s="162"/>
      <c r="J414" s="147"/>
    </row>
    <row r="415" spans="5:10" ht="12.75" customHeight="1">
      <c r="E415" s="162"/>
      <c r="F415" s="162"/>
      <c r="G415" s="163"/>
      <c r="H415" s="162"/>
      <c r="J415" s="147"/>
    </row>
    <row r="416" spans="5:10" ht="12.75" customHeight="1">
      <c r="E416" s="162"/>
      <c r="F416" s="162"/>
      <c r="G416" s="163"/>
      <c r="H416" s="162"/>
      <c r="J416" s="147"/>
    </row>
    <row r="417" spans="5:10" ht="12.75" customHeight="1">
      <c r="E417" s="162"/>
      <c r="F417" s="162"/>
      <c r="G417" s="163"/>
      <c r="H417" s="162"/>
      <c r="J417" s="147"/>
    </row>
    <row r="418" spans="5:10" ht="12.75" customHeight="1">
      <c r="E418" s="162"/>
      <c r="F418" s="162"/>
      <c r="G418" s="163"/>
      <c r="H418" s="162"/>
      <c r="J418" s="147"/>
    </row>
    <row r="419" spans="5:10" ht="12.75" customHeight="1">
      <c r="E419" s="162"/>
      <c r="F419" s="162"/>
      <c r="G419" s="163"/>
      <c r="H419" s="162"/>
      <c r="J419" s="147"/>
    </row>
    <row r="420" spans="5:10" ht="12.75" customHeight="1">
      <c r="E420" s="162"/>
      <c r="F420" s="162"/>
      <c r="G420" s="163"/>
      <c r="H420" s="162"/>
      <c r="J420" s="147"/>
    </row>
    <row r="421" spans="5:10" ht="12.75" customHeight="1">
      <c r="E421" s="162"/>
      <c r="F421" s="162"/>
      <c r="G421" s="163"/>
      <c r="H421" s="162"/>
      <c r="J421" s="147"/>
    </row>
    <row r="422" spans="5:10" ht="12.75" customHeight="1">
      <c r="E422" s="162"/>
      <c r="F422" s="162"/>
      <c r="G422" s="163"/>
      <c r="H422" s="162"/>
      <c r="J422" s="147"/>
    </row>
    <row r="423" spans="5:10" ht="12.75" customHeight="1">
      <c r="E423" s="162"/>
      <c r="F423" s="162"/>
      <c r="G423" s="163"/>
      <c r="H423" s="162"/>
      <c r="J423" s="147"/>
    </row>
    <row r="424" spans="5:10" ht="12.75" customHeight="1">
      <c r="E424" s="162"/>
      <c r="F424" s="162"/>
      <c r="G424" s="163"/>
      <c r="H424" s="162"/>
      <c r="J424" s="147"/>
    </row>
    <row r="425" spans="5:10" ht="12.75" customHeight="1">
      <c r="E425" s="162"/>
      <c r="F425" s="162"/>
      <c r="G425" s="163"/>
      <c r="H425" s="162"/>
      <c r="J425" s="147"/>
    </row>
    <row r="426" spans="5:10" ht="12.75" customHeight="1">
      <c r="E426" s="162"/>
      <c r="F426" s="162"/>
      <c r="G426" s="163"/>
      <c r="H426" s="162"/>
      <c r="J426" s="147"/>
    </row>
    <row r="427" spans="5:10" ht="12.75" customHeight="1">
      <c r="E427" s="162"/>
      <c r="F427" s="162"/>
      <c r="G427" s="163"/>
      <c r="H427" s="162"/>
      <c r="J427" s="147"/>
    </row>
    <row r="428" spans="5:10" ht="12.75" customHeight="1">
      <c r="E428" s="162"/>
      <c r="F428" s="162"/>
      <c r="G428" s="163"/>
      <c r="H428" s="162"/>
      <c r="J428" s="147"/>
    </row>
    <row r="429" spans="5:10" ht="12.75" customHeight="1">
      <c r="E429" s="162"/>
      <c r="F429" s="162"/>
      <c r="G429" s="163"/>
      <c r="H429" s="162"/>
      <c r="J429" s="147"/>
    </row>
    <row r="430" spans="5:10" ht="12.75" customHeight="1">
      <c r="E430" s="162"/>
      <c r="F430" s="162"/>
      <c r="G430" s="163"/>
      <c r="H430" s="162"/>
      <c r="J430" s="147"/>
    </row>
    <row r="431" spans="5:10" ht="12.75" customHeight="1">
      <c r="E431" s="162"/>
      <c r="F431" s="162"/>
      <c r="G431" s="163"/>
      <c r="H431" s="162"/>
      <c r="J431" s="147"/>
    </row>
    <row r="432" spans="5:10" ht="12.75" customHeight="1">
      <c r="E432" s="162"/>
      <c r="F432" s="162"/>
      <c r="G432" s="163"/>
      <c r="H432" s="162"/>
      <c r="J432" s="147"/>
    </row>
    <row r="433" spans="5:10" ht="12.75" customHeight="1">
      <c r="E433" s="162"/>
      <c r="F433" s="162"/>
      <c r="G433" s="163"/>
      <c r="H433" s="162"/>
      <c r="J433" s="147"/>
    </row>
    <row r="434" spans="5:10" ht="12.75" customHeight="1">
      <c r="E434" s="162"/>
      <c r="F434" s="162"/>
      <c r="G434" s="163"/>
      <c r="H434" s="162"/>
      <c r="J434" s="147"/>
    </row>
    <row r="435" spans="5:10" ht="12.75" customHeight="1">
      <c r="E435" s="162"/>
      <c r="F435" s="162"/>
      <c r="G435" s="163"/>
      <c r="H435" s="162"/>
      <c r="J435" s="147"/>
    </row>
    <row r="436" spans="5:10" ht="12.75" customHeight="1">
      <c r="E436" s="162"/>
      <c r="F436" s="162"/>
      <c r="G436" s="163"/>
      <c r="H436" s="162"/>
      <c r="J436" s="147"/>
    </row>
    <row r="437" spans="5:10" ht="12.75" customHeight="1">
      <c r="E437" s="162"/>
      <c r="F437" s="162"/>
      <c r="G437" s="163"/>
      <c r="H437" s="162"/>
      <c r="J437" s="147"/>
    </row>
    <row r="438" spans="5:10" ht="12.75" customHeight="1">
      <c r="E438" s="162"/>
      <c r="F438" s="162"/>
      <c r="G438" s="163"/>
      <c r="H438" s="162"/>
      <c r="J438" s="147"/>
    </row>
    <row r="439" spans="5:10" ht="12.75" customHeight="1">
      <c r="E439" s="162"/>
      <c r="F439" s="162"/>
      <c r="G439" s="163"/>
      <c r="H439" s="162"/>
      <c r="J439" s="147"/>
    </row>
    <row r="440" spans="5:10" ht="12.75" customHeight="1">
      <c r="E440" s="162"/>
      <c r="F440" s="162"/>
      <c r="G440" s="163"/>
      <c r="H440" s="162"/>
      <c r="J440" s="147"/>
    </row>
    <row r="441" spans="5:10" ht="12.75" customHeight="1">
      <c r="E441" s="162"/>
      <c r="F441" s="162"/>
      <c r="G441" s="163"/>
      <c r="H441" s="162"/>
      <c r="J441" s="147"/>
    </row>
    <row r="442" spans="5:10" ht="12.75" customHeight="1">
      <c r="E442" s="162"/>
      <c r="F442" s="162"/>
      <c r="G442" s="163"/>
      <c r="H442" s="162"/>
      <c r="J442" s="147"/>
    </row>
    <row r="443" spans="5:10" ht="12.75" customHeight="1">
      <c r="E443" s="162"/>
      <c r="F443" s="162"/>
      <c r="G443" s="163"/>
      <c r="H443" s="162"/>
      <c r="J443" s="147"/>
    </row>
    <row r="444" spans="5:10" ht="12.75" customHeight="1">
      <c r="E444" s="162"/>
      <c r="F444" s="162"/>
      <c r="G444" s="163"/>
      <c r="H444" s="162"/>
      <c r="J444" s="147"/>
    </row>
    <row r="445" spans="5:10" ht="12.75" customHeight="1">
      <c r="E445" s="162"/>
      <c r="F445" s="162"/>
      <c r="G445" s="163"/>
      <c r="H445" s="162"/>
      <c r="J445" s="147"/>
    </row>
    <row r="446" spans="5:10" ht="12.75" customHeight="1">
      <c r="E446" s="162"/>
      <c r="F446" s="162"/>
      <c r="G446" s="163"/>
      <c r="H446" s="162"/>
      <c r="J446" s="147"/>
    </row>
    <row r="447" spans="5:10" ht="12.75" customHeight="1">
      <c r="E447" s="162"/>
      <c r="F447" s="162"/>
      <c r="G447" s="163"/>
      <c r="H447" s="162"/>
      <c r="J447" s="147"/>
    </row>
    <row r="448" spans="5:10" ht="12.75" customHeight="1">
      <c r="E448" s="162"/>
      <c r="F448" s="162"/>
      <c r="G448" s="163"/>
      <c r="H448" s="162"/>
      <c r="J448" s="147"/>
    </row>
    <row r="449" spans="5:10" ht="12.75" customHeight="1">
      <c r="E449" s="162"/>
      <c r="F449" s="162"/>
      <c r="G449" s="163"/>
      <c r="H449" s="162"/>
      <c r="J449" s="147"/>
    </row>
    <row r="450" spans="5:10" ht="12.75" customHeight="1">
      <c r="E450" s="162"/>
      <c r="F450" s="162"/>
      <c r="G450" s="163"/>
      <c r="H450" s="162"/>
      <c r="J450" s="147"/>
    </row>
    <row r="451" spans="5:10" ht="12.75" customHeight="1">
      <c r="E451" s="162"/>
      <c r="F451" s="162"/>
      <c r="G451" s="163"/>
      <c r="H451" s="162"/>
      <c r="J451" s="147"/>
    </row>
    <row r="452" spans="5:10" ht="12.75" customHeight="1">
      <c r="E452" s="162"/>
      <c r="F452" s="162"/>
      <c r="G452" s="163"/>
      <c r="H452" s="162"/>
      <c r="J452" s="147"/>
    </row>
    <row r="453" spans="5:10" ht="12.75" customHeight="1">
      <c r="E453" s="162"/>
      <c r="F453" s="162"/>
      <c r="G453" s="163"/>
      <c r="H453" s="162"/>
      <c r="J453" s="147"/>
    </row>
    <row r="454" spans="5:10" ht="12.75" customHeight="1">
      <c r="E454" s="162"/>
      <c r="F454" s="162"/>
      <c r="G454" s="163"/>
      <c r="H454" s="162"/>
      <c r="J454" s="147"/>
    </row>
    <row r="455" spans="5:10" ht="12.75" customHeight="1">
      <c r="E455" s="162"/>
      <c r="F455" s="162"/>
      <c r="G455" s="163"/>
      <c r="H455" s="162"/>
      <c r="J455" s="147"/>
    </row>
    <row r="456" spans="5:10" ht="12.75" customHeight="1">
      <c r="E456" s="162"/>
      <c r="F456" s="162"/>
      <c r="G456" s="163"/>
      <c r="H456" s="162"/>
      <c r="J456" s="147"/>
    </row>
    <row r="457" spans="5:10" ht="12.75" customHeight="1">
      <c r="E457" s="162"/>
      <c r="F457" s="162"/>
      <c r="G457" s="163"/>
      <c r="H457" s="162"/>
      <c r="J457" s="147"/>
    </row>
    <row r="458" spans="5:10" ht="12.75" customHeight="1">
      <c r="E458" s="162"/>
      <c r="F458" s="162"/>
      <c r="G458" s="163"/>
      <c r="H458" s="162"/>
      <c r="J458" s="147"/>
    </row>
    <row r="459" spans="5:10" ht="12.75" customHeight="1">
      <c r="E459" s="162"/>
      <c r="F459" s="162"/>
      <c r="G459" s="163"/>
      <c r="H459" s="162"/>
      <c r="J459" s="147"/>
    </row>
    <row r="460" spans="5:10" ht="12.75" customHeight="1">
      <c r="E460" s="162"/>
      <c r="F460" s="162"/>
      <c r="G460" s="163"/>
      <c r="H460" s="162"/>
      <c r="J460" s="147"/>
    </row>
    <row r="461" spans="5:10" ht="12.75" customHeight="1">
      <c r="E461" s="162"/>
      <c r="F461" s="162"/>
      <c r="G461" s="163"/>
      <c r="H461" s="162"/>
      <c r="J461" s="147"/>
    </row>
    <row r="462" spans="5:10" ht="12.75" customHeight="1">
      <c r="E462" s="162"/>
      <c r="F462" s="162"/>
      <c r="G462" s="163"/>
      <c r="H462" s="162"/>
      <c r="J462" s="147"/>
    </row>
    <row r="463" spans="5:10" ht="12.75" customHeight="1">
      <c r="E463" s="162"/>
      <c r="F463" s="162"/>
      <c r="G463" s="163"/>
      <c r="H463" s="162"/>
      <c r="J463" s="147"/>
    </row>
    <row r="464" spans="5:10" ht="12.75" customHeight="1">
      <c r="E464" s="162"/>
      <c r="F464" s="162"/>
      <c r="G464" s="163"/>
      <c r="H464" s="162"/>
      <c r="J464" s="147"/>
    </row>
    <row r="465" spans="5:10" ht="12.75" customHeight="1">
      <c r="E465" s="162"/>
      <c r="F465" s="162"/>
      <c r="G465" s="163"/>
      <c r="H465" s="162"/>
      <c r="J465" s="147"/>
    </row>
    <row r="466" spans="5:10" ht="12.75" customHeight="1">
      <c r="E466" s="162"/>
      <c r="F466" s="162"/>
      <c r="G466" s="163"/>
      <c r="H466" s="162"/>
      <c r="J466" s="147"/>
    </row>
    <row r="467" spans="5:10" ht="12.75" customHeight="1">
      <c r="E467" s="162"/>
      <c r="F467" s="162"/>
      <c r="G467" s="163"/>
      <c r="H467" s="162"/>
      <c r="J467" s="147"/>
    </row>
    <row r="468" spans="5:10" ht="12.75" customHeight="1">
      <c r="E468" s="162"/>
      <c r="F468" s="162"/>
      <c r="G468" s="163"/>
      <c r="H468" s="162"/>
      <c r="J468" s="147"/>
    </row>
    <row r="469" spans="5:10" ht="12.75" customHeight="1">
      <c r="E469" s="162"/>
      <c r="F469" s="162"/>
      <c r="G469" s="163"/>
      <c r="H469" s="162"/>
      <c r="J469" s="147"/>
    </row>
    <row r="470" spans="5:10" ht="12.75" customHeight="1">
      <c r="E470" s="162"/>
      <c r="F470" s="162"/>
      <c r="G470" s="163"/>
      <c r="H470" s="162"/>
      <c r="J470" s="147"/>
    </row>
    <row r="471" spans="5:10" ht="12.75" customHeight="1">
      <c r="E471" s="162"/>
      <c r="F471" s="162"/>
      <c r="G471" s="163"/>
      <c r="H471" s="162"/>
      <c r="J471" s="147"/>
    </row>
    <row r="472" spans="5:10" ht="12.75" customHeight="1">
      <c r="E472" s="162"/>
      <c r="F472" s="162"/>
      <c r="G472" s="163"/>
      <c r="H472" s="162"/>
      <c r="J472" s="147"/>
    </row>
    <row r="473" spans="5:10" ht="12.75" customHeight="1">
      <c r="E473" s="162"/>
      <c r="F473" s="162"/>
      <c r="G473" s="163"/>
      <c r="H473" s="162"/>
      <c r="J473" s="147"/>
    </row>
    <row r="474" spans="5:10" ht="12.75" customHeight="1">
      <c r="E474" s="162"/>
      <c r="F474" s="162"/>
      <c r="G474" s="163"/>
      <c r="H474" s="162"/>
      <c r="J474" s="147"/>
    </row>
    <row r="475" spans="5:10" ht="12.75" customHeight="1">
      <c r="E475" s="162"/>
      <c r="F475" s="162"/>
      <c r="G475" s="163"/>
      <c r="H475" s="162"/>
      <c r="J475" s="147"/>
    </row>
    <row r="476" spans="5:10" ht="12.75" customHeight="1">
      <c r="E476" s="162"/>
      <c r="F476" s="162"/>
      <c r="G476" s="163"/>
      <c r="H476" s="162"/>
      <c r="J476" s="147"/>
    </row>
    <row r="477" spans="5:10" ht="12.75" customHeight="1">
      <c r="E477" s="162"/>
      <c r="F477" s="162"/>
      <c r="G477" s="163"/>
      <c r="H477" s="162"/>
      <c r="J477" s="147"/>
    </row>
    <row r="478" spans="5:10" ht="12.75" customHeight="1">
      <c r="E478" s="162"/>
      <c r="F478" s="162"/>
      <c r="G478" s="163"/>
      <c r="H478" s="162"/>
      <c r="J478" s="147"/>
    </row>
    <row r="479" spans="5:10" ht="12.75" customHeight="1">
      <c r="E479" s="162"/>
      <c r="F479" s="162"/>
      <c r="G479" s="163"/>
      <c r="H479" s="162"/>
      <c r="J479" s="147"/>
    </row>
    <row r="480" spans="5:10" ht="12.75" customHeight="1">
      <c r="E480" s="162"/>
      <c r="F480" s="162"/>
      <c r="G480" s="163"/>
      <c r="H480" s="162"/>
      <c r="J480" s="147"/>
    </row>
    <row r="481" spans="5:10" ht="12.75" customHeight="1">
      <c r="E481" s="162"/>
      <c r="F481" s="162"/>
      <c r="G481" s="163"/>
      <c r="H481" s="162"/>
      <c r="J481" s="147"/>
    </row>
    <row r="482" spans="5:10" ht="12.75" customHeight="1">
      <c r="E482" s="162"/>
      <c r="F482" s="162"/>
      <c r="G482" s="163"/>
      <c r="H482" s="162"/>
      <c r="J482" s="147"/>
    </row>
    <row r="483" spans="5:10" ht="12.75" customHeight="1">
      <c r="E483" s="162"/>
      <c r="F483" s="162"/>
      <c r="G483" s="163"/>
      <c r="H483" s="162"/>
      <c r="J483" s="147"/>
    </row>
    <row r="484" spans="5:10" ht="12.75" customHeight="1">
      <c r="E484" s="162"/>
      <c r="F484" s="162"/>
      <c r="G484" s="163"/>
      <c r="H484" s="162"/>
      <c r="J484" s="147"/>
    </row>
    <row r="485" spans="5:10" ht="12.75" customHeight="1">
      <c r="E485" s="162"/>
      <c r="F485" s="162"/>
      <c r="G485" s="163"/>
      <c r="H485" s="162"/>
      <c r="J485" s="147"/>
    </row>
    <row r="486" spans="5:10" ht="12.75" customHeight="1">
      <c r="E486" s="162"/>
      <c r="F486" s="162"/>
      <c r="G486" s="163"/>
      <c r="H486" s="162"/>
      <c r="J486" s="147"/>
    </row>
    <row r="487" spans="5:10" ht="12.75" customHeight="1">
      <c r="E487" s="162"/>
      <c r="F487" s="162"/>
      <c r="G487" s="163"/>
      <c r="H487" s="162"/>
      <c r="J487" s="147"/>
    </row>
    <row r="488" spans="5:10" ht="12.75" customHeight="1">
      <c r="E488" s="162"/>
      <c r="F488" s="162"/>
      <c r="G488" s="163"/>
      <c r="H488" s="162"/>
      <c r="J488" s="147"/>
    </row>
    <row r="489" spans="5:10" ht="12.75" customHeight="1">
      <c r="E489" s="162"/>
      <c r="F489" s="162"/>
      <c r="G489" s="163"/>
      <c r="H489" s="162"/>
      <c r="J489" s="147"/>
    </row>
    <row r="490" spans="5:10" ht="12.75" customHeight="1">
      <c r="E490" s="162"/>
      <c r="F490" s="162"/>
      <c r="G490" s="163"/>
      <c r="H490" s="162"/>
      <c r="J490" s="147"/>
    </row>
    <row r="491" spans="5:10" ht="12.75" customHeight="1">
      <c r="E491" s="162"/>
      <c r="F491" s="162"/>
      <c r="G491" s="163"/>
      <c r="H491" s="162"/>
      <c r="J491" s="147"/>
    </row>
    <row r="492" spans="5:10" ht="12.75" customHeight="1">
      <c r="E492" s="162"/>
      <c r="F492" s="162"/>
      <c r="G492" s="163"/>
      <c r="H492" s="162"/>
      <c r="J492" s="147"/>
    </row>
    <row r="493" spans="5:10" ht="12.75" customHeight="1">
      <c r="E493" s="162"/>
      <c r="F493" s="162"/>
      <c r="G493" s="163"/>
      <c r="H493" s="162"/>
      <c r="J493" s="147"/>
    </row>
    <row r="494" spans="5:10" ht="12.75" customHeight="1">
      <c r="E494" s="162"/>
      <c r="F494" s="162"/>
      <c r="G494" s="163"/>
      <c r="H494" s="162"/>
      <c r="J494" s="147"/>
    </row>
    <row r="495" spans="5:10" ht="12.75" customHeight="1">
      <c r="E495" s="162"/>
      <c r="F495" s="162"/>
      <c r="G495" s="163"/>
      <c r="H495" s="162"/>
      <c r="J495" s="147"/>
    </row>
    <row r="496" spans="5:10" ht="12.75" customHeight="1">
      <c r="E496" s="162"/>
      <c r="F496" s="162"/>
      <c r="G496" s="163"/>
      <c r="H496" s="162"/>
      <c r="J496" s="147"/>
    </row>
    <row r="497" spans="5:10" ht="12.75" customHeight="1">
      <c r="E497" s="162"/>
      <c r="F497" s="162"/>
      <c r="G497" s="163"/>
      <c r="H497" s="162"/>
      <c r="J497" s="147"/>
    </row>
    <row r="498" spans="5:10" ht="12.75" customHeight="1">
      <c r="E498" s="162"/>
      <c r="F498" s="162"/>
      <c r="G498" s="163"/>
      <c r="H498" s="162"/>
      <c r="J498" s="147"/>
    </row>
    <row r="499" spans="5:10" ht="12.75" customHeight="1">
      <c r="E499" s="162"/>
      <c r="F499" s="162"/>
      <c r="G499" s="163"/>
      <c r="H499" s="162"/>
      <c r="J499" s="147"/>
    </row>
    <row r="500" spans="5:10" ht="12.75" customHeight="1">
      <c r="E500" s="162"/>
      <c r="F500" s="162"/>
      <c r="G500" s="163"/>
      <c r="H500" s="162"/>
      <c r="J500" s="147"/>
    </row>
    <row r="501" spans="5:10" ht="12.75" customHeight="1">
      <c r="E501" s="162"/>
      <c r="F501" s="162"/>
      <c r="G501" s="163"/>
      <c r="H501" s="162"/>
      <c r="J501" s="147"/>
    </row>
    <row r="502" spans="5:10" ht="12.75" customHeight="1">
      <c r="E502" s="162"/>
      <c r="F502" s="162"/>
      <c r="G502" s="163"/>
      <c r="H502" s="162"/>
      <c r="J502" s="147"/>
    </row>
    <row r="503" spans="5:10" ht="12.75" customHeight="1">
      <c r="E503" s="162"/>
      <c r="F503" s="162"/>
      <c r="G503" s="163"/>
      <c r="H503" s="162"/>
      <c r="J503" s="147"/>
    </row>
    <row r="504" spans="5:10" ht="12.75" customHeight="1">
      <c r="E504" s="162"/>
      <c r="F504" s="162"/>
      <c r="G504" s="163"/>
      <c r="H504" s="162"/>
      <c r="J504" s="147"/>
    </row>
    <row r="505" spans="5:10" ht="12.75" customHeight="1">
      <c r="E505" s="162"/>
      <c r="F505" s="162"/>
      <c r="G505" s="163"/>
      <c r="H505" s="162"/>
      <c r="J505" s="147"/>
    </row>
    <row r="506" spans="5:10" ht="12.75" customHeight="1">
      <c r="E506" s="162"/>
      <c r="F506" s="162"/>
      <c r="G506" s="163"/>
      <c r="H506" s="162"/>
      <c r="J506" s="147"/>
    </row>
    <row r="507" spans="5:10" ht="12.75" customHeight="1">
      <c r="E507" s="162"/>
      <c r="F507" s="162"/>
      <c r="G507" s="163"/>
      <c r="H507" s="162"/>
      <c r="J507" s="147"/>
    </row>
    <row r="508" spans="5:10" ht="12.75" customHeight="1">
      <c r="E508" s="162"/>
      <c r="F508" s="162"/>
      <c r="G508" s="163"/>
      <c r="H508" s="162"/>
      <c r="J508" s="147"/>
    </row>
    <row r="509" spans="5:10" ht="12.75" customHeight="1">
      <c r="E509" s="162"/>
      <c r="F509" s="162"/>
      <c r="G509" s="163"/>
      <c r="H509" s="162"/>
      <c r="J509" s="147"/>
    </row>
    <row r="510" spans="5:10" ht="12.75" customHeight="1">
      <c r="E510" s="162"/>
      <c r="F510" s="162"/>
      <c r="G510" s="163"/>
      <c r="H510" s="162"/>
      <c r="J510" s="147"/>
    </row>
    <row r="511" spans="5:10" ht="12.75" customHeight="1">
      <c r="E511" s="162"/>
      <c r="F511" s="162"/>
      <c r="G511" s="163"/>
      <c r="H511" s="162"/>
      <c r="J511" s="147"/>
    </row>
    <row r="512" spans="5:10" ht="12.75" customHeight="1">
      <c r="E512" s="162"/>
      <c r="F512" s="162"/>
      <c r="G512" s="163"/>
      <c r="H512" s="162"/>
      <c r="J512" s="147"/>
    </row>
    <row r="513" spans="5:10" ht="12.75" customHeight="1">
      <c r="E513" s="162"/>
      <c r="F513" s="162"/>
      <c r="G513" s="163"/>
      <c r="H513" s="162"/>
      <c r="J513" s="147"/>
    </row>
    <row r="514" spans="5:10" ht="12.75" customHeight="1">
      <c r="E514" s="162"/>
      <c r="F514" s="162"/>
      <c r="G514" s="163"/>
      <c r="H514" s="162"/>
      <c r="J514" s="147"/>
    </row>
    <row r="515" spans="5:10" ht="12.75" customHeight="1">
      <c r="E515" s="162"/>
      <c r="F515" s="162"/>
      <c r="G515" s="163"/>
      <c r="H515" s="162"/>
      <c r="J515" s="147"/>
    </row>
    <row r="516" spans="5:10" ht="12.75" customHeight="1">
      <c r="E516" s="162"/>
      <c r="F516" s="162"/>
      <c r="G516" s="163"/>
      <c r="H516" s="162"/>
      <c r="J516" s="147"/>
    </row>
    <row r="517" spans="5:10" ht="12.75" customHeight="1">
      <c r="E517" s="162"/>
      <c r="F517" s="162"/>
      <c r="G517" s="163"/>
      <c r="H517" s="162"/>
      <c r="J517" s="147"/>
    </row>
    <row r="518" spans="5:10" ht="12.75" customHeight="1">
      <c r="E518" s="162"/>
      <c r="F518" s="162"/>
      <c r="G518" s="163"/>
      <c r="H518" s="162"/>
      <c r="J518" s="147"/>
    </row>
    <row r="519" spans="5:10" ht="12.75" customHeight="1">
      <c r="E519" s="162"/>
      <c r="F519" s="162"/>
      <c r="G519" s="163"/>
      <c r="H519" s="162"/>
      <c r="J519" s="147"/>
    </row>
    <row r="520" spans="5:10" ht="12.75" customHeight="1">
      <c r="E520" s="162"/>
      <c r="F520" s="162"/>
      <c r="G520" s="163"/>
      <c r="H520" s="162"/>
      <c r="J520" s="147"/>
    </row>
    <row r="521" spans="5:10" ht="12.75" customHeight="1">
      <c r="E521" s="162"/>
      <c r="F521" s="162"/>
      <c r="G521" s="163"/>
      <c r="H521" s="162"/>
      <c r="J521" s="147"/>
    </row>
    <row r="522" spans="5:10" ht="12.75" customHeight="1">
      <c r="E522" s="162"/>
      <c r="F522" s="162"/>
      <c r="G522" s="163"/>
      <c r="H522" s="162"/>
      <c r="J522" s="147"/>
    </row>
    <row r="523" spans="5:10" ht="12.75" customHeight="1">
      <c r="E523" s="162"/>
      <c r="F523" s="162"/>
      <c r="G523" s="163"/>
      <c r="H523" s="162"/>
      <c r="J523" s="147"/>
    </row>
    <row r="524" spans="5:10" ht="12.75" customHeight="1">
      <c r="E524" s="162"/>
      <c r="F524" s="162"/>
      <c r="G524" s="163"/>
      <c r="H524" s="162"/>
      <c r="J524" s="147"/>
    </row>
    <row r="525" spans="5:10" ht="12.75" customHeight="1">
      <c r="E525" s="162"/>
      <c r="F525" s="162"/>
      <c r="G525" s="163"/>
      <c r="H525" s="162"/>
      <c r="J525" s="147"/>
    </row>
    <row r="526" spans="5:10" ht="12.75" customHeight="1">
      <c r="E526" s="162"/>
      <c r="F526" s="162"/>
      <c r="G526" s="163"/>
      <c r="H526" s="162"/>
      <c r="J526" s="147"/>
    </row>
    <row r="527" spans="5:10" ht="12.75" customHeight="1">
      <c r="E527" s="162"/>
      <c r="F527" s="162"/>
      <c r="G527" s="163"/>
      <c r="H527" s="162"/>
      <c r="J527" s="147"/>
    </row>
    <row r="528" spans="5:10" ht="12.75" customHeight="1">
      <c r="E528" s="162"/>
      <c r="F528" s="162"/>
      <c r="G528" s="163"/>
      <c r="H528" s="162"/>
      <c r="J528" s="147"/>
    </row>
    <row r="529" spans="5:10" ht="12.75" customHeight="1">
      <c r="E529" s="162"/>
      <c r="F529" s="162"/>
      <c r="G529" s="163"/>
      <c r="H529" s="162"/>
      <c r="J529" s="147"/>
    </row>
    <row r="530" spans="5:10" ht="12.75" customHeight="1">
      <c r="E530" s="162"/>
      <c r="F530" s="162"/>
      <c r="G530" s="163"/>
      <c r="H530" s="162"/>
      <c r="J530" s="147"/>
    </row>
    <row r="531" spans="5:10" ht="12.75" customHeight="1">
      <c r="E531" s="162"/>
      <c r="F531" s="162"/>
      <c r="G531" s="163"/>
      <c r="H531" s="162"/>
      <c r="J531" s="147"/>
    </row>
    <row r="532" spans="5:10" ht="12.75" customHeight="1">
      <c r="E532" s="162"/>
      <c r="F532" s="162"/>
      <c r="G532" s="163"/>
      <c r="H532" s="162"/>
      <c r="J532" s="147"/>
    </row>
    <row r="533" spans="5:10" ht="12.75" customHeight="1">
      <c r="E533" s="162"/>
      <c r="F533" s="162"/>
      <c r="G533" s="163"/>
      <c r="H533" s="162"/>
      <c r="J533" s="147"/>
    </row>
    <row r="534" spans="5:10" ht="12.75" customHeight="1">
      <c r="E534" s="162"/>
      <c r="F534" s="162"/>
      <c r="G534" s="163"/>
      <c r="H534" s="162"/>
      <c r="J534" s="147"/>
    </row>
    <row r="535" spans="5:10" ht="12.75" customHeight="1">
      <c r="E535" s="162"/>
      <c r="F535" s="162"/>
      <c r="G535" s="163"/>
      <c r="H535" s="162"/>
      <c r="J535" s="147"/>
    </row>
    <row r="536" spans="5:10" ht="12.75" customHeight="1">
      <c r="E536" s="162"/>
      <c r="F536" s="162"/>
      <c r="G536" s="163"/>
      <c r="H536" s="162"/>
      <c r="J536" s="147"/>
    </row>
    <row r="537" spans="5:10" ht="12.75" customHeight="1">
      <c r="E537" s="162"/>
      <c r="F537" s="162"/>
      <c r="G537" s="163"/>
      <c r="H537" s="162"/>
      <c r="J537" s="147"/>
    </row>
    <row r="538" spans="5:10" ht="12.75" customHeight="1">
      <c r="E538" s="162"/>
      <c r="F538" s="162"/>
      <c r="G538" s="163"/>
      <c r="H538" s="162"/>
      <c r="J538" s="147"/>
    </row>
    <row r="539" spans="5:10" ht="12.75" customHeight="1">
      <c r="E539" s="162"/>
      <c r="F539" s="162"/>
      <c r="G539" s="163"/>
      <c r="H539" s="162"/>
      <c r="J539" s="147"/>
    </row>
    <row r="540" spans="5:10" ht="12.75" customHeight="1">
      <c r="E540" s="162"/>
      <c r="F540" s="162"/>
      <c r="G540" s="163"/>
      <c r="H540" s="162"/>
      <c r="J540" s="147"/>
    </row>
    <row r="541" spans="5:10" ht="12.75" customHeight="1">
      <c r="E541" s="162"/>
      <c r="F541" s="162"/>
      <c r="G541" s="163"/>
      <c r="H541" s="162"/>
      <c r="J541" s="147"/>
    </row>
    <row r="542" spans="5:10" ht="12.75" customHeight="1">
      <c r="E542" s="162"/>
      <c r="F542" s="162"/>
      <c r="G542" s="163"/>
      <c r="H542" s="162"/>
      <c r="J542" s="147"/>
    </row>
    <row r="543" spans="5:10" ht="12.75" customHeight="1">
      <c r="E543" s="162"/>
      <c r="F543" s="162"/>
      <c r="G543" s="163"/>
      <c r="H543" s="162"/>
      <c r="J543" s="147"/>
    </row>
    <row r="544" spans="5:10" ht="12.75" customHeight="1">
      <c r="E544" s="162"/>
      <c r="F544" s="162"/>
      <c r="G544" s="163"/>
      <c r="H544" s="162"/>
      <c r="J544" s="147"/>
    </row>
    <row r="545" spans="5:10" ht="12.75" customHeight="1">
      <c r="E545" s="162"/>
      <c r="F545" s="162"/>
      <c r="G545" s="163"/>
      <c r="H545" s="162"/>
      <c r="J545" s="147"/>
    </row>
    <row r="546" spans="5:10" ht="12.75" customHeight="1">
      <c r="E546" s="162"/>
      <c r="F546" s="162"/>
      <c r="G546" s="163"/>
      <c r="H546" s="162"/>
      <c r="J546" s="147"/>
    </row>
    <row r="547" spans="5:10" ht="12.75" customHeight="1">
      <c r="E547" s="162"/>
      <c r="F547" s="162"/>
      <c r="G547" s="163"/>
      <c r="H547" s="162"/>
      <c r="J547" s="147"/>
    </row>
    <row r="548" spans="5:10" ht="12.75" customHeight="1">
      <c r="E548" s="162"/>
      <c r="F548" s="162"/>
      <c r="G548" s="163"/>
      <c r="H548" s="162"/>
      <c r="J548" s="147"/>
    </row>
    <row r="549" spans="5:10" ht="12.75" customHeight="1">
      <c r="E549" s="162"/>
      <c r="F549" s="162"/>
      <c r="G549" s="163"/>
      <c r="H549" s="162"/>
      <c r="J549" s="147"/>
    </row>
    <row r="550" spans="5:10" ht="12.75" customHeight="1">
      <c r="E550" s="162"/>
      <c r="F550" s="162"/>
      <c r="G550" s="163"/>
      <c r="H550" s="162"/>
      <c r="J550" s="147"/>
    </row>
    <row r="551" spans="5:10" ht="12.75" customHeight="1">
      <c r="E551" s="162"/>
      <c r="F551" s="162"/>
      <c r="G551" s="163"/>
      <c r="H551" s="162"/>
      <c r="J551" s="147"/>
    </row>
    <row r="552" spans="5:10" ht="12.75" customHeight="1">
      <c r="E552" s="162"/>
      <c r="F552" s="162"/>
      <c r="G552" s="163"/>
      <c r="H552" s="162"/>
      <c r="J552" s="147"/>
    </row>
    <row r="553" spans="5:10" ht="12.75" customHeight="1">
      <c r="E553" s="162"/>
      <c r="F553" s="162"/>
      <c r="G553" s="163"/>
      <c r="H553" s="162"/>
      <c r="J553" s="147"/>
    </row>
    <row r="554" spans="5:10" ht="12.75" customHeight="1">
      <c r="E554" s="162"/>
      <c r="F554" s="162"/>
      <c r="G554" s="163"/>
      <c r="H554" s="162"/>
      <c r="J554" s="147"/>
    </row>
    <row r="555" spans="5:10" ht="12.75" customHeight="1">
      <c r="E555" s="162"/>
      <c r="F555" s="162"/>
      <c r="G555" s="163"/>
      <c r="H555" s="162"/>
      <c r="J555" s="147"/>
    </row>
    <row r="556" spans="5:10" ht="12.75" customHeight="1">
      <c r="E556" s="162"/>
      <c r="F556" s="162"/>
      <c r="G556" s="163"/>
      <c r="H556" s="162"/>
      <c r="J556" s="147"/>
    </row>
    <row r="557" spans="5:10" ht="12.75" customHeight="1">
      <c r="E557" s="162"/>
      <c r="F557" s="162"/>
      <c r="G557" s="163"/>
      <c r="H557" s="162"/>
      <c r="J557" s="147"/>
    </row>
    <row r="558" spans="5:10" ht="12.75" customHeight="1">
      <c r="E558" s="162"/>
      <c r="F558" s="162"/>
      <c r="G558" s="163"/>
      <c r="H558" s="162"/>
      <c r="J558" s="147"/>
    </row>
    <row r="559" spans="5:10" ht="12.75" customHeight="1">
      <c r="E559" s="162"/>
      <c r="F559" s="162"/>
      <c r="G559" s="163"/>
      <c r="H559" s="162"/>
      <c r="J559" s="147"/>
    </row>
    <row r="560" spans="5:10" ht="12.75" customHeight="1">
      <c r="E560" s="162"/>
      <c r="F560" s="162"/>
      <c r="G560" s="163"/>
      <c r="H560" s="162"/>
      <c r="J560" s="147"/>
    </row>
    <row r="561" spans="5:10" ht="12.75" customHeight="1">
      <c r="E561" s="162"/>
      <c r="F561" s="162"/>
      <c r="G561" s="163"/>
      <c r="H561" s="162"/>
      <c r="J561" s="147"/>
    </row>
    <row r="562" spans="5:10" ht="12.75" customHeight="1">
      <c r="E562" s="162"/>
      <c r="F562" s="162"/>
      <c r="G562" s="163"/>
      <c r="H562" s="162"/>
      <c r="J562" s="147"/>
    </row>
    <row r="563" spans="5:10" ht="12.75" customHeight="1">
      <c r="E563" s="162"/>
      <c r="F563" s="162"/>
      <c r="G563" s="163"/>
      <c r="H563" s="162"/>
      <c r="J563" s="147"/>
    </row>
    <row r="564" spans="5:10" ht="12.75" customHeight="1">
      <c r="E564" s="162"/>
      <c r="F564" s="162"/>
      <c r="G564" s="163"/>
      <c r="H564" s="162"/>
      <c r="J564" s="147"/>
    </row>
    <row r="565" spans="5:10" ht="12.75" customHeight="1">
      <c r="E565" s="162"/>
      <c r="F565" s="162"/>
      <c r="G565" s="163"/>
      <c r="H565" s="162"/>
      <c r="J565" s="147"/>
    </row>
    <row r="566" spans="5:10" ht="12.75" customHeight="1">
      <c r="E566" s="162"/>
      <c r="F566" s="162"/>
      <c r="G566" s="163"/>
      <c r="H566" s="162"/>
      <c r="J566" s="147"/>
    </row>
    <row r="567" spans="5:10" ht="12.75" customHeight="1">
      <c r="E567" s="162"/>
      <c r="F567" s="162"/>
      <c r="G567" s="163"/>
      <c r="H567" s="162"/>
      <c r="J567" s="147"/>
    </row>
    <row r="568" spans="5:10" ht="12.75" customHeight="1">
      <c r="E568" s="162"/>
      <c r="F568" s="162"/>
      <c r="G568" s="163"/>
      <c r="H568" s="162"/>
      <c r="J568" s="147"/>
    </row>
    <row r="569" spans="5:10" ht="12.75" customHeight="1">
      <c r="E569" s="162"/>
      <c r="F569" s="162"/>
      <c r="G569" s="163"/>
      <c r="H569" s="162"/>
      <c r="J569" s="147"/>
    </row>
    <row r="570" spans="5:10" ht="12.75" customHeight="1">
      <c r="E570" s="162"/>
      <c r="F570" s="162"/>
      <c r="G570" s="163"/>
      <c r="H570" s="162"/>
      <c r="J570" s="147"/>
    </row>
    <row r="571" spans="5:10" ht="12.75" customHeight="1">
      <c r="E571" s="162"/>
      <c r="F571" s="162"/>
      <c r="G571" s="163"/>
      <c r="H571" s="162"/>
      <c r="J571" s="147"/>
    </row>
    <row r="572" spans="5:10" ht="12.75" customHeight="1">
      <c r="E572" s="162"/>
      <c r="F572" s="162"/>
      <c r="G572" s="163"/>
      <c r="H572" s="162"/>
      <c r="J572" s="147"/>
    </row>
    <row r="573" spans="5:10" ht="12.75" customHeight="1">
      <c r="E573" s="162"/>
      <c r="F573" s="162"/>
      <c r="G573" s="163"/>
      <c r="H573" s="162"/>
      <c r="J573" s="147"/>
    </row>
    <row r="574" spans="5:10" ht="12.75" customHeight="1">
      <c r="E574" s="162"/>
      <c r="F574" s="162"/>
      <c r="G574" s="163"/>
      <c r="H574" s="162"/>
      <c r="J574" s="147"/>
    </row>
    <row r="575" spans="5:10" ht="12.75" customHeight="1">
      <c r="E575" s="162"/>
      <c r="F575" s="162"/>
      <c r="G575" s="163"/>
      <c r="H575" s="162"/>
      <c r="J575" s="147"/>
    </row>
    <row r="576" spans="5:10" ht="12.75" customHeight="1">
      <c r="E576" s="162"/>
      <c r="F576" s="162"/>
      <c r="G576" s="163"/>
      <c r="H576" s="162"/>
      <c r="J576" s="147"/>
    </row>
    <row r="577" spans="5:10" ht="12.75" customHeight="1">
      <c r="E577" s="162"/>
      <c r="F577" s="162"/>
      <c r="G577" s="163"/>
      <c r="H577" s="162"/>
      <c r="J577" s="147"/>
    </row>
    <row r="578" spans="5:10" ht="12.75" customHeight="1">
      <c r="E578" s="162"/>
      <c r="F578" s="162"/>
      <c r="G578" s="163"/>
      <c r="H578" s="162"/>
      <c r="J578" s="147"/>
    </row>
    <row r="579" spans="5:10" ht="12.75" customHeight="1">
      <c r="E579" s="162"/>
      <c r="F579" s="162"/>
      <c r="G579" s="163"/>
      <c r="H579" s="162"/>
      <c r="J579" s="147"/>
    </row>
    <row r="580" spans="5:10" ht="12.75" customHeight="1">
      <c r="E580" s="162"/>
      <c r="F580" s="162"/>
      <c r="G580" s="163"/>
      <c r="H580" s="162"/>
      <c r="J580" s="147"/>
    </row>
    <row r="581" spans="5:10" ht="12.75" customHeight="1">
      <c r="E581" s="162"/>
      <c r="F581" s="162"/>
      <c r="G581" s="163"/>
      <c r="H581" s="162"/>
      <c r="J581" s="147"/>
    </row>
    <row r="582" spans="5:10" ht="12.75" customHeight="1">
      <c r="E582" s="162"/>
      <c r="F582" s="162"/>
      <c r="G582" s="163"/>
      <c r="H582" s="162"/>
      <c r="J582" s="147"/>
    </row>
    <row r="583" spans="5:10" ht="12.75" customHeight="1">
      <c r="E583" s="162"/>
      <c r="F583" s="162"/>
      <c r="G583" s="163"/>
      <c r="H583" s="162"/>
      <c r="J583" s="147"/>
    </row>
    <row r="584" spans="5:10" ht="12.75" customHeight="1">
      <c r="E584" s="162"/>
      <c r="F584" s="162"/>
      <c r="G584" s="163"/>
      <c r="H584" s="162"/>
      <c r="J584" s="147"/>
    </row>
    <row r="585" spans="5:10" ht="12.75" customHeight="1">
      <c r="E585" s="162"/>
      <c r="F585" s="162"/>
      <c r="G585" s="163"/>
      <c r="H585" s="162"/>
      <c r="J585" s="147"/>
    </row>
    <row r="586" spans="5:10" ht="12.75" customHeight="1">
      <c r="E586" s="162"/>
      <c r="F586" s="162"/>
      <c r="G586" s="163"/>
      <c r="H586" s="162"/>
      <c r="J586" s="147"/>
    </row>
    <row r="587" spans="5:10" ht="12.75" customHeight="1">
      <c r="E587" s="162"/>
      <c r="F587" s="162"/>
      <c r="G587" s="163"/>
      <c r="H587" s="162"/>
      <c r="J587" s="147"/>
    </row>
    <row r="588" spans="5:10" ht="12.75" customHeight="1">
      <c r="E588" s="162"/>
      <c r="F588" s="162"/>
      <c r="G588" s="163"/>
      <c r="H588" s="162"/>
      <c r="J588" s="147"/>
    </row>
    <row r="589" spans="5:10" ht="12.75" customHeight="1">
      <c r="E589" s="162"/>
      <c r="F589" s="162"/>
      <c r="G589" s="163"/>
      <c r="H589" s="162"/>
      <c r="J589" s="147"/>
    </row>
    <row r="590" spans="5:10" ht="12.75" customHeight="1">
      <c r="E590" s="162"/>
      <c r="F590" s="162"/>
      <c r="G590" s="163"/>
      <c r="H590" s="162"/>
      <c r="J590" s="147"/>
    </row>
    <row r="591" spans="5:10" ht="12.75" customHeight="1">
      <c r="E591" s="162"/>
      <c r="F591" s="162"/>
      <c r="G591" s="163"/>
      <c r="H591" s="162"/>
      <c r="J591" s="147"/>
    </row>
    <row r="592" spans="5:10" ht="12.75" customHeight="1">
      <c r="E592" s="162"/>
      <c r="F592" s="162"/>
      <c r="G592" s="163"/>
      <c r="H592" s="162"/>
      <c r="J592" s="147"/>
    </row>
    <row r="593" spans="5:10" ht="12.75" customHeight="1">
      <c r="E593" s="162"/>
      <c r="F593" s="162"/>
      <c r="G593" s="163"/>
      <c r="H593" s="162"/>
      <c r="J593" s="147"/>
    </row>
    <row r="594" spans="5:10" ht="12.75" customHeight="1">
      <c r="E594" s="162"/>
      <c r="F594" s="162"/>
      <c r="G594" s="163"/>
      <c r="H594" s="162"/>
      <c r="J594" s="147"/>
    </row>
    <row r="595" spans="5:10" ht="12.75" customHeight="1">
      <c r="E595" s="162"/>
      <c r="F595" s="162"/>
      <c r="G595" s="163"/>
      <c r="H595" s="162"/>
      <c r="J595" s="147"/>
    </row>
    <row r="596" spans="5:10" ht="12.75" customHeight="1">
      <c r="E596" s="162"/>
      <c r="F596" s="162"/>
      <c r="G596" s="163"/>
      <c r="H596" s="162"/>
      <c r="J596" s="147"/>
    </row>
    <row r="597" spans="5:10" ht="12.75" customHeight="1">
      <c r="E597" s="162"/>
      <c r="F597" s="162"/>
      <c r="G597" s="163"/>
      <c r="H597" s="162"/>
      <c r="J597" s="147"/>
    </row>
    <row r="598" spans="5:10" ht="12.75" customHeight="1">
      <c r="E598" s="162"/>
      <c r="F598" s="162"/>
      <c r="G598" s="163"/>
      <c r="H598" s="162"/>
      <c r="J598" s="147"/>
    </row>
    <row r="599" spans="5:10" ht="12.75" customHeight="1">
      <c r="E599" s="162"/>
      <c r="F599" s="162"/>
      <c r="G599" s="163"/>
      <c r="H599" s="162"/>
      <c r="J599" s="147"/>
    </row>
    <row r="600" spans="5:10" ht="12.75" customHeight="1">
      <c r="E600" s="162"/>
      <c r="F600" s="162"/>
      <c r="G600" s="163"/>
      <c r="H600" s="162"/>
      <c r="J600" s="147"/>
    </row>
    <row r="601" spans="5:10" ht="12.75" customHeight="1">
      <c r="E601" s="162"/>
      <c r="F601" s="162"/>
      <c r="G601" s="163"/>
      <c r="H601" s="162"/>
      <c r="J601" s="147"/>
    </row>
    <row r="602" spans="5:10" ht="12.75" customHeight="1">
      <c r="E602" s="162"/>
      <c r="F602" s="162"/>
      <c r="G602" s="163"/>
      <c r="H602" s="162"/>
      <c r="J602" s="147"/>
    </row>
    <row r="603" spans="5:10" ht="12.75" customHeight="1">
      <c r="E603" s="162"/>
      <c r="F603" s="162"/>
      <c r="G603" s="163"/>
      <c r="H603" s="162"/>
      <c r="J603" s="147"/>
    </row>
    <row r="604" spans="5:10" ht="12.75" customHeight="1">
      <c r="E604" s="162"/>
      <c r="F604" s="162"/>
      <c r="G604" s="163"/>
      <c r="H604" s="162"/>
      <c r="J604" s="147"/>
    </row>
    <row r="605" spans="5:10" ht="12.75" customHeight="1">
      <c r="E605" s="162"/>
      <c r="F605" s="162"/>
      <c r="G605" s="163"/>
      <c r="H605" s="162"/>
      <c r="J605" s="147"/>
    </row>
    <row r="606" spans="5:10" ht="12.75" customHeight="1">
      <c r="E606" s="162"/>
      <c r="F606" s="162"/>
      <c r="G606" s="163"/>
      <c r="H606" s="162"/>
      <c r="J606" s="147"/>
    </row>
    <row r="607" spans="5:10" ht="12.75" customHeight="1">
      <c r="E607" s="162"/>
      <c r="F607" s="162"/>
      <c r="G607" s="163"/>
      <c r="H607" s="162"/>
      <c r="J607" s="147"/>
    </row>
    <row r="608" spans="5:10" ht="12.75" customHeight="1">
      <c r="E608" s="162"/>
      <c r="F608" s="162"/>
      <c r="G608" s="163"/>
      <c r="H608" s="162"/>
      <c r="J608" s="147"/>
    </row>
    <row r="609" spans="5:10" ht="12.75" customHeight="1">
      <c r="E609" s="162"/>
      <c r="F609" s="162"/>
      <c r="G609" s="163"/>
      <c r="H609" s="162"/>
      <c r="J609" s="147"/>
    </row>
    <row r="610" spans="5:10" ht="12.75" customHeight="1">
      <c r="E610" s="162"/>
      <c r="F610" s="162"/>
      <c r="G610" s="163"/>
      <c r="H610" s="162"/>
      <c r="J610" s="147"/>
    </row>
    <row r="611" spans="5:10" ht="12.75" customHeight="1">
      <c r="E611" s="162"/>
      <c r="F611" s="162"/>
      <c r="G611" s="163"/>
      <c r="H611" s="162"/>
      <c r="J611" s="147"/>
    </row>
    <row r="612" spans="5:10" ht="12.75" customHeight="1">
      <c r="E612" s="162"/>
      <c r="F612" s="162"/>
      <c r="G612" s="163"/>
      <c r="H612" s="162"/>
      <c r="J612" s="147"/>
    </row>
    <row r="613" spans="5:10" ht="12.75" customHeight="1">
      <c r="E613" s="162"/>
      <c r="F613" s="162"/>
      <c r="G613" s="163"/>
      <c r="H613" s="162"/>
      <c r="J613" s="147"/>
    </row>
    <row r="614" spans="5:10" ht="12.75" customHeight="1">
      <c r="E614" s="162"/>
      <c r="F614" s="162"/>
      <c r="G614" s="163"/>
      <c r="H614" s="162"/>
      <c r="J614" s="147"/>
    </row>
    <row r="615" spans="5:10" ht="12.75" customHeight="1">
      <c r="E615" s="162"/>
      <c r="F615" s="162"/>
      <c r="G615" s="163"/>
      <c r="H615" s="162"/>
      <c r="J615" s="147"/>
    </row>
    <row r="616" spans="5:10" ht="12.75" customHeight="1">
      <c r="E616" s="162"/>
      <c r="F616" s="162"/>
      <c r="G616" s="163"/>
      <c r="H616" s="162"/>
      <c r="J616" s="147"/>
    </row>
    <row r="617" spans="5:10" ht="12.75" customHeight="1">
      <c r="E617" s="162"/>
      <c r="F617" s="162"/>
      <c r="G617" s="163"/>
      <c r="H617" s="162"/>
      <c r="J617" s="147"/>
    </row>
    <row r="618" spans="5:10" ht="12.75" customHeight="1">
      <c r="E618" s="162"/>
      <c r="F618" s="162"/>
      <c r="G618" s="163"/>
      <c r="H618" s="162"/>
      <c r="J618" s="147"/>
    </row>
    <row r="619" spans="5:10" ht="12.75" customHeight="1">
      <c r="E619" s="162"/>
      <c r="F619" s="162"/>
      <c r="G619" s="163"/>
      <c r="H619" s="162"/>
      <c r="J619" s="147"/>
    </row>
    <row r="620" spans="5:10" ht="12.75" customHeight="1">
      <c r="E620" s="162"/>
      <c r="F620" s="162"/>
      <c r="G620" s="163"/>
      <c r="H620" s="162"/>
      <c r="J620" s="147"/>
    </row>
    <row r="621" spans="5:10" ht="12.75" customHeight="1">
      <c r="E621" s="162"/>
      <c r="F621" s="162"/>
      <c r="G621" s="163"/>
      <c r="H621" s="162"/>
      <c r="J621" s="147"/>
    </row>
    <row r="622" spans="5:10" ht="12.75" customHeight="1">
      <c r="E622" s="162"/>
      <c r="F622" s="162"/>
      <c r="G622" s="163"/>
      <c r="H622" s="162"/>
      <c r="J622" s="147"/>
    </row>
    <row r="623" spans="5:10" ht="12.75" customHeight="1">
      <c r="E623" s="162"/>
      <c r="F623" s="162"/>
      <c r="G623" s="163"/>
      <c r="H623" s="162"/>
      <c r="J623" s="147"/>
    </row>
    <row r="624" spans="5:10" ht="12.75" customHeight="1">
      <c r="E624" s="162"/>
      <c r="F624" s="162"/>
      <c r="G624" s="163"/>
      <c r="H624" s="162"/>
      <c r="J624" s="147"/>
    </row>
    <row r="625" spans="5:10" ht="12.75" customHeight="1">
      <c r="E625" s="162"/>
      <c r="F625" s="162"/>
      <c r="G625" s="163"/>
      <c r="H625" s="162"/>
      <c r="J625" s="147"/>
    </row>
    <row r="626" spans="5:10" ht="12.75" customHeight="1">
      <c r="E626" s="162"/>
      <c r="F626" s="162"/>
      <c r="G626" s="163"/>
      <c r="H626" s="162"/>
      <c r="J626" s="147"/>
    </row>
    <row r="627" spans="5:10" ht="12.75" customHeight="1">
      <c r="E627" s="162"/>
      <c r="F627" s="162"/>
      <c r="G627" s="163"/>
      <c r="H627" s="162"/>
      <c r="J627" s="147"/>
    </row>
    <row r="628" spans="5:10" ht="12.75" customHeight="1">
      <c r="E628" s="162"/>
      <c r="F628" s="162"/>
      <c r="G628" s="163"/>
      <c r="H628" s="162"/>
      <c r="J628" s="147"/>
    </row>
    <row r="629" spans="5:10" ht="12.75" customHeight="1">
      <c r="E629" s="162"/>
      <c r="F629" s="162"/>
      <c r="G629" s="163"/>
      <c r="H629" s="162"/>
      <c r="J629" s="147"/>
    </row>
    <row r="630" spans="5:10" ht="12.75" customHeight="1">
      <c r="E630" s="162"/>
      <c r="F630" s="162"/>
      <c r="G630" s="163"/>
      <c r="H630" s="162"/>
      <c r="J630" s="147"/>
    </row>
    <row r="631" spans="5:10" ht="12.75" customHeight="1">
      <c r="E631" s="162"/>
      <c r="F631" s="162"/>
      <c r="G631" s="163"/>
      <c r="H631" s="162"/>
      <c r="J631" s="147"/>
    </row>
    <row r="632" spans="5:10" ht="12.75" customHeight="1">
      <c r="E632" s="162"/>
      <c r="F632" s="162"/>
      <c r="G632" s="163"/>
      <c r="H632" s="162"/>
      <c r="J632" s="147"/>
    </row>
    <row r="633" spans="5:10" ht="12.75" customHeight="1">
      <c r="E633" s="162"/>
      <c r="F633" s="162"/>
      <c r="G633" s="163"/>
      <c r="H633" s="162"/>
      <c r="J633" s="147"/>
    </row>
    <row r="634" spans="5:10" ht="12.75" customHeight="1">
      <c r="E634" s="162"/>
      <c r="F634" s="162"/>
      <c r="G634" s="163"/>
      <c r="H634" s="162"/>
      <c r="J634" s="147"/>
    </row>
    <row r="635" spans="5:10" ht="12.75" customHeight="1">
      <c r="E635" s="162"/>
      <c r="F635" s="162"/>
      <c r="G635" s="163"/>
      <c r="H635" s="162"/>
      <c r="J635" s="147"/>
    </row>
    <row r="636" spans="5:10" ht="12.75" customHeight="1">
      <c r="E636" s="162"/>
      <c r="F636" s="162"/>
      <c r="G636" s="163"/>
      <c r="H636" s="162"/>
      <c r="J636" s="147"/>
    </row>
    <row r="637" spans="5:10" ht="12.75" customHeight="1">
      <c r="E637" s="162"/>
      <c r="F637" s="162"/>
      <c r="G637" s="163"/>
      <c r="H637" s="162"/>
      <c r="J637" s="147"/>
    </row>
    <row r="638" spans="5:10" ht="12.75" customHeight="1">
      <c r="E638" s="162"/>
      <c r="F638" s="162"/>
      <c r="G638" s="163"/>
      <c r="H638" s="162"/>
      <c r="J638" s="147"/>
    </row>
    <row r="639" spans="5:10" ht="12.75" customHeight="1">
      <c r="E639" s="162"/>
      <c r="F639" s="162"/>
      <c r="G639" s="163"/>
      <c r="H639" s="162"/>
      <c r="J639" s="147"/>
    </row>
    <row r="640" spans="5:10" ht="12.75" customHeight="1">
      <c r="E640" s="162"/>
      <c r="F640" s="162"/>
      <c r="G640" s="163"/>
      <c r="H640" s="162"/>
      <c r="J640" s="147"/>
    </row>
    <row r="641" spans="5:10" ht="12.75" customHeight="1">
      <c r="E641" s="162"/>
      <c r="F641" s="162"/>
      <c r="G641" s="163"/>
      <c r="H641" s="162"/>
      <c r="J641" s="147"/>
    </row>
    <row r="642" spans="5:10" ht="12.75" customHeight="1">
      <c r="E642" s="162"/>
      <c r="F642" s="162"/>
      <c r="G642" s="163"/>
      <c r="H642" s="162"/>
      <c r="J642" s="147"/>
    </row>
    <row r="643" spans="5:10" ht="12.75" customHeight="1">
      <c r="E643" s="162"/>
      <c r="F643" s="162"/>
      <c r="G643" s="163"/>
      <c r="H643" s="162"/>
      <c r="J643" s="147"/>
    </row>
    <row r="644" spans="5:10" ht="12.75" customHeight="1">
      <c r="E644" s="162"/>
      <c r="F644" s="162"/>
      <c r="G644" s="163"/>
      <c r="H644" s="162"/>
      <c r="J644" s="147"/>
    </row>
    <row r="645" spans="5:10" ht="12.75" customHeight="1">
      <c r="E645" s="162"/>
      <c r="F645" s="162"/>
      <c r="G645" s="163"/>
      <c r="H645" s="162"/>
      <c r="J645" s="147"/>
    </row>
    <row r="646" spans="5:10" ht="12.75" customHeight="1">
      <c r="E646" s="162"/>
      <c r="F646" s="162"/>
      <c r="G646" s="163"/>
      <c r="H646" s="162"/>
      <c r="J646" s="147"/>
    </row>
    <row r="647" spans="5:10" ht="12.75" customHeight="1">
      <c r="E647" s="162"/>
      <c r="F647" s="162"/>
      <c r="G647" s="163"/>
      <c r="H647" s="162"/>
      <c r="J647" s="147"/>
    </row>
    <row r="648" spans="5:10" ht="12.75" customHeight="1">
      <c r="E648" s="162"/>
      <c r="F648" s="162"/>
      <c r="G648" s="163"/>
      <c r="H648" s="162"/>
      <c r="J648" s="147"/>
    </row>
    <row r="649" spans="5:10" ht="12.75" customHeight="1">
      <c r="E649" s="162"/>
      <c r="F649" s="162"/>
      <c r="G649" s="163"/>
      <c r="H649" s="162"/>
      <c r="J649" s="147"/>
    </row>
    <row r="650" spans="5:10" ht="12.75" customHeight="1">
      <c r="E650" s="162"/>
      <c r="F650" s="162"/>
      <c r="G650" s="163"/>
      <c r="H650" s="162"/>
      <c r="J650" s="147"/>
    </row>
    <row r="651" spans="5:10" ht="12.75" customHeight="1">
      <c r="E651" s="162"/>
      <c r="F651" s="162"/>
      <c r="G651" s="163"/>
      <c r="H651" s="162"/>
      <c r="J651" s="147"/>
    </row>
    <row r="652" spans="5:10" ht="12.75" customHeight="1">
      <c r="E652" s="162"/>
      <c r="F652" s="162"/>
      <c r="G652" s="163"/>
      <c r="H652" s="162"/>
      <c r="J652" s="147"/>
    </row>
    <row r="653" spans="5:10" ht="12.75" customHeight="1">
      <c r="E653" s="162"/>
      <c r="F653" s="162"/>
      <c r="G653" s="163"/>
      <c r="H653" s="162"/>
      <c r="J653" s="147"/>
    </row>
    <row r="654" spans="5:10" ht="12.75" customHeight="1">
      <c r="E654" s="162"/>
      <c r="F654" s="162"/>
      <c r="G654" s="163"/>
      <c r="H654" s="162"/>
      <c r="J654" s="147"/>
    </row>
    <row r="655" spans="5:10" ht="12.75" customHeight="1">
      <c r="E655" s="162"/>
      <c r="F655" s="162"/>
      <c r="G655" s="163"/>
      <c r="H655" s="162"/>
      <c r="J655" s="147"/>
    </row>
    <row r="656" spans="5:10" ht="12.75" customHeight="1">
      <c r="E656" s="162"/>
      <c r="F656" s="162"/>
      <c r="G656" s="163"/>
      <c r="H656" s="162"/>
      <c r="J656" s="147"/>
    </row>
    <row r="657" spans="5:10" ht="12.75" customHeight="1">
      <c r="E657" s="162"/>
      <c r="F657" s="162"/>
      <c r="G657" s="163"/>
      <c r="H657" s="162"/>
      <c r="J657" s="147"/>
    </row>
    <row r="658" spans="5:10" ht="12.75" customHeight="1">
      <c r="E658" s="162"/>
      <c r="F658" s="162"/>
      <c r="G658" s="163"/>
      <c r="H658" s="162"/>
      <c r="J658" s="147"/>
    </row>
    <row r="659" spans="5:10" ht="12.75" customHeight="1">
      <c r="E659" s="162"/>
      <c r="F659" s="162"/>
      <c r="G659" s="163"/>
      <c r="H659" s="162"/>
      <c r="J659" s="147"/>
    </row>
    <row r="660" spans="5:10" ht="12.75" customHeight="1">
      <c r="E660" s="162"/>
      <c r="F660" s="162"/>
      <c r="G660" s="163"/>
      <c r="H660" s="162"/>
      <c r="J660" s="147"/>
    </row>
    <row r="661" spans="5:10" ht="12.75" customHeight="1">
      <c r="E661" s="162"/>
      <c r="F661" s="162"/>
      <c r="G661" s="163"/>
      <c r="H661" s="162"/>
      <c r="J661" s="147"/>
    </row>
    <row r="662" spans="5:10" ht="12.75" customHeight="1">
      <c r="E662" s="162"/>
      <c r="F662" s="162"/>
      <c r="G662" s="163"/>
      <c r="H662" s="162"/>
      <c r="J662" s="147"/>
    </row>
    <row r="663" spans="5:10" ht="12.75" customHeight="1">
      <c r="E663" s="162"/>
      <c r="F663" s="162"/>
      <c r="G663" s="163"/>
      <c r="H663" s="162"/>
      <c r="J663" s="147"/>
    </row>
    <row r="664" spans="5:10" ht="12.75" customHeight="1">
      <c r="E664" s="162"/>
      <c r="F664" s="162"/>
      <c r="G664" s="163"/>
      <c r="H664" s="162"/>
      <c r="J664" s="147"/>
    </row>
    <row r="665" spans="5:10" ht="12.75" customHeight="1">
      <c r="E665" s="162"/>
      <c r="F665" s="162"/>
      <c r="G665" s="163"/>
      <c r="H665" s="162"/>
      <c r="J665" s="147"/>
    </row>
    <row r="666" spans="5:10" ht="12.75" customHeight="1">
      <c r="E666" s="162"/>
      <c r="F666" s="162"/>
      <c r="G666" s="163"/>
      <c r="H666" s="162"/>
      <c r="J666" s="147"/>
    </row>
    <row r="667" spans="5:10" ht="12.75" customHeight="1">
      <c r="E667" s="162"/>
      <c r="F667" s="162"/>
      <c r="G667" s="163"/>
      <c r="H667" s="162"/>
      <c r="J667" s="147"/>
    </row>
    <row r="668" spans="5:10" ht="12.75" customHeight="1">
      <c r="E668" s="162"/>
      <c r="F668" s="162"/>
      <c r="G668" s="163"/>
      <c r="H668" s="162"/>
      <c r="J668" s="147"/>
    </row>
    <row r="669" spans="5:10" ht="12.75" customHeight="1">
      <c r="E669" s="162"/>
      <c r="F669" s="162"/>
      <c r="G669" s="163"/>
      <c r="H669" s="162"/>
      <c r="J669" s="147"/>
    </row>
    <row r="670" spans="5:10" ht="12.75" customHeight="1">
      <c r="E670" s="162"/>
      <c r="F670" s="162"/>
      <c r="G670" s="163"/>
      <c r="H670" s="162"/>
      <c r="J670" s="147"/>
    </row>
    <row r="671" spans="5:10" ht="12.75" customHeight="1">
      <c r="E671" s="162"/>
      <c r="F671" s="162"/>
      <c r="G671" s="163"/>
      <c r="H671" s="162"/>
      <c r="J671" s="147"/>
    </row>
    <row r="672" spans="5:10" ht="12.75" customHeight="1">
      <c r="E672" s="162"/>
      <c r="F672" s="162"/>
      <c r="G672" s="163"/>
      <c r="H672" s="162"/>
      <c r="J672" s="147"/>
    </row>
    <row r="673" spans="5:10" ht="12.75" customHeight="1">
      <c r="E673" s="162"/>
      <c r="F673" s="162"/>
      <c r="G673" s="163"/>
      <c r="H673" s="162"/>
      <c r="J673" s="147"/>
    </row>
    <row r="674" spans="5:10" ht="12.75" customHeight="1">
      <c r="E674" s="162"/>
      <c r="F674" s="162"/>
      <c r="G674" s="163"/>
      <c r="H674" s="162"/>
      <c r="J674" s="147"/>
    </row>
    <row r="675" spans="5:10" ht="12.75" customHeight="1">
      <c r="E675" s="162"/>
      <c r="F675" s="162"/>
      <c r="G675" s="163"/>
      <c r="H675" s="162"/>
      <c r="J675" s="147"/>
    </row>
    <row r="676" spans="5:10" ht="12.75" customHeight="1">
      <c r="E676" s="162"/>
      <c r="F676" s="162"/>
      <c r="G676" s="163"/>
      <c r="H676" s="162"/>
      <c r="J676" s="147"/>
    </row>
    <row r="677" spans="5:10" ht="12.75" customHeight="1">
      <c r="E677" s="162"/>
      <c r="F677" s="162"/>
      <c r="G677" s="163"/>
      <c r="H677" s="162"/>
      <c r="J677" s="147"/>
    </row>
    <row r="678" spans="5:10" ht="12.75" customHeight="1">
      <c r="E678" s="162"/>
      <c r="F678" s="162"/>
      <c r="G678" s="163"/>
      <c r="H678" s="162"/>
      <c r="J678" s="147"/>
    </row>
    <row r="679" spans="5:10" ht="12.75" customHeight="1">
      <c r="E679" s="162"/>
      <c r="F679" s="162"/>
      <c r="G679" s="163"/>
      <c r="H679" s="162"/>
      <c r="J679" s="147"/>
    </row>
    <row r="680" spans="5:10" ht="12.75" customHeight="1">
      <c r="E680" s="162"/>
      <c r="F680" s="162"/>
      <c r="G680" s="163"/>
      <c r="H680" s="162"/>
      <c r="J680" s="147"/>
    </row>
    <row r="681" spans="5:10" ht="12.75" customHeight="1">
      <c r="E681" s="162"/>
      <c r="F681" s="162"/>
      <c r="G681" s="163"/>
      <c r="H681" s="162"/>
      <c r="J681" s="147"/>
    </row>
    <row r="682" spans="5:10" ht="12.75" customHeight="1">
      <c r="E682" s="162"/>
      <c r="F682" s="162"/>
      <c r="G682" s="163"/>
      <c r="H682" s="162"/>
      <c r="J682" s="147"/>
    </row>
    <row r="683" spans="5:10" ht="12.75" customHeight="1">
      <c r="E683" s="162"/>
      <c r="F683" s="162"/>
      <c r="G683" s="163"/>
      <c r="H683" s="162"/>
      <c r="J683" s="147"/>
    </row>
    <row r="684" spans="5:10" ht="12.75" customHeight="1">
      <c r="E684" s="162"/>
      <c r="F684" s="162"/>
      <c r="G684" s="163"/>
      <c r="H684" s="162"/>
      <c r="J684" s="147"/>
    </row>
    <row r="685" spans="5:10" ht="12.75" customHeight="1">
      <c r="E685" s="162"/>
      <c r="F685" s="162"/>
      <c r="G685" s="163"/>
      <c r="H685" s="162"/>
      <c r="J685" s="147"/>
    </row>
    <row r="686" spans="5:10" ht="12.75" customHeight="1">
      <c r="E686" s="162"/>
      <c r="F686" s="162"/>
      <c r="G686" s="163"/>
      <c r="H686" s="162"/>
      <c r="J686" s="147"/>
    </row>
    <row r="687" spans="5:10" ht="12.75" customHeight="1">
      <c r="E687" s="162"/>
      <c r="F687" s="162"/>
      <c r="G687" s="163"/>
      <c r="H687" s="162"/>
      <c r="J687" s="147"/>
    </row>
    <row r="688" spans="5:10" ht="12.75" customHeight="1">
      <c r="E688" s="162"/>
      <c r="F688" s="162"/>
      <c r="G688" s="163"/>
      <c r="H688" s="162"/>
      <c r="J688" s="147"/>
    </row>
    <row r="689" spans="5:10" ht="12.75" customHeight="1">
      <c r="E689" s="162"/>
      <c r="F689" s="162"/>
      <c r="G689" s="163"/>
      <c r="H689" s="162"/>
      <c r="J689" s="147"/>
    </row>
    <row r="690" spans="5:10" ht="12.75" customHeight="1">
      <c r="E690" s="162"/>
      <c r="F690" s="162"/>
      <c r="G690" s="163"/>
      <c r="H690" s="162"/>
      <c r="J690" s="147"/>
    </row>
    <row r="691" spans="5:10" ht="12.75" customHeight="1">
      <c r="E691" s="162"/>
      <c r="F691" s="162"/>
      <c r="G691" s="163"/>
      <c r="H691" s="162"/>
      <c r="J691" s="147"/>
    </row>
    <row r="692" spans="5:10" ht="12.75" customHeight="1">
      <c r="E692" s="162"/>
      <c r="F692" s="162"/>
      <c r="G692" s="163"/>
      <c r="H692" s="162"/>
      <c r="J692" s="147"/>
    </row>
    <row r="693" spans="5:10" ht="12.75" customHeight="1">
      <c r="E693" s="162"/>
      <c r="F693" s="162"/>
      <c r="G693" s="163"/>
      <c r="H693" s="162"/>
      <c r="J693" s="147"/>
    </row>
    <row r="694" spans="5:10" ht="12.75" customHeight="1">
      <c r="E694" s="162"/>
      <c r="F694" s="162"/>
      <c r="G694" s="163"/>
      <c r="H694" s="162"/>
      <c r="J694" s="147"/>
    </row>
    <row r="695" spans="5:10" ht="12.75" customHeight="1">
      <c r="E695" s="162"/>
      <c r="F695" s="162"/>
      <c r="G695" s="163"/>
      <c r="H695" s="162"/>
      <c r="J695" s="147"/>
    </row>
    <row r="696" spans="5:10" ht="12.75" customHeight="1">
      <c r="E696" s="162"/>
      <c r="F696" s="162"/>
      <c r="G696" s="163"/>
      <c r="H696" s="162"/>
      <c r="J696" s="147"/>
    </row>
    <row r="697" spans="5:10" ht="12.75" customHeight="1">
      <c r="E697" s="162"/>
      <c r="F697" s="162"/>
      <c r="G697" s="163"/>
      <c r="H697" s="162"/>
      <c r="J697" s="147"/>
    </row>
    <row r="698" spans="5:10" ht="12.75" customHeight="1">
      <c r="E698" s="162"/>
      <c r="F698" s="162"/>
      <c r="G698" s="163"/>
      <c r="H698" s="162"/>
      <c r="J698" s="147"/>
    </row>
    <row r="699" spans="5:10" ht="12.75" customHeight="1">
      <c r="E699" s="162"/>
      <c r="F699" s="162"/>
      <c r="G699" s="163"/>
      <c r="H699" s="162"/>
      <c r="J699" s="147"/>
    </row>
    <row r="700" spans="5:10" ht="12.75" customHeight="1">
      <c r="E700" s="162"/>
      <c r="F700" s="162"/>
      <c r="G700" s="163"/>
      <c r="H700" s="162"/>
      <c r="J700" s="147"/>
    </row>
    <row r="701" spans="5:10" ht="12.75" customHeight="1">
      <c r="E701" s="162"/>
      <c r="F701" s="162"/>
      <c r="G701" s="163"/>
      <c r="H701" s="162"/>
      <c r="J701" s="147"/>
    </row>
    <row r="702" spans="5:10" ht="12.75" customHeight="1">
      <c r="E702" s="162"/>
      <c r="F702" s="162"/>
      <c r="G702" s="163"/>
      <c r="H702" s="162"/>
      <c r="J702" s="147"/>
    </row>
    <row r="703" spans="5:10" ht="12.75" customHeight="1">
      <c r="E703" s="162"/>
      <c r="F703" s="162"/>
      <c r="G703" s="163"/>
      <c r="H703" s="162"/>
      <c r="J703" s="147"/>
    </row>
    <row r="704" spans="5:10" ht="12.75" customHeight="1">
      <c r="E704" s="162"/>
      <c r="F704" s="162"/>
      <c r="G704" s="163"/>
      <c r="H704" s="162"/>
      <c r="J704" s="147"/>
    </row>
    <row r="705" spans="5:10" ht="12.75" customHeight="1">
      <c r="E705" s="162"/>
      <c r="F705" s="162"/>
      <c r="G705" s="163"/>
      <c r="H705" s="162"/>
      <c r="J705" s="147"/>
    </row>
    <row r="706" spans="5:10" ht="12.75" customHeight="1">
      <c r="E706" s="162"/>
      <c r="F706" s="162"/>
      <c r="G706" s="163"/>
      <c r="H706" s="162"/>
      <c r="J706" s="147"/>
    </row>
    <row r="707" spans="5:10" ht="12.75" customHeight="1">
      <c r="E707" s="162"/>
      <c r="F707" s="162"/>
      <c r="G707" s="163"/>
      <c r="H707" s="162"/>
      <c r="J707" s="147"/>
    </row>
    <row r="708" spans="5:10" ht="12.75" customHeight="1">
      <c r="E708" s="162"/>
      <c r="F708" s="162"/>
      <c r="G708" s="163"/>
      <c r="H708" s="162"/>
      <c r="J708" s="147"/>
    </row>
    <row r="709" spans="5:10" ht="12.75" customHeight="1">
      <c r="E709" s="162"/>
      <c r="F709" s="162"/>
      <c r="G709" s="163"/>
      <c r="H709" s="162"/>
      <c r="J709" s="147"/>
    </row>
    <row r="710" spans="5:10" ht="12.75" customHeight="1">
      <c r="E710" s="162"/>
      <c r="F710" s="162"/>
      <c r="G710" s="163"/>
      <c r="H710" s="162"/>
      <c r="J710" s="147"/>
    </row>
    <row r="711" spans="5:10" ht="12.75" customHeight="1">
      <c r="E711" s="162"/>
      <c r="F711" s="162"/>
      <c r="G711" s="163"/>
      <c r="H711" s="162"/>
      <c r="J711" s="147"/>
    </row>
    <row r="712" spans="5:10" ht="12.75" customHeight="1">
      <c r="E712" s="162"/>
      <c r="F712" s="162"/>
      <c r="G712" s="163"/>
      <c r="H712" s="162"/>
      <c r="J712" s="147"/>
    </row>
    <row r="713" spans="5:10" ht="12.75" customHeight="1">
      <c r="E713" s="162"/>
      <c r="F713" s="162"/>
      <c r="G713" s="163"/>
      <c r="H713" s="162"/>
      <c r="J713" s="147"/>
    </row>
    <row r="714" spans="5:10" ht="12.75" customHeight="1">
      <c r="E714" s="162"/>
      <c r="F714" s="162"/>
      <c r="G714" s="163"/>
      <c r="H714" s="162"/>
      <c r="J714" s="147"/>
    </row>
    <row r="715" spans="5:10" ht="12.75" customHeight="1">
      <c r="E715" s="162"/>
      <c r="F715" s="162"/>
      <c r="G715" s="163"/>
      <c r="H715" s="162"/>
      <c r="J715" s="147"/>
    </row>
    <row r="716" spans="5:10" ht="12.75" customHeight="1">
      <c r="E716" s="162"/>
      <c r="F716" s="162"/>
      <c r="G716" s="163"/>
      <c r="H716" s="162"/>
      <c r="J716" s="147"/>
    </row>
    <row r="717" spans="5:10" ht="12.75" customHeight="1">
      <c r="E717" s="162"/>
      <c r="F717" s="162"/>
      <c r="G717" s="163"/>
      <c r="H717" s="162"/>
      <c r="J717" s="147"/>
    </row>
    <row r="718" spans="5:10" ht="12.75" customHeight="1">
      <c r="E718" s="162"/>
      <c r="F718" s="162"/>
      <c r="G718" s="163"/>
      <c r="H718" s="162"/>
      <c r="J718" s="147"/>
    </row>
    <row r="719" spans="5:10" ht="12.75" customHeight="1">
      <c r="E719" s="162"/>
      <c r="F719" s="162"/>
      <c r="G719" s="163"/>
      <c r="H719" s="162"/>
      <c r="J719" s="147"/>
    </row>
    <row r="720" spans="5:10" ht="12.75" customHeight="1">
      <c r="E720" s="162"/>
      <c r="F720" s="162"/>
      <c r="G720" s="163"/>
      <c r="H720" s="162"/>
      <c r="J720" s="147"/>
    </row>
    <row r="721" spans="5:10" ht="12.75" customHeight="1">
      <c r="E721" s="162"/>
      <c r="F721" s="162"/>
      <c r="G721" s="163"/>
      <c r="H721" s="162"/>
      <c r="J721" s="147"/>
    </row>
    <row r="722" spans="5:10" ht="12.75" customHeight="1">
      <c r="E722" s="162"/>
      <c r="F722" s="162"/>
      <c r="G722" s="163"/>
      <c r="H722" s="162"/>
      <c r="J722" s="147"/>
    </row>
    <row r="723" spans="5:10" ht="12.75" customHeight="1">
      <c r="E723" s="162"/>
      <c r="F723" s="162"/>
      <c r="G723" s="163"/>
      <c r="H723" s="162"/>
      <c r="J723" s="147"/>
    </row>
    <row r="724" spans="5:10" ht="12.75" customHeight="1">
      <c r="E724" s="162"/>
      <c r="F724" s="162"/>
      <c r="G724" s="163"/>
      <c r="H724" s="162"/>
      <c r="J724" s="147"/>
    </row>
    <row r="725" spans="5:10" ht="12.75" customHeight="1">
      <c r="E725" s="162"/>
      <c r="F725" s="162"/>
      <c r="G725" s="163"/>
      <c r="H725" s="162"/>
      <c r="J725" s="147"/>
    </row>
    <row r="726" spans="5:10" ht="12.75" customHeight="1">
      <c r="E726" s="162"/>
      <c r="F726" s="162"/>
      <c r="G726" s="163"/>
      <c r="H726" s="162"/>
      <c r="J726" s="147"/>
    </row>
    <row r="727" spans="5:10" ht="12.75" customHeight="1">
      <c r="E727" s="162"/>
      <c r="F727" s="162"/>
      <c r="G727" s="163"/>
      <c r="H727" s="162"/>
      <c r="J727" s="147"/>
    </row>
    <row r="728" spans="5:10" ht="12.75" customHeight="1">
      <c r="E728" s="162"/>
      <c r="F728" s="162"/>
      <c r="G728" s="163"/>
      <c r="H728" s="162"/>
      <c r="J728" s="147"/>
    </row>
    <row r="729" spans="5:10" ht="12.75" customHeight="1">
      <c r="E729" s="162"/>
      <c r="F729" s="162"/>
      <c r="G729" s="163"/>
      <c r="H729" s="162"/>
      <c r="J729" s="147"/>
    </row>
    <row r="730" spans="5:10" ht="12.75" customHeight="1">
      <c r="E730" s="162"/>
      <c r="F730" s="162"/>
      <c r="G730" s="163"/>
      <c r="H730" s="162"/>
      <c r="J730" s="147"/>
    </row>
    <row r="731" spans="5:10" ht="12.75" customHeight="1">
      <c r="E731" s="162"/>
      <c r="F731" s="162"/>
      <c r="G731" s="163"/>
      <c r="H731" s="162"/>
      <c r="J731" s="147"/>
    </row>
    <row r="732" spans="5:10" ht="12.75" customHeight="1">
      <c r="E732" s="162"/>
      <c r="F732" s="162"/>
      <c r="G732" s="163"/>
      <c r="H732" s="162"/>
      <c r="J732" s="147"/>
    </row>
    <row r="733" spans="5:10" ht="12.75" customHeight="1">
      <c r="E733" s="162"/>
      <c r="F733" s="162"/>
      <c r="G733" s="163"/>
      <c r="H733" s="162"/>
      <c r="J733" s="147"/>
    </row>
    <row r="734" spans="5:10" ht="12.75" customHeight="1">
      <c r="E734" s="162"/>
      <c r="F734" s="162"/>
      <c r="G734" s="163"/>
      <c r="H734" s="162"/>
      <c r="J734" s="147"/>
    </row>
    <row r="735" spans="5:10" ht="12.75" customHeight="1">
      <c r="E735" s="162"/>
      <c r="F735" s="162"/>
      <c r="G735" s="163"/>
      <c r="H735" s="162"/>
      <c r="J735" s="147"/>
    </row>
    <row r="736" spans="5:10" ht="12.75" customHeight="1">
      <c r="E736" s="162"/>
      <c r="F736" s="162"/>
      <c r="G736" s="163"/>
      <c r="H736" s="162"/>
      <c r="J736" s="147"/>
    </row>
    <row r="737" spans="5:10" ht="12.75" customHeight="1">
      <c r="E737" s="162"/>
      <c r="F737" s="162"/>
      <c r="G737" s="163"/>
      <c r="H737" s="162"/>
      <c r="J737" s="147"/>
    </row>
    <row r="738" spans="5:10" ht="12.75" customHeight="1">
      <c r="E738" s="162"/>
      <c r="F738" s="162"/>
      <c r="G738" s="163"/>
      <c r="H738" s="162"/>
      <c r="J738" s="147"/>
    </row>
    <row r="739" spans="5:10" ht="12.75" customHeight="1">
      <c r="E739" s="162"/>
      <c r="F739" s="162"/>
      <c r="G739" s="163"/>
      <c r="H739" s="162"/>
      <c r="J739" s="147"/>
    </row>
    <row r="740" spans="5:10" ht="12.75" customHeight="1">
      <c r="E740" s="162"/>
      <c r="F740" s="162"/>
      <c r="G740" s="163"/>
      <c r="H740" s="162"/>
      <c r="J740" s="147"/>
    </row>
    <row r="741" spans="5:10" ht="12.75" customHeight="1">
      <c r="E741" s="162"/>
      <c r="F741" s="162"/>
      <c r="G741" s="163"/>
      <c r="H741" s="162"/>
      <c r="J741" s="147"/>
    </row>
    <row r="742" spans="5:10" ht="12.75" customHeight="1">
      <c r="E742" s="162"/>
      <c r="F742" s="162"/>
      <c r="G742" s="163"/>
      <c r="H742" s="162"/>
      <c r="J742" s="147"/>
    </row>
    <row r="743" spans="5:10" ht="12.75" customHeight="1">
      <c r="E743" s="162"/>
      <c r="F743" s="162"/>
      <c r="G743" s="163"/>
      <c r="H743" s="162"/>
      <c r="J743" s="147"/>
    </row>
    <row r="744" spans="5:10" ht="12.75" customHeight="1">
      <c r="E744" s="162"/>
      <c r="F744" s="162"/>
      <c r="G744" s="163"/>
      <c r="H744" s="162"/>
      <c r="J744" s="147"/>
    </row>
    <row r="745" spans="5:10" ht="12.75" customHeight="1">
      <c r="E745" s="162"/>
      <c r="F745" s="162"/>
      <c r="G745" s="163"/>
      <c r="H745" s="162"/>
      <c r="J745" s="147"/>
    </row>
    <row r="746" spans="5:10" ht="12.75" customHeight="1">
      <c r="E746" s="162"/>
      <c r="F746" s="162"/>
      <c r="G746" s="163"/>
      <c r="H746" s="162"/>
      <c r="J746" s="147"/>
    </row>
    <row r="747" spans="5:10" ht="12.75" customHeight="1">
      <c r="E747" s="162"/>
      <c r="F747" s="162"/>
      <c r="G747" s="163"/>
      <c r="H747" s="162"/>
      <c r="J747" s="147"/>
    </row>
    <row r="748" spans="5:10" ht="12.75" customHeight="1">
      <c r="E748" s="162"/>
      <c r="F748" s="162"/>
      <c r="G748" s="163"/>
      <c r="H748" s="162"/>
      <c r="J748" s="147"/>
    </row>
    <row r="749" spans="5:10" ht="12.75" customHeight="1">
      <c r="E749" s="162"/>
      <c r="F749" s="162"/>
      <c r="G749" s="163"/>
      <c r="H749" s="162"/>
      <c r="J749" s="147"/>
    </row>
    <row r="750" spans="5:10" ht="12.75" customHeight="1">
      <c r="E750" s="162"/>
      <c r="F750" s="162"/>
      <c r="G750" s="163"/>
      <c r="H750" s="162"/>
      <c r="J750" s="147"/>
    </row>
    <row r="751" spans="5:10" ht="12.75" customHeight="1">
      <c r="E751" s="162"/>
      <c r="F751" s="162"/>
      <c r="G751" s="163"/>
      <c r="H751" s="162"/>
      <c r="J751" s="147"/>
    </row>
    <row r="752" spans="5:10" ht="12.75" customHeight="1">
      <c r="E752" s="162"/>
      <c r="F752" s="162"/>
      <c r="G752" s="163"/>
      <c r="H752" s="162"/>
      <c r="J752" s="147"/>
    </row>
    <row r="753" spans="5:10" ht="12.75" customHeight="1">
      <c r="E753" s="162"/>
      <c r="F753" s="162"/>
      <c r="G753" s="163"/>
      <c r="H753" s="162"/>
      <c r="J753" s="147"/>
    </row>
    <row r="754" spans="5:10" ht="12.75" customHeight="1">
      <c r="E754" s="162"/>
      <c r="F754" s="162"/>
      <c r="G754" s="163"/>
      <c r="H754" s="162"/>
      <c r="J754" s="147"/>
    </row>
    <row r="755" spans="5:10" ht="12.75" customHeight="1">
      <c r="E755" s="162"/>
      <c r="F755" s="162"/>
      <c r="G755" s="163"/>
      <c r="H755" s="162"/>
      <c r="J755" s="147"/>
    </row>
    <row r="756" spans="5:10" ht="12.75" customHeight="1">
      <c r="E756" s="162"/>
      <c r="F756" s="162"/>
      <c r="G756" s="163"/>
      <c r="H756" s="162"/>
      <c r="J756" s="147"/>
    </row>
    <row r="757" spans="5:10" ht="12.75" customHeight="1">
      <c r="E757" s="162"/>
      <c r="F757" s="162"/>
      <c r="G757" s="163"/>
      <c r="H757" s="162"/>
      <c r="J757" s="147"/>
    </row>
    <row r="758" spans="5:10" ht="12.75" customHeight="1">
      <c r="E758" s="162"/>
      <c r="F758" s="162"/>
      <c r="G758" s="163"/>
      <c r="H758" s="162"/>
      <c r="J758" s="147"/>
    </row>
    <row r="759" spans="5:10" ht="12.75" customHeight="1">
      <c r="E759" s="162"/>
      <c r="F759" s="162"/>
      <c r="G759" s="163"/>
      <c r="H759" s="162"/>
      <c r="J759" s="147"/>
    </row>
    <row r="760" spans="5:10" ht="12.75" customHeight="1">
      <c r="E760" s="162"/>
      <c r="F760" s="162"/>
      <c r="G760" s="163"/>
      <c r="H760" s="162"/>
      <c r="J760" s="147"/>
    </row>
    <row r="761" spans="5:10" ht="12.75" customHeight="1">
      <c r="E761" s="162"/>
      <c r="F761" s="162"/>
      <c r="G761" s="163"/>
      <c r="H761" s="162"/>
      <c r="J761" s="147"/>
    </row>
    <row r="762" spans="5:10" ht="12.75" customHeight="1">
      <c r="E762" s="162"/>
      <c r="F762" s="162"/>
      <c r="G762" s="163"/>
      <c r="H762" s="162"/>
      <c r="J762" s="147"/>
    </row>
    <row r="763" spans="5:10" ht="12.75" customHeight="1">
      <c r="E763" s="162"/>
      <c r="F763" s="162"/>
      <c r="G763" s="163"/>
      <c r="H763" s="162"/>
      <c r="J763" s="147"/>
    </row>
    <row r="764" spans="5:10" ht="12.75" customHeight="1">
      <c r="E764" s="162"/>
      <c r="F764" s="162"/>
      <c r="G764" s="163"/>
      <c r="H764" s="162"/>
      <c r="J764" s="147"/>
    </row>
    <row r="765" spans="5:10" ht="12.75" customHeight="1">
      <c r="E765" s="162"/>
      <c r="F765" s="162"/>
      <c r="G765" s="163"/>
      <c r="H765" s="162"/>
      <c r="J765" s="147"/>
    </row>
    <row r="766" spans="5:10" ht="12.75" customHeight="1">
      <c r="E766" s="162"/>
      <c r="F766" s="162"/>
      <c r="G766" s="163"/>
      <c r="H766" s="162"/>
      <c r="J766" s="147"/>
    </row>
    <row r="767" spans="5:10" ht="12.75" customHeight="1">
      <c r="E767" s="162"/>
      <c r="F767" s="162"/>
      <c r="G767" s="163"/>
      <c r="H767" s="162"/>
      <c r="J767" s="147"/>
    </row>
    <row r="768" spans="5:10" ht="12.75" customHeight="1">
      <c r="E768" s="162"/>
      <c r="F768" s="162"/>
      <c r="G768" s="163"/>
      <c r="H768" s="162"/>
      <c r="J768" s="147"/>
    </row>
    <row r="769" spans="5:10" ht="12.75" customHeight="1">
      <c r="E769" s="162"/>
      <c r="F769" s="162"/>
      <c r="G769" s="163"/>
      <c r="H769" s="162"/>
      <c r="J769" s="147"/>
    </row>
    <row r="770" spans="5:10" ht="12.75" customHeight="1">
      <c r="E770" s="162"/>
      <c r="F770" s="162"/>
      <c r="G770" s="163"/>
      <c r="H770" s="162"/>
      <c r="J770" s="147"/>
    </row>
    <row r="771" spans="5:10" ht="12.75" customHeight="1">
      <c r="E771" s="162"/>
      <c r="F771" s="162"/>
      <c r="G771" s="163"/>
      <c r="H771" s="162"/>
      <c r="J771" s="147"/>
    </row>
    <row r="772" spans="5:10" ht="12.75" customHeight="1">
      <c r="E772" s="162"/>
      <c r="F772" s="162"/>
      <c r="G772" s="163"/>
      <c r="H772" s="162"/>
      <c r="J772" s="147"/>
    </row>
    <row r="773" spans="5:10" ht="12.75" customHeight="1">
      <c r="E773" s="162"/>
      <c r="F773" s="162"/>
      <c r="G773" s="163"/>
      <c r="H773" s="162"/>
      <c r="J773" s="147"/>
    </row>
    <row r="774" spans="5:10" ht="12.75" customHeight="1">
      <c r="E774" s="162"/>
      <c r="F774" s="162"/>
      <c r="G774" s="163"/>
      <c r="H774" s="162"/>
      <c r="J774" s="147"/>
    </row>
    <row r="775" spans="5:10" ht="12.75" customHeight="1">
      <c r="E775" s="162"/>
      <c r="F775" s="162"/>
      <c r="G775" s="163"/>
      <c r="H775" s="162"/>
      <c r="J775" s="147"/>
    </row>
    <row r="776" spans="5:10" ht="12.75" customHeight="1">
      <c r="E776" s="162"/>
      <c r="F776" s="162"/>
      <c r="G776" s="163"/>
      <c r="H776" s="162"/>
      <c r="J776" s="147"/>
    </row>
    <row r="777" spans="5:10" ht="12.75" customHeight="1">
      <c r="E777" s="162"/>
      <c r="F777" s="162"/>
      <c r="G777" s="163"/>
      <c r="H777" s="162"/>
      <c r="J777" s="147"/>
    </row>
    <row r="778" spans="5:10" ht="12.75" customHeight="1">
      <c r="E778" s="162"/>
      <c r="F778" s="162"/>
      <c r="G778" s="163"/>
      <c r="H778" s="162"/>
      <c r="J778" s="147"/>
    </row>
    <row r="779" spans="5:10" ht="12.75" customHeight="1">
      <c r="E779" s="162"/>
      <c r="F779" s="162"/>
      <c r="G779" s="163"/>
      <c r="H779" s="162"/>
      <c r="J779" s="147"/>
    </row>
    <row r="780" spans="5:10" ht="12.75" customHeight="1">
      <c r="E780" s="162"/>
      <c r="F780" s="162"/>
      <c r="G780" s="163"/>
      <c r="H780" s="162"/>
      <c r="J780" s="147"/>
    </row>
    <row r="781" spans="5:10" ht="12.75" customHeight="1">
      <c r="E781" s="162"/>
      <c r="F781" s="162"/>
      <c r="G781" s="163"/>
      <c r="H781" s="162"/>
      <c r="J781" s="147"/>
    </row>
    <row r="782" spans="5:10" ht="12.75" customHeight="1">
      <c r="E782" s="162"/>
      <c r="F782" s="162"/>
      <c r="G782" s="163"/>
      <c r="H782" s="162"/>
      <c r="J782" s="147"/>
    </row>
    <row r="783" spans="5:10" ht="12.75" customHeight="1">
      <c r="E783" s="162"/>
      <c r="F783" s="162"/>
      <c r="G783" s="163"/>
      <c r="H783" s="162"/>
      <c r="J783" s="147"/>
    </row>
    <row r="784" spans="5:10" ht="12.75" customHeight="1">
      <c r="E784" s="162"/>
      <c r="F784" s="162"/>
      <c r="G784" s="163"/>
      <c r="H784" s="162"/>
      <c r="J784" s="147"/>
    </row>
    <row r="785" spans="5:10" ht="12.75" customHeight="1">
      <c r="E785" s="162"/>
      <c r="F785" s="162"/>
      <c r="G785" s="163"/>
      <c r="H785" s="162"/>
      <c r="J785" s="147"/>
    </row>
    <row r="786" spans="5:10" ht="12.75" customHeight="1">
      <c r="E786" s="162"/>
      <c r="F786" s="162"/>
      <c r="G786" s="163"/>
      <c r="H786" s="162"/>
      <c r="J786" s="147"/>
    </row>
    <row r="787" spans="5:10" ht="12.75" customHeight="1">
      <c r="E787" s="162"/>
      <c r="F787" s="162"/>
      <c r="G787" s="163"/>
      <c r="H787" s="162"/>
      <c r="J787" s="147"/>
    </row>
    <row r="788" spans="5:10" ht="12.75" customHeight="1">
      <c r="E788" s="162"/>
      <c r="F788" s="162"/>
      <c r="G788" s="163"/>
      <c r="H788" s="162"/>
      <c r="J788" s="147"/>
    </row>
    <row r="789" spans="5:10" ht="12.75" customHeight="1">
      <c r="E789" s="162"/>
      <c r="F789" s="162"/>
      <c r="G789" s="163"/>
      <c r="H789" s="162"/>
      <c r="J789" s="147"/>
    </row>
    <row r="790" spans="5:10" ht="12.75" customHeight="1">
      <c r="E790" s="162"/>
      <c r="F790" s="162"/>
      <c r="G790" s="163"/>
      <c r="H790" s="162"/>
      <c r="J790" s="147"/>
    </row>
    <row r="791" spans="5:10" ht="12.75" customHeight="1">
      <c r="E791" s="162"/>
      <c r="F791" s="162"/>
      <c r="G791" s="163"/>
      <c r="H791" s="162"/>
      <c r="J791" s="147"/>
    </row>
    <row r="792" spans="5:10" ht="12.75" customHeight="1">
      <c r="E792" s="162"/>
      <c r="F792" s="162"/>
      <c r="G792" s="163"/>
      <c r="H792" s="162"/>
      <c r="J792" s="147"/>
    </row>
    <row r="793" spans="5:10" ht="12.75" customHeight="1">
      <c r="E793" s="162"/>
      <c r="F793" s="162"/>
      <c r="G793" s="163"/>
      <c r="H793" s="162"/>
      <c r="J793" s="147"/>
    </row>
    <row r="794" spans="5:10" ht="12.75" customHeight="1">
      <c r="E794" s="162"/>
      <c r="F794" s="162"/>
      <c r="G794" s="163"/>
      <c r="H794" s="162"/>
      <c r="J794" s="147"/>
    </row>
    <row r="795" spans="5:10" ht="12.75" customHeight="1">
      <c r="E795" s="162"/>
      <c r="F795" s="162"/>
      <c r="G795" s="163"/>
      <c r="H795" s="162"/>
      <c r="J795" s="147"/>
    </row>
    <row r="796" spans="5:10" ht="12.75" customHeight="1">
      <c r="E796" s="162"/>
      <c r="F796" s="162"/>
      <c r="G796" s="163"/>
      <c r="H796" s="162"/>
      <c r="J796" s="147"/>
    </row>
    <row r="797" spans="5:10" ht="12.75" customHeight="1">
      <c r="E797" s="162"/>
      <c r="F797" s="162"/>
      <c r="G797" s="163"/>
      <c r="H797" s="162"/>
      <c r="J797" s="147"/>
    </row>
    <row r="798" spans="5:10" ht="12.75" customHeight="1">
      <c r="E798" s="162"/>
      <c r="F798" s="162"/>
      <c r="G798" s="163"/>
      <c r="H798" s="162"/>
      <c r="J798" s="147"/>
    </row>
    <row r="799" spans="5:10" ht="12.75" customHeight="1">
      <c r="E799" s="162"/>
      <c r="F799" s="162"/>
      <c r="G799" s="163"/>
      <c r="H799" s="162"/>
      <c r="J799" s="147"/>
    </row>
    <row r="800" spans="5:10" ht="12.75" customHeight="1">
      <c r="E800" s="162"/>
      <c r="F800" s="162"/>
      <c r="G800" s="163"/>
      <c r="H800" s="162"/>
      <c r="J800" s="147"/>
    </row>
    <row r="801" spans="5:10" ht="12.75" customHeight="1">
      <c r="E801" s="162"/>
      <c r="F801" s="162"/>
      <c r="G801" s="163"/>
      <c r="H801" s="162"/>
      <c r="J801" s="147"/>
    </row>
    <row r="802" spans="5:10" ht="12.75" customHeight="1">
      <c r="E802" s="162"/>
      <c r="F802" s="162"/>
      <c r="G802" s="163"/>
      <c r="H802" s="162"/>
      <c r="J802" s="147"/>
    </row>
    <row r="803" spans="5:10" ht="12.75" customHeight="1">
      <c r="E803" s="162"/>
      <c r="F803" s="162"/>
      <c r="G803" s="163"/>
      <c r="H803" s="162"/>
      <c r="J803" s="147"/>
    </row>
    <row r="804" spans="5:10" ht="12.75" customHeight="1">
      <c r="E804" s="162"/>
      <c r="F804" s="162"/>
      <c r="G804" s="163"/>
      <c r="H804" s="162"/>
      <c r="J804" s="147"/>
    </row>
    <row r="805" spans="5:10" ht="12.75" customHeight="1">
      <c r="E805" s="162"/>
      <c r="F805" s="162"/>
      <c r="G805" s="163"/>
      <c r="H805" s="162"/>
      <c r="J805" s="147"/>
    </row>
    <row r="806" spans="5:10" ht="12.75" customHeight="1">
      <c r="E806" s="162"/>
      <c r="F806" s="162"/>
      <c r="G806" s="163"/>
      <c r="H806" s="162"/>
      <c r="J806" s="147"/>
    </row>
    <row r="807" spans="5:10" ht="12.75" customHeight="1">
      <c r="E807" s="162"/>
      <c r="F807" s="162"/>
      <c r="G807" s="163"/>
      <c r="H807" s="162"/>
      <c r="J807" s="147"/>
    </row>
    <row r="808" spans="5:10" ht="12.75" customHeight="1">
      <c r="E808" s="162"/>
      <c r="F808" s="162"/>
      <c r="G808" s="163"/>
      <c r="H808" s="162"/>
      <c r="J808" s="147"/>
    </row>
    <row r="809" spans="5:10" ht="12.75" customHeight="1">
      <c r="E809" s="162"/>
      <c r="F809" s="162"/>
      <c r="G809" s="163"/>
      <c r="H809" s="162"/>
      <c r="J809" s="147"/>
    </row>
    <row r="810" spans="5:10" ht="12.75" customHeight="1">
      <c r="E810" s="162"/>
      <c r="F810" s="162"/>
      <c r="G810" s="163"/>
      <c r="H810" s="162"/>
      <c r="J810" s="147"/>
    </row>
    <row r="811" spans="5:10" ht="12.75" customHeight="1">
      <c r="E811" s="162"/>
      <c r="F811" s="162"/>
      <c r="G811" s="163"/>
      <c r="H811" s="162"/>
      <c r="J811" s="147"/>
    </row>
    <row r="812" spans="5:10" ht="12.75" customHeight="1">
      <c r="E812" s="162"/>
      <c r="F812" s="162"/>
      <c r="G812" s="163"/>
      <c r="H812" s="162"/>
      <c r="J812" s="147"/>
    </row>
    <row r="813" spans="5:10" ht="12.75" customHeight="1">
      <c r="E813" s="162"/>
      <c r="F813" s="162"/>
      <c r="G813" s="163"/>
      <c r="H813" s="162"/>
      <c r="J813" s="147"/>
    </row>
    <row r="814" spans="5:10" ht="12.75" customHeight="1">
      <c r="E814" s="162"/>
      <c r="F814" s="162"/>
      <c r="G814" s="163"/>
      <c r="H814" s="162"/>
      <c r="J814" s="147"/>
    </row>
    <row r="815" spans="5:10" ht="12.75" customHeight="1">
      <c r="E815" s="162"/>
      <c r="F815" s="162"/>
      <c r="G815" s="163"/>
      <c r="H815" s="162"/>
      <c r="J815" s="147"/>
    </row>
    <row r="816" spans="5:10" ht="12.75" customHeight="1">
      <c r="E816" s="162"/>
      <c r="F816" s="162"/>
      <c r="G816" s="163"/>
      <c r="H816" s="162"/>
      <c r="J816" s="147"/>
    </row>
    <row r="817" spans="5:10" ht="12.75" customHeight="1">
      <c r="E817" s="162"/>
      <c r="F817" s="162"/>
      <c r="G817" s="163"/>
      <c r="H817" s="162"/>
      <c r="J817" s="147"/>
    </row>
    <row r="818" spans="5:10" ht="12.75" customHeight="1">
      <c r="E818" s="162"/>
      <c r="F818" s="162"/>
      <c r="G818" s="163"/>
      <c r="H818" s="162"/>
      <c r="J818" s="147"/>
    </row>
    <row r="819" spans="5:10" ht="12.75" customHeight="1">
      <c r="E819" s="162"/>
      <c r="F819" s="162"/>
      <c r="G819" s="163"/>
      <c r="H819" s="162"/>
      <c r="J819" s="147"/>
    </row>
    <row r="820" spans="5:10" ht="12.75" customHeight="1">
      <c r="E820" s="162"/>
      <c r="F820" s="162"/>
      <c r="G820" s="163"/>
      <c r="H820" s="162"/>
      <c r="J820" s="147"/>
    </row>
    <row r="821" spans="5:10" ht="12.75" customHeight="1">
      <c r="E821" s="162"/>
      <c r="F821" s="162"/>
      <c r="G821" s="163"/>
      <c r="H821" s="162"/>
      <c r="J821" s="147"/>
    </row>
    <row r="822" spans="5:10" ht="12.75" customHeight="1">
      <c r="E822" s="162"/>
      <c r="F822" s="162"/>
      <c r="G822" s="163"/>
      <c r="H822" s="162"/>
      <c r="J822" s="147"/>
    </row>
    <row r="823" spans="5:10" ht="12.75" customHeight="1">
      <c r="E823" s="162"/>
      <c r="F823" s="162"/>
      <c r="G823" s="163"/>
      <c r="H823" s="162"/>
      <c r="J823" s="147"/>
    </row>
    <row r="824" spans="5:10" ht="12.75" customHeight="1">
      <c r="E824" s="162"/>
      <c r="F824" s="162"/>
      <c r="G824" s="163"/>
      <c r="H824" s="162"/>
      <c r="J824" s="147"/>
    </row>
    <row r="825" spans="5:10" ht="12.75" customHeight="1">
      <c r="E825" s="162"/>
      <c r="F825" s="162"/>
      <c r="G825" s="163"/>
      <c r="H825" s="162"/>
      <c r="J825" s="147"/>
    </row>
    <row r="826" spans="5:10" ht="12.75" customHeight="1">
      <c r="E826" s="162"/>
      <c r="F826" s="162"/>
      <c r="G826" s="163"/>
      <c r="H826" s="162"/>
      <c r="J826" s="147"/>
    </row>
    <row r="827" spans="5:10" ht="12.75" customHeight="1">
      <c r="E827" s="162"/>
      <c r="F827" s="162"/>
      <c r="G827" s="163"/>
      <c r="H827" s="162"/>
      <c r="J827" s="147"/>
    </row>
    <row r="828" spans="5:10" ht="12.75" customHeight="1">
      <c r="E828" s="162"/>
      <c r="F828" s="162"/>
      <c r="G828" s="163"/>
      <c r="H828" s="162"/>
      <c r="J828" s="147"/>
    </row>
    <row r="829" spans="5:10" ht="12.75" customHeight="1">
      <c r="E829" s="162"/>
      <c r="F829" s="162"/>
      <c r="G829" s="163"/>
      <c r="H829" s="162"/>
      <c r="J829" s="147"/>
    </row>
    <row r="830" spans="5:10" ht="12.75" customHeight="1">
      <c r="E830" s="162"/>
      <c r="F830" s="162"/>
      <c r="G830" s="163"/>
      <c r="H830" s="162"/>
      <c r="J830" s="147"/>
    </row>
    <row r="831" spans="5:10" ht="12.75" customHeight="1">
      <c r="E831" s="162"/>
      <c r="F831" s="162"/>
      <c r="G831" s="163"/>
      <c r="H831" s="162"/>
      <c r="J831" s="147"/>
    </row>
    <row r="832" spans="5:10" ht="12.75" customHeight="1">
      <c r="E832" s="162"/>
      <c r="F832" s="162"/>
      <c r="G832" s="163"/>
      <c r="H832" s="162"/>
      <c r="J832" s="147"/>
    </row>
    <row r="833" spans="5:10" ht="12.75" customHeight="1">
      <c r="E833" s="162"/>
      <c r="F833" s="162"/>
      <c r="G833" s="163"/>
      <c r="H833" s="162"/>
      <c r="J833" s="147"/>
    </row>
    <row r="834" spans="5:10" ht="12.75" customHeight="1">
      <c r="E834" s="162"/>
      <c r="F834" s="162"/>
      <c r="G834" s="163"/>
      <c r="H834" s="162"/>
      <c r="J834" s="147"/>
    </row>
    <row r="835" spans="5:10" ht="12.75" customHeight="1">
      <c r="E835" s="162"/>
      <c r="F835" s="162"/>
      <c r="G835" s="163"/>
      <c r="H835" s="162"/>
      <c r="J835" s="147"/>
    </row>
    <row r="836" spans="5:10" ht="12.75" customHeight="1">
      <c r="E836" s="162"/>
      <c r="F836" s="162"/>
      <c r="G836" s="163"/>
      <c r="H836" s="162"/>
      <c r="J836" s="147"/>
    </row>
    <row r="837" spans="5:10" ht="12.75" customHeight="1">
      <c r="E837" s="162"/>
      <c r="F837" s="162"/>
      <c r="G837" s="163"/>
      <c r="H837" s="162"/>
      <c r="J837" s="147"/>
    </row>
    <row r="838" spans="5:10" ht="12.75" customHeight="1">
      <c r="E838" s="162"/>
      <c r="F838" s="162"/>
      <c r="G838" s="163"/>
      <c r="H838" s="162"/>
      <c r="J838" s="147"/>
    </row>
    <row r="839" spans="5:10" ht="12.75" customHeight="1">
      <c r="E839" s="162"/>
      <c r="F839" s="162"/>
      <c r="G839" s="163"/>
      <c r="H839" s="162"/>
      <c r="J839" s="147"/>
    </row>
    <row r="840" spans="5:10" ht="12.75" customHeight="1">
      <c r="E840" s="162"/>
      <c r="F840" s="162"/>
      <c r="G840" s="163"/>
      <c r="H840" s="162"/>
      <c r="J840" s="147"/>
    </row>
    <row r="841" spans="5:10" ht="12.75" customHeight="1">
      <c r="E841" s="162"/>
      <c r="F841" s="162"/>
      <c r="G841" s="163"/>
      <c r="H841" s="162"/>
      <c r="J841" s="147"/>
    </row>
    <row r="842" spans="5:10" ht="12.75" customHeight="1">
      <c r="E842" s="162"/>
      <c r="F842" s="162"/>
      <c r="G842" s="163"/>
      <c r="H842" s="162"/>
      <c r="J842" s="147"/>
    </row>
    <row r="843" spans="5:10" ht="12.75" customHeight="1">
      <c r="E843" s="162"/>
      <c r="F843" s="162"/>
      <c r="G843" s="163"/>
      <c r="H843" s="162"/>
      <c r="J843" s="147"/>
    </row>
    <row r="844" spans="5:10" ht="12.75" customHeight="1">
      <c r="E844" s="162"/>
      <c r="F844" s="162"/>
      <c r="G844" s="163"/>
      <c r="H844" s="162"/>
      <c r="J844" s="147"/>
    </row>
    <row r="845" spans="5:10" ht="12.75" customHeight="1">
      <c r="E845" s="162"/>
      <c r="F845" s="162"/>
      <c r="G845" s="163"/>
      <c r="H845" s="162"/>
      <c r="J845" s="147"/>
    </row>
    <row r="846" spans="5:10" ht="12.75" customHeight="1">
      <c r="E846" s="162"/>
      <c r="F846" s="162"/>
      <c r="G846" s="163"/>
      <c r="H846" s="162"/>
      <c r="J846" s="147"/>
    </row>
    <row r="847" spans="5:10" ht="12.75" customHeight="1">
      <c r="E847" s="162"/>
      <c r="F847" s="162"/>
      <c r="G847" s="163"/>
      <c r="H847" s="162"/>
      <c r="J847" s="147"/>
    </row>
    <row r="848" spans="5:10" ht="12.75" customHeight="1">
      <c r="E848" s="162"/>
      <c r="F848" s="162"/>
      <c r="G848" s="163"/>
      <c r="H848" s="162"/>
      <c r="J848" s="147"/>
    </row>
    <row r="849" spans="5:10" ht="12.75" customHeight="1">
      <c r="E849" s="162"/>
      <c r="F849" s="162"/>
      <c r="G849" s="163"/>
      <c r="H849" s="162"/>
      <c r="J849" s="147"/>
    </row>
    <row r="850" spans="5:10" ht="12.75" customHeight="1">
      <c r="E850" s="162"/>
      <c r="F850" s="162"/>
      <c r="G850" s="163"/>
      <c r="H850" s="162"/>
      <c r="J850" s="147"/>
    </row>
    <row r="851" spans="5:10" ht="12.75" customHeight="1">
      <c r="E851" s="162"/>
      <c r="F851" s="162"/>
      <c r="G851" s="163"/>
      <c r="H851" s="162"/>
      <c r="J851" s="147"/>
    </row>
    <row r="852" spans="5:10" ht="12.75" customHeight="1">
      <c r="E852" s="162"/>
      <c r="F852" s="162"/>
      <c r="G852" s="163"/>
      <c r="H852" s="162"/>
      <c r="J852" s="147"/>
    </row>
    <row r="853" spans="5:10" ht="12.75" customHeight="1">
      <c r="E853" s="162"/>
      <c r="F853" s="162"/>
      <c r="G853" s="163"/>
      <c r="H853" s="162"/>
      <c r="J853" s="147"/>
    </row>
    <row r="854" spans="5:10" ht="12.75" customHeight="1">
      <c r="E854" s="162"/>
      <c r="F854" s="162"/>
      <c r="G854" s="163"/>
      <c r="H854" s="162"/>
      <c r="J854" s="147"/>
    </row>
    <row r="855" spans="5:10" ht="12.75" customHeight="1">
      <c r="E855" s="162"/>
      <c r="F855" s="162"/>
      <c r="G855" s="163"/>
      <c r="H855" s="162"/>
      <c r="J855" s="147"/>
    </row>
    <row r="856" spans="5:10" ht="12.75" customHeight="1">
      <c r="E856" s="162"/>
      <c r="F856" s="162"/>
      <c r="G856" s="163"/>
      <c r="H856" s="162"/>
      <c r="J856" s="147"/>
    </row>
    <row r="857" spans="5:10" ht="12.75" customHeight="1">
      <c r="E857" s="162"/>
      <c r="F857" s="162"/>
      <c r="G857" s="163"/>
      <c r="H857" s="162"/>
      <c r="J857" s="147"/>
    </row>
    <row r="858" spans="5:10" ht="12.75" customHeight="1">
      <c r="E858" s="162"/>
      <c r="F858" s="162"/>
      <c r="G858" s="163"/>
      <c r="H858" s="162"/>
      <c r="J858" s="147"/>
    </row>
    <row r="859" spans="5:10" ht="12.75" customHeight="1">
      <c r="E859" s="162"/>
      <c r="F859" s="162"/>
      <c r="G859" s="163"/>
      <c r="H859" s="162"/>
      <c r="J859" s="147"/>
    </row>
    <row r="860" spans="5:10" ht="12.75" customHeight="1">
      <c r="E860" s="162"/>
      <c r="F860" s="162"/>
      <c r="G860" s="163"/>
      <c r="H860" s="162"/>
      <c r="J860" s="147"/>
    </row>
    <row r="861" spans="5:10" ht="12.75" customHeight="1">
      <c r="E861" s="162"/>
      <c r="F861" s="162"/>
      <c r="G861" s="163"/>
      <c r="H861" s="162"/>
      <c r="J861" s="147"/>
    </row>
    <row r="862" spans="5:10" ht="12.75" customHeight="1">
      <c r="E862" s="162"/>
      <c r="F862" s="162"/>
      <c r="G862" s="163"/>
      <c r="H862" s="162"/>
      <c r="J862" s="147"/>
    </row>
    <row r="863" spans="5:10" ht="12.75" customHeight="1">
      <c r="E863" s="162"/>
      <c r="F863" s="162"/>
      <c r="G863" s="163"/>
      <c r="H863" s="162"/>
      <c r="J863" s="147"/>
    </row>
    <row r="864" spans="5:10" ht="12.75" customHeight="1">
      <c r="E864" s="162"/>
      <c r="F864" s="162"/>
      <c r="G864" s="163"/>
      <c r="H864" s="162"/>
      <c r="J864" s="147"/>
    </row>
    <row r="865" spans="5:10" ht="12.75" customHeight="1">
      <c r="E865" s="162"/>
      <c r="F865" s="162"/>
      <c r="G865" s="163"/>
      <c r="H865" s="162"/>
      <c r="J865" s="147"/>
    </row>
    <row r="866" spans="5:10" ht="12.75" customHeight="1">
      <c r="E866" s="162"/>
      <c r="F866" s="162"/>
      <c r="G866" s="163"/>
      <c r="H866" s="162"/>
      <c r="J866" s="147"/>
    </row>
    <row r="867" spans="5:10" ht="12.75" customHeight="1">
      <c r="E867" s="162"/>
      <c r="F867" s="162"/>
      <c r="G867" s="163"/>
      <c r="H867" s="162"/>
      <c r="J867" s="147"/>
    </row>
    <row r="868" spans="5:10" ht="12.75" customHeight="1">
      <c r="E868" s="162"/>
      <c r="F868" s="162"/>
      <c r="G868" s="163"/>
      <c r="H868" s="162"/>
      <c r="J868" s="147"/>
    </row>
    <row r="869" spans="5:10" ht="12.75" customHeight="1">
      <c r="E869" s="162"/>
      <c r="F869" s="162"/>
      <c r="G869" s="163"/>
      <c r="H869" s="162"/>
      <c r="J869" s="147"/>
    </row>
    <row r="870" spans="5:10" ht="12.75" customHeight="1">
      <c r="E870" s="162"/>
      <c r="F870" s="162"/>
      <c r="G870" s="163"/>
      <c r="H870" s="162"/>
      <c r="J870" s="147"/>
    </row>
    <row r="871" spans="5:10" ht="12.75" customHeight="1">
      <c r="E871" s="162"/>
      <c r="F871" s="162"/>
      <c r="G871" s="163"/>
      <c r="H871" s="162"/>
      <c r="J871" s="147"/>
    </row>
    <row r="872" spans="5:10" ht="12.75" customHeight="1">
      <c r="E872" s="162"/>
      <c r="F872" s="162"/>
      <c r="G872" s="163"/>
      <c r="H872" s="162"/>
      <c r="J872" s="147"/>
    </row>
    <row r="873" spans="5:10" ht="12.75" customHeight="1">
      <c r="E873" s="162"/>
      <c r="F873" s="162"/>
      <c r="G873" s="163"/>
      <c r="H873" s="162"/>
      <c r="J873" s="147"/>
    </row>
    <row r="874" spans="5:10" ht="12.75" customHeight="1">
      <c r="E874" s="162"/>
      <c r="F874" s="162"/>
      <c r="G874" s="163"/>
      <c r="H874" s="162"/>
      <c r="J874" s="147"/>
    </row>
    <row r="875" spans="5:10" ht="12.75" customHeight="1">
      <c r="E875" s="162"/>
      <c r="F875" s="162"/>
      <c r="G875" s="163"/>
      <c r="H875" s="162"/>
      <c r="J875" s="147"/>
    </row>
    <row r="876" spans="5:10" ht="12.75" customHeight="1">
      <c r="E876" s="162"/>
      <c r="F876" s="162"/>
      <c r="G876" s="163"/>
      <c r="H876" s="162"/>
      <c r="J876" s="147"/>
    </row>
    <row r="877" spans="5:10" ht="12.75" customHeight="1">
      <c r="E877" s="162"/>
      <c r="F877" s="162"/>
      <c r="G877" s="163"/>
      <c r="H877" s="162"/>
      <c r="J877" s="147"/>
    </row>
    <row r="878" spans="5:10" ht="12.75" customHeight="1">
      <c r="E878" s="162"/>
      <c r="F878" s="162"/>
      <c r="G878" s="163"/>
      <c r="H878" s="162"/>
      <c r="J878" s="147"/>
    </row>
    <row r="879" spans="5:10" ht="12.75" customHeight="1">
      <c r="E879" s="162"/>
      <c r="F879" s="162"/>
      <c r="G879" s="163"/>
      <c r="H879" s="162"/>
      <c r="J879" s="147"/>
    </row>
    <row r="880" spans="5:10" ht="12.75" customHeight="1">
      <c r="E880" s="162"/>
      <c r="F880" s="162"/>
      <c r="G880" s="163"/>
      <c r="H880" s="162"/>
      <c r="J880" s="147"/>
    </row>
    <row r="881" spans="5:10" ht="12.75" customHeight="1">
      <c r="E881" s="162"/>
      <c r="F881" s="162"/>
      <c r="G881" s="163"/>
      <c r="H881" s="162"/>
      <c r="J881" s="147"/>
    </row>
    <row r="882" spans="5:10" ht="12.75" customHeight="1">
      <c r="E882" s="162"/>
      <c r="F882" s="162"/>
      <c r="G882" s="163"/>
      <c r="H882" s="162"/>
      <c r="J882" s="147"/>
    </row>
    <row r="883" spans="5:10" ht="12.75" customHeight="1">
      <c r="E883" s="162"/>
      <c r="F883" s="162"/>
      <c r="G883" s="163"/>
      <c r="H883" s="162"/>
      <c r="J883" s="147"/>
    </row>
    <row r="884" spans="5:10" ht="12.75" customHeight="1">
      <c r="E884" s="162"/>
      <c r="F884" s="162"/>
      <c r="G884" s="163"/>
      <c r="H884" s="162"/>
      <c r="J884" s="147"/>
    </row>
    <row r="885" spans="5:10" ht="12.75" customHeight="1">
      <c r="E885" s="162"/>
      <c r="F885" s="162"/>
      <c r="G885" s="163"/>
      <c r="H885" s="162"/>
      <c r="J885" s="147"/>
    </row>
    <row r="886" spans="5:10" ht="12.75" customHeight="1">
      <c r="E886" s="162"/>
      <c r="F886" s="162"/>
      <c r="G886" s="163"/>
      <c r="H886" s="162"/>
      <c r="J886" s="147"/>
    </row>
    <row r="887" spans="5:10" ht="12.75" customHeight="1">
      <c r="E887" s="162"/>
      <c r="F887" s="162"/>
      <c r="G887" s="163"/>
      <c r="H887" s="162"/>
      <c r="J887" s="147"/>
    </row>
    <row r="888" spans="5:10" ht="12.75" customHeight="1">
      <c r="E888" s="162"/>
      <c r="F888" s="162"/>
      <c r="G888" s="163"/>
      <c r="H888" s="162"/>
      <c r="J888" s="147"/>
    </row>
    <row r="889" spans="5:10" ht="12.75" customHeight="1">
      <c r="E889" s="162"/>
      <c r="F889" s="162"/>
      <c r="G889" s="163"/>
      <c r="H889" s="162"/>
      <c r="J889" s="147"/>
    </row>
    <row r="890" spans="5:10" ht="12.75" customHeight="1">
      <c r="E890" s="162"/>
      <c r="F890" s="162"/>
      <c r="G890" s="163"/>
      <c r="H890" s="162"/>
      <c r="J890" s="147"/>
    </row>
    <row r="891" spans="5:10" ht="12.75" customHeight="1">
      <c r="E891" s="162"/>
      <c r="F891" s="162"/>
      <c r="G891" s="163"/>
      <c r="H891" s="162"/>
      <c r="J891" s="147"/>
    </row>
    <row r="892" spans="5:10" ht="12.75" customHeight="1">
      <c r="E892" s="162"/>
      <c r="F892" s="162"/>
      <c r="G892" s="163"/>
      <c r="H892" s="162"/>
      <c r="J892" s="147"/>
    </row>
    <row r="893" spans="5:10" ht="12.75" customHeight="1">
      <c r="E893" s="162"/>
      <c r="F893" s="162"/>
      <c r="G893" s="163"/>
      <c r="H893" s="162"/>
      <c r="J893" s="147"/>
    </row>
    <row r="894" spans="5:10" ht="12.75" customHeight="1">
      <c r="E894" s="162"/>
      <c r="F894" s="162"/>
      <c r="G894" s="163"/>
      <c r="H894" s="162"/>
      <c r="J894" s="147"/>
    </row>
    <row r="895" spans="5:10" ht="12.75" customHeight="1">
      <c r="E895" s="162"/>
      <c r="F895" s="162"/>
      <c r="G895" s="163"/>
      <c r="H895" s="162"/>
      <c r="J895" s="147"/>
    </row>
    <row r="896" spans="5:10" ht="12.75" customHeight="1">
      <c r="E896" s="162"/>
      <c r="F896" s="162"/>
      <c r="G896" s="163"/>
      <c r="H896" s="162"/>
      <c r="J896" s="147"/>
    </row>
    <row r="897" spans="5:10" ht="12.75" customHeight="1">
      <c r="E897" s="162"/>
      <c r="F897" s="162"/>
      <c r="G897" s="163"/>
      <c r="H897" s="162"/>
      <c r="J897" s="147"/>
    </row>
    <row r="898" spans="5:10" ht="12.75" customHeight="1">
      <c r="E898" s="162"/>
      <c r="F898" s="162"/>
      <c r="G898" s="163"/>
      <c r="H898" s="162"/>
      <c r="J898" s="147"/>
    </row>
    <row r="899" spans="5:10" ht="12.75" customHeight="1">
      <c r="E899" s="162"/>
      <c r="F899" s="162"/>
      <c r="G899" s="163"/>
      <c r="H899" s="162"/>
      <c r="J899" s="147"/>
    </row>
    <row r="900" spans="5:10" ht="12.75" customHeight="1">
      <c r="E900" s="162"/>
      <c r="F900" s="162"/>
      <c r="G900" s="163"/>
      <c r="H900" s="162"/>
      <c r="J900" s="147"/>
    </row>
    <row r="901" spans="5:10" ht="12.75" customHeight="1">
      <c r="E901" s="162"/>
      <c r="F901" s="162"/>
      <c r="G901" s="163"/>
      <c r="H901" s="162"/>
      <c r="J901" s="147"/>
    </row>
    <row r="902" spans="5:10" ht="12.75" customHeight="1">
      <c r="E902" s="162"/>
      <c r="F902" s="162"/>
      <c r="G902" s="163"/>
      <c r="H902" s="162"/>
      <c r="J902" s="147"/>
    </row>
    <row r="903" spans="5:10" ht="12.75" customHeight="1">
      <c r="E903" s="162"/>
      <c r="F903" s="162"/>
      <c r="G903" s="163"/>
      <c r="H903" s="162"/>
      <c r="J903" s="147"/>
    </row>
    <row r="904" spans="5:10" ht="12.75" customHeight="1">
      <c r="E904" s="162"/>
      <c r="F904" s="162"/>
      <c r="G904" s="163"/>
      <c r="H904" s="162"/>
      <c r="J904" s="147"/>
    </row>
    <row r="905" spans="5:10" ht="12.75" customHeight="1">
      <c r="E905" s="162"/>
      <c r="F905" s="162"/>
      <c r="G905" s="163"/>
      <c r="H905" s="162"/>
      <c r="J905" s="147"/>
    </row>
    <row r="906" spans="5:10" ht="12.75" customHeight="1">
      <c r="E906" s="162"/>
      <c r="F906" s="162"/>
      <c r="G906" s="163"/>
      <c r="H906" s="162"/>
      <c r="J906" s="147"/>
    </row>
    <row r="907" spans="5:10" ht="12.75" customHeight="1">
      <c r="E907" s="162"/>
      <c r="F907" s="162"/>
      <c r="G907" s="163"/>
      <c r="H907" s="162"/>
      <c r="J907" s="147"/>
    </row>
    <row r="908" spans="5:10" ht="12.75" customHeight="1">
      <c r="E908" s="162"/>
      <c r="F908" s="162"/>
      <c r="G908" s="163"/>
      <c r="H908" s="162"/>
      <c r="J908" s="147"/>
    </row>
    <row r="909" spans="5:10" ht="12.75" customHeight="1">
      <c r="E909" s="162"/>
      <c r="F909" s="162"/>
      <c r="G909" s="163"/>
      <c r="H909" s="162"/>
      <c r="J909" s="147"/>
    </row>
    <row r="910" spans="5:10" ht="12.75" customHeight="1">
      <c r="E910" s="162"/>
      <c r="F910" s="162"/>
      <c r="G910" s="163"/>
      <c r="H910" s="162"/>
      <c r="J910" s="147"/>
    </row>
    <row r="911" spans="5:10" ht="12.75" customHeight="1">
      <c r="E911" s="162"/>
      <c r="F911" s="162"/>
      <c r="G911" s="163"/>
      <c r="H911" s="162"/>
      <c r="J911" s="147"/>
    </row>
    <row r="912" spans="5:10" ht="12.75" customHeight="1">
      <c r="E912" s="162"/>
      <c r="F912" s="162"/>
      <c r="G912" s="163"/>
      <c r="H912" s="162"/>
      <c r="J912" s="147"/>
    </row>
    <row r="913" spans="5:10" ht="12.75" customHeight="1">
      <c r="E913" s="162"/>
      <c r="F913" s="162"/>
      <c r="G913" s="163"/>
      <c r="H913" s="162"/>
      <c r="J913" s="147"/>
    </row>
    <row r="914" spans="5:10" ht="12.75" customHeight="1">
      <c r="E914" s="162"/>
      <c r="F914" s="162"/>
      <c r="G914" s="163"/>
      <c r="H914" s="162"/>
      <c r="J914" s="147"/>
    </row>
    <row r="915" spans="5:10" ht="12.75" customHeight="1">
      <c r="E915" s="162"/>
      <c r="F915" s="162"/>
      <c r="G915" s="163"/>
      <c r="H915" s="162"/>
      <c r="J915" s="147"/>
    </row>
    <row r="916" spans="5:10" ht="12.75" customHeight="1">
      <c r="E916" s="162"/>
      <c r="F916" s="162"/>
      <c r="G916" s="163"/>
      <c r="H916" s="162"/>
      <c r="J916" s="147"/>
    </row>
    <row r="917" spans="5:10" ht="12.75" customHeight="1">
      <c r="E917" s="162"/>
      <c r="F917" s="162"/>
      <c r="G917" s="163"/>
      <c r="H917" s="162"/>
      <c r="J917" s="147"/>
    </row>
    <row r="918" spans="5:10" ht="12.75" customHeight="1">
      <c r="E918" s="162"/>
      <c r="F918" s="162"/>
      <c r="G918" s="163"/>
      <c r="H918" s="162"/>
      <c r="J918" s="147"/>
    </row>
    <row r="919" spans="5:10" ht="12.75" customHeight="1">
      <c r="E919" s="162"/>
      <c r="F919" s="162"/>
      <c r="G919" s="163"/>
      <c r="H919" s="162"/>
      <c r="J919" s="147"/>
    </row>
    <row r="920" spans="5:10" ht="12.75" customHeight="1">
      <c r="E920" s="162"/>
      <c r="F920" s="162"/>
      <c r="G920" s="163"/>
      <c r="H920" s="162"/>
      <c r="J920" s="147"/>
    </row>
    <row r="921" spans="5:10" ht="12.75" customHeight="1">
      <c r="E921" s="162"/>
      <c r="F921" s="162"/>
      <c r="G921" s="163"/>
      <c r="H921" s="162"/>
      <c r="J921" s="147"/>
    </row>
    <row r="922" spans="5:10" ht="12.75" customHeight="1">
      <c r="E922" s="162"/>
      <c r="F922" s="162"/>
      <c r="G922" s="163"/>
      <c r="H922" s="162"/>
      <c r="J922" s="147"/>
    </row>
    <row r="923" spans="5:10" ht="12.75" customHeight="1">
      <c r="E923" s="162"/>
      <c r="F923" s="162"/>
      <c r="G923" s="163"/>
      <c r="H923" s="162"/>
      <c r="J923" s="147"/>
    </row>
    <row r="924" spans="5:10" ht="12.75" customHeight="1">
      <c r="E924" s="162"/>
      <c r="F924" s="162"/>
      <c r="G924" s="163"/>
      <c r="H924" s="162"/>
      <c r="J924" s="147"/>
    </row>
    <row r="925" spans="5:10" ht="12.75" customHeight="1">
      <c r="E925" s="162"/>
      <c r="F925" s="162"/>
      <c r="G925" s="163"/>
      <c r="H925" s="162"/>
      <c r="J925" s="147"/>
    </row>
    <row r="926" spans="5:10" ht="12.75" customHeight="1">
      <c r="E926" s="162"/>
      <c r="F926" s="162"/>
      <c r="G926" s="163"/>
      <c r="H926" s="162"/>
      <c r="J926" s="147"/>
    </row>
    <row r="927" spans="5:10" ht="12.75" customHeight="1">
      <c r="E927" s="162"/>
      <c r="F927" s="162"/>
      <c r="G927" s="163"/>
      <c r="H927" s="162"/>
      <c r="J927" s="147"/>
    </row>
    <row r="928" spans="5:10" ht="12.75" customHeight="1">
      <c r="E928" s="162"/>
      <c r="F928" s="162"/>
      <c r="G928" s="163"/>
      <c r="H928" s="162"/>
      <c r="J928" s="147"/>
    </row>
    <row r="929" spans="5:10" ht="12.75" customHeight="1">
      <c r="E929" s="162"/>
      <c r="F929" s="162"/>
      <c r="G929" s="163"/>
      <c r="H929" s="162"/>
      <c r="J929" s="147"/>
    </row>
    <row r="930" spans="5:10" ht="12.75" customHeight="1">
      <c r="E930" s="162"/>
      <c r="F930" s="162"/>
      <c r="G930" s="163"/>
      <c r="H930" s="162"/>
      <c r="J930" s="147"/>
    </row>
    <row r="931" spans="5:10" ht="12.75" customHeight="1">
      <c r="E931" s="162"/>
      <c r="F931" s="162"/>
      <c r="G931" s="163"/>
      <c r="H931" s="162"/>
      <c r="J931" s="147"/>
    </row>
    <row r="932" spans="5:10" ht="12.75" customHeight="1">
      <c r="E932" s="162"/>
      <c r="F932" s="162"/>
      <c r="G932" s="163"/>
      <c r="H932" s="162"/>
      <c r="J932" s="147"/>
    </row>
    <row r="933" spans="5:10" ht="12.75" customHeight="1">
      <c r="E933" s="162"/>
      <c r="F933" s="162"/>
      <c r="G933" s="163"/>
      <c r="H933" s="162"/>
      <c r="J933" s="147"/>
    </row>
    <row r="934" spans="5:10" ht="12.75" customHeight="1">
      <c r="E934" s="162"/>
      <c r="F934" s="162"/>
      <c r="G934" s="163"/>
      <c r="H934" s="162"/>
      <c r="J934" s="147"/>
    </row>
    <row r="935" spans="5:10" ht="12.75" customHeight="1">
      <c r="E935" s="162"/>
      <c r="F935" s="162"/>
      <c r="G935" s="163"/>
      <c r="H935" s="162"/>
      <c r="J935" s="147"/>
    </row>
    <row r="936" spans="5:10" ht="12.75" customHeight="1">
      <c r="E936" s="162"/>
      <c r="F936" s="162"/>
      <c r="G936" s="163"/>
      <c r="H936" s="162"/>
      <c r="J936" s="147"/>
    </row>
    <row r="937" spans="5:10" ht="12.75" customHeight="1">
      <c r="E937" s="162"/>
      <c r="F937" s="162"/>
      <c r="G937" s="163"/>
      <c r="H937" s="162"/>
      <c r="J937" s="147"/>
    </row>
    <row r="938" spans="5:10" ht="12.75" customHeight="1">
      <c r="E938" s="162"/>
      <c r="F938" s="162"/>
      <c r="G938" s="163"/>
      <c r="H938" s="162"/>
      <c r="J938" s="147"/>
    </row>
    <row r="939" spans="5:10" ht="12.75" customHeight="1">
      <c r="E939" s="162"/>
      <c r="F939" s="162"/>
      <c r="G939" s="163"/>
      <c r="H939" s="162"/>
      <c r="J939" s="147"/>
    </row>
    <row r="940" spans="5:10" ht="12.75" customHeight="1">
      <c r="E940" s="162"/>
      <c r="F940" s="162"/>
      <c r="G940" s="163"/>
      <c r="H940" s="162"/>
      <c r="J940" s="147"/>
    </row>
    <row r="941" spans="5:10" ht="12.75" customHeight="1">
      <c r="E941" s="162"/>
      <c r="F941" s="162"/>
      <c r="G941" s="163"/>
      <c r="H941" s="162"/>
      <c r="J941" s="147"/>
    </row>
    <row r="942" spans="5:10" ht="12.75" customHeight="1">
      <c r="E942" s="162"/>
      <c r="F942" s="162"/>
      <c r="G942" s="163"/>
      <c r="H942" s="162"/>
      <c r="J942" s="147"/>
    </row>
    <row r="943" spans="5:10" ht="12.75" customHeight="1">
      <c r="E943" s="162"/>
      <c r="F943" s="162"/>
      <c r="G943" s="163"/>
      <c r="H943" s="162"/>
      <c r="J943" s="147"/>
    </row>
    <row r="944" spans="5:10" ht="12.75" customHeight="1">
      <c r="E944" s="162"/>
      <c r="F944" s="162"/>
      <c r="G944" s="163"/>
      <c r="H944" s="162"/>
      <c r="J944" s="147"/>
    </row>
    <row r="945" spans="5:10" ht="12.75" customHeight="1">
      <c r="E945" s="162"/>
      <c r="F945" s="162"/>
      <c r="G945" s="163"/>
      <c r="H945" s="162"/>
      <c r="J945" s="147"/>
    </row>
    <row r="946" spans="5:10" ht="12.75" customHeight="1">
      <c r="E946" s="162"/>
      <c r="F946" s="162"/>
      <c r="G946" s="163"/>
      <c r="H946" s="162"/>
      <c r="J946" s="147"/>
    </row>
    <row r="947" spans="5:10" ht="12.75" customHeight="1">
      <c r="E947" s="162"/>
      <c r="F947" s="162"/>
      <c r="G947" s="163"/>
      <c r="H947" s="162"/>
      <c r="J947" s="147"/>
    </row>
    <row r="948" spans="5:10" ht="12.75" customHeight="1">
      <c r="E948" s="162"/>
      <c r="F948" s="162"/>
      <c r="G948" s="163"/>
      <c r="H948" s="162"/>
      <c r="J948" s="147"/>
    </row>
    <row r="949" spans="5:10" ht="12.75" customHeight="1">
      <c r="E949" s="162"/>
      <c r="F949" s="162"/>
      <c r="G949" s="163"/>
      <c r="H949" s="162"/>
      <c r="J949" s="147"/>
    </row>
    <row r="950" spans="5:10" ht="12.75" customHeight="1">
      <c r="E950" s="162"/>
      <c r="F950" s="162"/>
      <c r="G950" s="163"/>
      <c r="H950" s="162"/>
      <c r="J950" s="147"/>
    </row>
    <row r="951" spans="5:10" ht="12.75" customHeight="1">
      <c r="E951" s="162"/>
      <c r="F951" s="162"/>
      <c r="G951" s="163"/>
      <c r="H951" s="162"/>
      <c r="J951" s="147"/>
    </row>
    <row r="952" spans="5:10" ht="12.75" customHeight="1">
      <c r="E952" s="162"/>
      <c r="F952" s="162"/>
      <c r="G952" s="163"/>
      <c r="H952" s="162"/>
      <c r="J952" s="147"/>
    </row>
    <row r="953" spans="5:10" ht="12.75" customHeight="1">
      <c r="E953" s="162"/>
      <c r="F953" s="162"/>
      <c r="G953" s="163"/>
      <c r="H953" s="162"/>
      <c r="J953" s="147"/>
    </row>
    <row r="954" spans="5:10" ht="12.75" customHeight="1">
      <c r="E954" s="162"/>
      <c r="F954" s="162"/>
      <c r="G954" s="163"/>
      <c r="H954" s="162"/>
      <c r="J954" s="147"/>
    </row>
    <row r="955" spans="5:10" ht="12.75" customHeight="1">
      <c r="E955" s="162"/>
      <c r="F955" s="162"/>
      <c r="G955" s="163"/>
      <c r="H955" s="162"/>
      <c r="J955" s="147"/>
    </row>
    <row r="956" spans="5:10" ht="12.75" customHeight="1">
      <c r="E956" s="162"/>
      <c r="F956" s="162"/>
      <c r="G956" s="163"/>
      <c r="H956" s="162"/>
      <c r="J956" s="147"/>
    </row>
    <row r="957" spans="5:10" ht="12.75" customHeight="1">
      <c r="E957" s="162"/>
      <c r="F957" s="162"/>
      <c r="G957" s="163"/>
      <c r="H957" s="162"/>
      <c r="J957" s="147"/>
    </row>
    <row r="958" spans="5:10" ht="12.75" customHeight="1">
      <c r="E958" s="162"/>
      <c r="F958" s="162"/>
      <c r="G958" s="163"/>
      <c r="H958" s="162"/>
      <c r="J958" s="147"/>
    </row>
    <row r="959" spans="5:10" ht="12.75" customHeight="1">
      <c r="E959" s="162"/>
      <c r="F959" s="162"/>
      <c r="G959" s="163"/>
      <c r="H959" s="162"/>
      <c r="J959" s="147"/>
    </row>
    <row r="960" spans="5:10" ht="12.75" customHeight="1">
      <c r="E960" s="162"/>
      <c r="F960" s="162"/>
      <c r="G960" s="163"/>
      <c r="H960" s="162"/>
      <c r="J960" s="147"/>
    </row>
    <row r="961" spans="5:10" ht="12.75" customHeight="1">
      <c r="E961" s="162"/>
      <c r="F961" s="162"/>
      <c r="G961" s="163"/>
      <c r="H961" s="162"/>
      <c r="J961" s="147"/>
    </row>
    <row r="962" spans="5:10" ht="12.75" customHeight="1">
      <c r="E962" s="162"/>
      <c r="F962" s="162"/>
      <c r="G962" s="163"/>
      <c r="H962" s="162"/>
      <c r="J962" s="147"/>
    </row>
    <row r="963" spans="5:10" ht="12.75" customHeight="1">
      <c r="E963" s="162"/>
      <c r="F963" s="162"/>
      <c r="G963" s="163"/>
      <c r="H963" s="162"/>
      <c r="J963" s="147"/>
    </row>
    <row r="964" spans="5:10" ht="12.75" customHeight="1">
      <c r="E964" s="162"/>
      <c r="F964" s="162"/>
      <c r="G964" s="163"/>
      <c r="H964" s="162"/>
      <c r="J964" s="147"/>
    </row>
    <row r="965" spans="5:10" ht="12.75" customHeight="1">
      <c r="E965" s="162"/>
      <c r="F965" s="162"/>
      <c r="G965" s="163"/>
      <c r="H965" s="162"/>
      <c r="J965" s="147"/>
    </row>
    <row r="966" spans="5:10" ht="12.75" customHeight="1">
      <c r="E966" s="162"/>
      <c r="F966" s="162"/>
      <c r="G966" s="163"/>
      <c r="H966" s="162"/>
      <c r="J966" s="147"/>
    </row>
    <row r="967" spans="5:10" ht="12.75" customHeight="1">
      <c r="E967" s="162"/>
      <c r="F967" s="162"/>
      <c r="G967" s="163"/>
      <c r="H967" s="162"/>
      <c r="J967" s="147"/>
    </row>
    <row r="968" spans="5:10" ht="12.75" customHeight="1">
      <c r="E968" s="162"/>
      <c r="F968" s="162"/>
      <c r="G968" s="163"/>
      <c r="H968" s="162"/>
      <c r="J968" s="147"/>
    </row>
    <row r="969" spans="5:10" ht="12.75" customHeight="1">
      <c r="E969" s="162"/>
      <c r="F969" s="162"/>
      <c r="G969" s="163"/>
      <c r="H969" s="162"/>
      <c r="J969" s="147"/>
    </row>
    <row r="970" spans="5:10" ht="12.75" customHeight="1">
      <c r="E970" s="162"/>
      <c r="F970" s="162"/>
      <c r="G970" s="163"/>
      <c r="H970" s="162"/>
      <c r="J970" s="147"/>
    </row>
    <row r="971" spans="5:10" ht="12.75" customHeight="1">
      <c r="E971" s="162"/>
      <c r="F971" s="162"/>
      <c r="G971" s="163"/>
      <c r="H971" s="162"/>
      <c r="J971" s="147"/>
    </row>
    <row r="972" spans="5:10" ht="12.75" customHeight="1">
      <c r="E972" s="162"/>
      <c r="F972" s="162"/>
      <c r="G972" s="163"/>
      <c r="H972" s="162"/>
      <c r="J972" s="147"/>
    </row>
    <row r="973" spans="5:10" ht="12.75" customHeight="1">
      <c r="E973" s="162"/>
      <c r="F973" s="162"/>
      <c r="G973" s="163"/>
      <c r="H973" s="162"/>
      <c r="J973" s="147"/>
    </row>
    <row r="974" spans="5:10" ht="12.75" customHeight="1">
      <c r="E974" s="162"/>
      <c r="F974" s="162"/>
      <c r="G974" s="163"/>
      <c r="H974" s="162"/>
      <c r="J974" s="147"/>
    </row>
    <row r="975" spans="5:10" ht="12.75" customHeight="1">
      <c r="E975" s="162"/>
      <c r="F975" s="162"/>
      <c r="G975" s="163"/>
      <c r="H975" s="162"/>
      <c r="J975" s="147"/>
    </row>
    <row r="976" spans="5:10" ht="12.75" customHeight="1">
      <c r="E976" s="162"/>
      <c r="F976" s="162"/>
      <c r="G976" s="163"/>
      <c r="H976" s="162"/>
      <c r="J976" s="147"/>
    </row>
    <row r="977" spans="5:10" ht="12.75" customHeight="1">
      <c r="E977" s="162"/>
      <c r="F977" s="162"/>
      <c r="G977" s="163"/>
      <c r="H977" s="162"/>
      <c r="J977" s="147"/>
    </row>
    <row r="978" spans="5:10" ht="12.75" customHeight="1">
      <c r="E978" s="162"/>
      <c r="F978" s="162"/>
      <c r="G978" s="163"/>
      <c r="H978" s="162"/>
      <c r="J978" s="147"/>
    </row>
    <row r="979" spans="5:10" ht="12.75" customHeight="1">
      <c r="E979" s="162"/>
      <c r="F979" s="162"/>
      <c r="G979" s="163"/>
      <c r="H979" s="162"/>
      <c r="J979" s="147"/>
    </row>
    <row r="980" spans="5:10" ht="12.75" customHeight="1">
      <c r="E980" s="162"/>
      <c r="F980" s="162"/>
      <c r="G980" s="163"/>
      <c r="H980" s="162"/>
      <c r="J980" s="147"/>
    </row>
    <row r="981" spans="5:10" ht="12.75" customHeight="1">
      <c r="E981" s="162"/>
      <c r="F981" s="162"/>
      <c r="G981" s="163"/>
      <c r="H981" s="162"/>
      <c r="J981" s="147"/>
    </row>
    <row r="982" spans="5:10" ht="12.75" customHeight="1">
      <c r="E982" s="162"/>
      <c r="F982" s="162"/>
      <c r="G982" s="163"/>
      <c r="H982" s="162"/>
      <c r="J982" s="147"/>
    </row>
    <row r="983" spans="5:10" ht="12.75" customHeight="1">
      <c r="E983" s="162"/>
      <c r="F983" s="162"/>
      <c r="G983" s="163"/>
      <c r="H983" s="162"/>
      <c r="J983" s="147"/>
    </row>
    <row r="984" spans="5:10" ht="12.75" customHeight="1">
      <c r="E984" s="162"/>
      <c r="F984" s="162"/>
      <c r="G984" s="163"/>
      <c r="H984" s="162"/>
      <c r="J984" s="147"/>
    </row>
    <row r="985" spans="5:10" ht="12.75" customHeight="1">
      <c r="E985" s="162"/>
      <c r="F985" s="162"/>
      <c r="G985" s="163"/>
      <c r="H985" s="162"/>
      <c r="J985" s="147"/>
    </row>
    <row r="986" spans="5:10" ht="12.75" customHeight="1">
      <c r="E986" s="162"/>
      <c r="F986" s="162"/>
      <c r="G986" s="163"/>
      <c r="H986" s="162"/>
      <c r="J986" s="147"/>
    </row>
    <row r="987" spans="5:10" ht="12.75" customHeight="1">
      <c r="E987" s="162"/>
      <c r="F987" s="162"/>
      <c r="G987" s="163"/>
      <c r="H987" s="162"/>
      <c r="J987" s="147"/>
    </row>
    <row r="988" spans="5:10" ht="12.75" customHeight="1">
      <c r="E988" s="162"/>
      <c r="F988" s="162"/>
      <c r="G988" s="163"/>
      <c r="H988" s="162"/>
      <c r="J988" s="147"/>
    </row>
    <row r="989" spans="5:10" ht="12.75" customHeight="1">
      <c r="E989" s="162"/>
      <c r="F989" s="162"/>
      <c r="G989" s="163"/>
      <c r="H989" s="162"/>
      <c r="J989" s="147"/>
    </row>
    <row r="990" spans="5:10" ht="12.75" customHeight="1">
      <c r="E990" s="162"/>
      <c r="F990" s="162"/>
      <c r="G990" s="163"/>
      <c r="H990" s="162"/>
      <c r="J990" s="147"/>
    </row>
    <row r="991" spans="5:10" ht="12.75" customHeight="1">
      <c r="E991" s="162"/>
      <c r="F991" s="162"/>
      <c r="G991" s="163"/>
      <c r="H991" s="162"/>
      <c r="J991" s="147"/>
    </row>
    <row r="992" spans="5:10" ht="12.75" customHeight="1">
      <c r="E992" s="162"/>
      <c r="F992" s="162"/>
      <c r="G992" s="163"/>
      <c r="H992" s="162"/>
      <c r="J992" s="147"/>
    </row>
    <row r="993" spans="5:10" ht="12.75" customHeight="1">
      <c r="E993" s="162"/>
      <c r="F993" s="162"/>
      <c r="G993" s="163"/>
      <c r="H993" s="162"/>
      <c r="J993" s="147"/>
    </row>
    <row r="994" spans="5:10" ht="12.75" customHeight="1">
      <c r="E994" s="162"/>
      <c r="F994" s="162"/>
      <c r="G994" s="163"/>
      <c r="H994" s="162"/>
      <c r="J994" s="147"/>
    </row>
    <row r="995" spans="5:10" ht="12.75" customHeight="1">
      <c r="E995" s="162"/>
      <c r="F995" s="162"/>
      <c r="G995" s="163"/>
      <c r="H995" s="162"/>
      <c r="J995" s="147"/>
    </row>
    <row r="996" spans="5:10" ht="12.75" customHeight="1">
      <c r="E996" s="162"/>
      <c r="F996" s="162"/>
      <c r="G996" s="163"/>
      <c r="H996" s="162"/>
      <c r="J996" s="147"/>
    </row>
    <row r="997" spans="5:10" ht="12.75" customHeight="1">
      <c r="E997" s="162"/>
      <c r="F997" s="162"/>
      <c r="G997" s="163"/>
      <c r="H997" s="162"/>
      <c r="J997" s="147"/>
    </row>
    <row r="998" spans="5:10" ht="12.75" customHeight="1">
      <c r="E998" s="162"/>
      <c r="F998" s="162"/>
      <c r="G998" s="163"/>
      <c r="H998" s="162"/>
      <c r="J998" s="147"/>
    </row>
    <row r="999" spans="5:10" ht="12.75" customHeight="1">
      <c r="E999" s="162"/>
      <c r="F999" s="162"/>
      <c r="G999" s="163"/>
      <c r="H999" s="162"/>
      <c r="J999" s="147"/>
    </row>
    <row r="1000" spans="5:10" ht="12.75" customHeight="1">
      <c r="E1000" s="162"/>
      <c r="F1000" s="162"/>
      <c r="G1000" s="163"/>
      <c r="H1000" s="162"/>
      <c r="J1000" s="147"/>
    </row>
  </sheetData>
  <mergeCells count="4">
    <mergeCell ref="D2:H2"/>
    <mergeCell ref="A5:J5"/>
    <mergeCell ref="A13:J13"/>
    <mergeCell ref="A15:J15"/>
  </mergeCells>
  <hyperlinks>
    <hyperlink ref="D8" r:id="rId1" xr:uid="{00000000-0004-0000-0C00-000000000000}"/>
    <hyperlink ref="D9" r:id="rId2" xr:uid="{00000000-0004-0000-0C00-000001000000}"/>
    <hyperlink ref="D10" r:id="rId3" xr:uid="{00000000-0004-0000-0C00-000002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640625" defaultRowHeight="15" customHeight="1"/>
  <cols>
    <col min="1" max="3" width="19.109375" customWidth="1"/>
    <col min="4" max="4" width="33.44140625" customWidth="1"/>
    <col min="5" max="6" width="17" customWidth="1"/>
    <col min="7" max="7" width="18" customWidth="1"/>
    <col min="8" max="8" width="17" customWidth="1"/>
    <col min="9" max="10" width="19.109375" customWidth="1"/>
    <col min="11" max="26" width="10" customWidth="1"/>
  </cols>
  <sheetData>
    <row r="1" spans="1:26" ht="12.75" customHeight="1">
      <c r="A1" s="8" t="s">
        <v>326</v>
      </c>
    </row>
    <row r="2" spans="1:26" ht="27.75" customHeight="1">
      <c r="D2" s="309" t="s">
        <v>116</v>
      </c>
      <c r="E2" s="310"/>
      <c r="F2" s="310"/>
      <c r="G2" s="310"/>
      <c r="H2" s="310"/>
    </row>
    <row r="3" spans="1:26" ht="12.75" customHeight="1"/>
    <row r="4" spans="1:26" ht="12.75" customHeight="1"/>
    <row r="5" spans="1:26" ht="43.5" customHeight="1">
      <c r="A5" s="311" t="s">
        <v>117</v>
      </c>
      <c r="B5" s="297"/>
      <c r="C5" s="297"/>
      <c r="D5" s="297"/>
      <c r="E5" s="297"/>
      <c r="F5" s="297"/>
      <c r="G5" s="297"/>
      <c r="H5" s="297"/>
      <c r="I5" s="297"/>
      <c r="J5" s="298"/>
    </row>
    <row r="6" spans="1:26" ht="15.75" customHeight="1"/>
    <row r="7" spans="1:26" ht="75.75" customHeight="1">
      <c r="A7" s="81" t="s">
        <v>118</v>
      </c>
      <c r="B7" s="106" t="s">
        <v>327</v>
      </c>
      <c r="C7" s="82" t="s">
        <v>328</v>
      </c>
      <c r="D7" s="82" t="s">
        <v>329</v>
      </c>
      <c r="E7" s="106" t="s">
        <v>330</v>
      </c>
      <c r="F7" s="107" t="s">
        <v>331</v>
      </c>
      <c r="G7" s="108" t="s">
        <v>332</v>
      </c>
      <c r="H7" s="106" t="s">
        <v>125</v>
      </c>
      <c r="I7" s="106" t="s">
        <v>333</v>
      </c>
      <c r="J7" s="106" t="s">
        <v>334</v>
      </c>
      <c r="K7" s="85"/>
      <c r="L7" s="85"/>
      <c r="M7" s="85"/>
      <c r="N7" s="85"/>
      <c r="O7" s="85"/>
      <c r="P7" s="85"/>
      <c r="Q7" s="85"/>
      <c r="R7" s="85"/>
      <c r="S7" s="85"/>
      <c r="T7" s="85"/>
      <c r="U7" s="85"/>
      <c r="V7" s="85"/>
      <c r="W7" s="85"/>
      <c r="X7" s="85"/>
      <c r="Y7" s="85"/>
      <c r="Z7" s="85"/>
    </row>
    <row r="8" spans="1:26" ht="109.5" customHeight="1">
      <c r="A8" s="119" t="s">
        <v>128</v>
      </c>
      <c r="B8" s="150" t="s">
        <v>289</v>
      </c>
      <c r="C8" s="109" t="s">
        <v>290</v>
      </c>
      <c r="D8" s="182" t="s">
        <v>335</v>
      </c>
      <c r="E8" s="183">
        <v>199000</v>
      </c>
      <c r="F8" s="103">
        <v>199000</v>
      </c>
      <c r="G8" s="103">
        <v>54.67</v>
      </c>
      <c r="H8" s="184" t="s">
        <v>292</v>
      </c>
      <c r="I8" s="150" t="s">
        <v>293</v>
      </c>
      <c r="J8" s="185" t="s">
        <v>336</v>
      </c>
    </row>
    <row r="9" spans="1:26" ht="81" customHeight="1">
      <c r="A9" s="119" t="s">
        <v>135</v>
      </c>
      <c r="B9" s="150" t="s">
        <v>319</v>
      </c>
      <c r="C9" s="186" t="s">
        <v>320</v>
      </c>
      <c r="D9" s="187" t="s">
        <v>337</v>
      </c>
      <c r="E9" s="183">
        <v>215900</v>
      </c>
      <c r="F9" s="103">
        <v>215900</v>
      </c>
      <c r="G9" s="103">
        <v>58.85</v>
      </c>
      <c r="H9" s="184" t="s">
        <v>292</v>
      </c>
      <c r="I9" s="188" t="s">
        <v>338</v>
      </c>
      <c r="J9" s="115" t="s">
        <v>339</v>
      </c>
    </row>
    <row r="10" spans="1:26" ht="121.5" customHeight="1">
      <c r="A10" s="119" t="s">
        <v>144</v>
      </c>
      <c r="B10" s="150" t="s">
        <v>289</v>
      </c>
      <c r="C10" s="189" t="s">
        <v>290</v>
      </c>
      <c r="D10" s="190" t="s">
        <v>340</v>
      </c>
      <c r="E10" s="183">
        <v>319900</v>
      </c>
      <c r="F10" s="103">
        <v>319900</v>
      </c>
      <c r="G10" s="103">
        <v>87.88</v>
      </c>
      <c r="H10" s="184" t="s">
        <v>292</v>
      </c>
      <c r="I10" s="188" t="s">
        <v>293</v>
      </c>
      <c r="J10" s="185" t="s">
        <v>341</v>
      </c>
    </row>
    <row r="11" spans="1:26" ht="15" customHeight="1">
      <c r="A11" s="96"/>
      <c r="B11" s="128"/>
      <c r="C11" s="128"/>
      <c r="D11" s="128"/>
      <c r="E11" s="128"/>
      <c r="F11" s="128"/>
      <c r="G11" s="128"/>
      <c r="H11" s="128"/>
      <c r="I11" s="128"/>
      <c r="J11" s="128"/>
    </row>
    <row r="12" spans="1:26" ht="12.75" customHeight="1"/>
    <row r="13" spans="1:26" ht="138.75" customHeight="1">
      <c r="A13" s="312" t="s">
        <v>342</v>
      </c>
      <c r="B13" s="297"/>
      <c r="C13" s="297"/>
      <c r="D13" s="297"/>
      <c r="E13" s="297"/>
      <c r="F13" s="297"/>
      <c r="G13" s="297"/>
      <c r="H13" s="297"/>
      <c r="I13" s="297"/>
      <c r="J13" s="298"/>
    </row>
    <row r="14" spans="1:26" ht="12.75" customHeight="1"/>
    <row r="15" spans="1:26" ht="75" customHeight="1">
      <c r="A15" s="312" t="s">
        <v>343</v>
      </c>
      <c r="B15" s="297"/>
      <c r="C15" s="297"/>
      <c r="D15" s="297"/>
      <c r="E15" s="297"/>
      <c r="F15" s="297"/>
      <c r="G15" s="297"/>
      <c r="H15" s="297"/>
      <c r="I15" s="297"/>
      <c r="J15" s="29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98"/>
      <c r="E26" s="98"/>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D8" r:id="rId1" location="polycard_client=search-desktop&amp;search_layout=grid&amp;position=8&amp;type=item&amp;tracking_id=acb2fb39-cf45-4602-b246-b0364def2165&amp;wid=MCO639015765&amp;sid=search" xr:uid="{00000000-0004-0000-0D00-000000000000}"/>
    <hyperlink ref="D9" r:id="rId2" xr:uid="{00000000-0004-0000-0D00-000001000000}"/>
    <hyperlink ref="D10" r:id="rId3" location="polycard_client=search-desktop&amp;search_layout=grid&amp;position=2&amp;type=product&amp;tracking_id=375dd9e9-ff10-4881-9fb7-5ff648a18285&amp;wid=MCO2330174032&amp;sid=search" xr:uid="{00000000-0004-0000-0D00-000002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baseColWidth="10" defaultColWidth="12.6640625" defaultRowHeight="15" customHeight="1"/>
  <cols>
    <col min="1" max="2" width="19.109375" customWidth="1"/>
    <col min="3" max="3" width="31.109375" customWidth="1"/>
    <col min="4" max="4" width="47.33203125" customWidth="1"/>
    <col min="5" max="5" width="24.21875" customWidth="1"/>
    <col min="6" max="6" width="21.88671875" customWidth="1"/>
    <col min="7" max="7" width="20.21875" customWidth="1"/>
    <col min="8" max="8" width="17" customWidth="1"/>
    <col min="9" max="10" width="19.109375" customWidth="1"/>
    <col min="11" max="26" width="10" customWidth="1"/>
  </cols>
  <sheetData>
    <row r="1" spans="1:26" ht="12.75" customHeight="1">
      <c r="C1" s="191"/>
    </row>
    <row r="2" spans="1:26" ht="27.75" customHeight="1">
      <c r="C2" s="191"/>
      <c r="D2" s="309" t="s">
        <v>116</v>
      </c>
      <c r="E2" s="310"/>
      <c r="F2" s="310"/>
      <c r="G2" s="310"/>
      <c r="H2" s="310"/>
    </row>
    <row r="3" spans="1:26" ht="12.75" customHeight="1">
      <c r="C3" s="191"/>
    </row>
    <row r="4" spans="1:26" ht="12.75" customHeight="1">
      <c r="C4" s="191"/>
    </row>
    <row r="5" spans="1:26" ht="43.5" customHeight="1">
      <c r="A5" s="311" t="s">
        <v>117</v>
      </c>
      <c r="B5" s="297"/>
      <c r="C5" s="297"/>
      <c r="D5" s="297"/>
      <c r="E5" s="297"/>
      <c r="F5" s="297"/>
      <c r="G5" s="297"/>
      <c r="H5" s="297"/>
      <c r="I5" s="297"/>
      <c r="J5" s="298"/>
    </row>
    <row r="6" spans="1:26" ht="15.75" customHeight="1">
      <c r="C6" s="191"/>
    </row>
    <row r="7" spans="1:26" ht="75.75" customHeight="1">
      <c r="A7" s="81" t="s">
        <v>118</v>
      </c>
      <c r="B7" s="106" t="s">
        <v>344</v>
      </c>
      <c r="C7" s="192" t="s">
        <v>345</v>
      </c>
      <c r="D7" s="106" t="s">
        <v>346</v>
      </c>
      <c r="E7" s="106" t="s">
        <v>347</v>
      </c>
      <c r="F7" s="107" t="s">
        <v>348</v>
      </c>
      <c r="G7" s="108" t="s">
        <v>349</v>
      </c>
      <c r="H7" s="106" t="s">
        <v>125</v>
      </c>
      <c r="I7" s="106" t="s">
        <v>350</v>
      </c>
      <c r="J7" s="106" t="s">
        <v>351</v>
      </c>
      <c r="K7" s="85"/>
      <c r="L7" s="85"/>
      <c r="M7" s="85"/>
      <c r="N7" s="85"/>
      <c r="O7" s="85"/>
      <c r="P7" s="85"/>
      <c r="Q7" s="85"/>
      <c r="R7" s="85"/>
      <c r="S7" s="85"/>
      <c r="T7" s="85"/>
      <c r="U7" s="85"/>
      <c r="V7" s="85"/>
      <c r="W7" s="85"/>
      <c r="X7" s="85"/>
      <c r="Y7" s="85"/>
      <c r="Z7" s="85"/>
    </row>
    <row r="8" spans="1:26" ht="144.75" customHeight="1">
      <c r="A8" s="119" t="s">
        <v>128</v>
      </c>
      <c r="B8" s="109" t="s">
        <v>352</v>
      </c>
      <c r="C8" s="193" t="s">
        <v>353</v>
      </c>
      <c r="D8" s="194" t="s">
        <v>354</v>
      </c>
      <c r="E8" s="195">
        <v>4000</v>
      </c>
      <c r="F8" s="195">
        <v>4000</v>
      </c>
      <c r="G8" s="196" t="s">
        <v>355</v>
      </c>
      <c r="H8" s="197" t="s">
        <v>292</v>
      </c>
      <c r="I8" s="150" t="s">
        <v>356</v>
      </c>
      <c r="J8" s="198" t="s">
        <v>357</v>
      </c>
    </row>
    <row r="9" spans="1:26" ht="138" customHeight="1">
      <c r="A9" s="119" t="s">
        <v>135</v>
      </c>
      <c r="B9" s="113" t="s">
        <v>358</v>
      </c>
      <c r="C9" s="199" t="s">
        <v>359</v>
      </c>
      <c r="D9" s="200" t="s">
        <v>360</v>
      </c>
      <c r="E9" s="157" t="s">
        <v>361</v>
      </c>
      <c r="F9" s="157" t="s">
        <v>361</v>
      </c>
      <c r="G9" s="157" t="s">
        <v>361</v>
      </c>
      <c r="H9" s="197" t="s">
        <v>298</v>
      </c>
      <c r="I9" s="150" t="s">
        <v>362</v>
      </c>
      <c r="J9" s="109" t="s">
        <v>363</v>
      </c>
    </row>
    <row r="10" spans="1:26" ht="142.5" customHeight="1">
      <c r="A10" s="119" t="s">
        <v>144</v>
      </c>
      <c r="B10" s="109" t="s">
        <v>364</v>
      </c>
      <c r="C10" s="199" t="s">
        <v>365</v>
      </c>
      <c r="D10" s="200" t="s">
        <v>366</v>
      </c>
      <c r="E10" s="157" t="s">
        <v>361</v>
      </c>
      <c r="F10" s="157" t="s">
        <v>361</v>
      </c>
      <c r="G10" s="157" t="s">
        <v>361</v>
      </c>
      <c r="H10" s="197" t="s">
        <v>301</v>
      </c>
      <c r="I10" s="150" t="s">
        <v>362</v>
      </c>
      <c r="J10" s="109" t="s">
        <v>363</v>
      </c>
    </row>
    <row r="11" spans="1:26" ht="15" hidden="1" customHeight="1">
      <c r="A11" s="96"/>
      <c r="B11" s="128"/>
      <c r="C11" s="201"/>
      <c r="D11" s="128"/>
      <c r="E11" s="128"/>
      <c r="F11" s="128"/>
      <c r="G11" s="128"/>
      <c r="H11" s="128"/>
      <c r="I11" s="128"/>
      <c r="J11" s="128"/>
    </row>
    <row r="12" spans="1:26" ht="12.75" customHeight="1">
      <c r="C12" s="191"/>
    </row>
    <row r="13" spans="1:26" ht="138.75" customHeight="1">
      <c r="A13" s="312" t="s">
        <v>367</v>
      </c>
      <c r="B13" s="297"/>
      <c r="C13" s="297"/>
      <c r="D13" s="297"/>
      <c r="E13" s="297"/>
      <c r="F13" s="297"/>
      <c r="G13" s="297"/>
      <c r="H13" s="297"/>
      <c r="I13" s="297"/>
      <c r="J13" s="298"/>
    </row>
    <row r="14" spans="1:26" ht="12.75" customHeight="1">
      <c r="C14" s="191"/>
    </row>
    <row r="15" spans="1:26" ht="75" customHeight="1">
      <c r="A15" s="312" t="s">
        <v>368</v>
      </c>
      <c r="B15" s="297"/>
      <c r="C15" s="297"/>
      <c r="D15" s="297"/>
      <c r="E15" s="297"/>
      <c r="F15" s="297"/>
      <c r="G15" s="297"/>
      <c r="H15" s="297"/>
      <c r="I15" s="297"/>
      <c r="J15" s="298"/>
    </row>
    <row r="16" spans="1:26" ht="12.75" customHeight="1">
      <c r="C16" s="191"/>
    </row>
    <row r="17" spans="3:7" ht="12.75" customHeight="1">
      <c r="C17" s="191"/>
    </row>
    <row r="18" spans="3:7" ht="12.75" customHeight="1">
      <c r="C18" s="191"/>
    </row>
    <row r="19" spans="3:7" ht="12.75" customHeight="1">
      <c r="C19" s="191"/>
    </row>
    <row r="20" spans="3:7" ht="12.75" customHeight="1">
      <c r="C20" s="191"/>
    </row>
    <row r="21" spans="3:7" ht="12.75" customHeight="1">
      <c r="C21" s="191"/>
    </row>
    <row r="22" spans="3:7" ht="12.75" customHeight="1">
      <c r="C22" s="191"/>
    </row>
    <row r="23" spans="3:7" ht="12.75" customHeight="1">
      <c r="C23" s="191"/>
    </row>
    <row r="24" spans="3:7" ht="12.75" customHeight="1">
      <c r="C24" s="191"/>
    </row>
    <row r="25" spans="3:7" ht="12.75" customHeight="1">
      <c r="C25" s="191"/>
    </row>
    <row r="26" spans="3:7" ht="12.75" customHeight="1">
      <c r="C26" s="191"/>
      <c r="D26" s="98"/>
      <c r="E26" s="98"/>
      <c r="F26" s="8"/>
      <c r="G26" s="8"/>
    </row>
    <row r="27" spans="3:7" ht="12.75" customHeight="1">
      <c r="C27" s="191"/>
    </row>
    <row r="28" spans="3:7" ht="12.75" customHeight="1">
      <c r="C28" s="191"/>
    </row>
    <row r="29" spans="3:7" ht="12.75" customHeight="1">
      <c r="C29" s="191"/>
    </row>
    <row r="30" spans="3:7" ht="12.75" customHeight="1">
      <c r="C30" s="191"/>
    </row>
    <row r="31" spans="3:7" ht="12.75" customHeight="1">
      <c r="C31" s="191"/>
    </row>
    <row r="32" spans="3:7" ht="12.75" customHeight="1">
      <c r="C32" s="191"/>
    </row>
    <row r="33" spans="3:3" ht="12.75" customHeight="1">
      <c r="C33" s="191"/>
    </row>
    <row r="34" spans="3:3" ht="12.75" customHeight="1">
      <c r="C34" s="191"/>
    </row>
    <row r="35" spans="3:3" ht="12.75" customHeight="1">
      <c r="C35" s="191"/>
    </row>
    <row r="36" spans="3:3" ht="12.75" customHeight="1">
      <c r="C36" s="191"/>
    </row>
    <row r="37" spans="3:3" ht="12.75" customHeight="1">
      <c r="C37" s="191"/>
    </row>
    <row r="38" spans="3:3" ht="12.75" customHeight="1">
      <c r="C38" s="191"/>
    </row>
    <row r="39" spans="3:3" ht="12.75" customHeight="1">
      <c r="C39" s="191"/>
    </row>
    <row r="40" spans="3:3" ht="12.75" customHeight="1">
      <c r="C40" s="191"/>
    </row>
    <row r="41" spans="3:3" ht="12.75" customHeight="1">
      <c r="C41" s="191"/>
    </row>
    <row r="42" spans="3:3" ht="12.75" customHeight="1">
      <c r="C42" s="191"/>
    </row>
    <row r="43" spans="3:3" ht="12.75" customHeight="1">
      <c r="C43" s="191"/>
    </row>
    <row r="44" spans="3:3" ht="12.75" customHeight="1">
      <c r="C44" s="191"/>
    </row>
    <row r="45" spans="3:3" ht="12.75" customHeight="1">
      <c r="C45" s="191"/>
    </row>
    <row r="46" spans="3:3" ht="12.75" customHeight="1">
      <c r="C46" s="191"/>
    </row>
    <row r="47" spans="3:3" ht="12.75" customHeight="1">
      <c r="C47" s="191"/>
    </row>
    <row r="48" spans="3:3" ht="12.75" customHeight="1">
      <c r="C48" s="191"/>
    </row>
    <row r="49" spans="3:3" ht="12.75" customHeight="1">
      <c r="C49" s="191"/>
    </row>
    <row r="50" spans="3:3" ht="12.75" customHeight="1">
      <c r="C50" s="191"/>
    </row>
    <row r="51" spans="3:3" ht="12.75" customHeight="1">
      <c r="C51" s="191"/>
    </row>
    <row r="52" spans="3:3" ht="12.75" customHeight="1">
      <c r="C52" s="191"/>
    </row>
    <row r="53" spans="3:3" ht="12.75" customHeight="1">
      <c r="C53" s="191"/>
    </row>
    <row r="54" spans="3:3" ht="12.75" customHeight="1">
      <c r="C54" s="191"/>
    </row>
    <row r="55" spans="3:3" ht="12.75" customHeight="1">
      <c r="C55" s="191"/>
    </row>
    <row r="56" spans="3:3" ht="12.75" customHeight="1">
      <c r="C56" s="191"/>
    </row>
    <row r="57" spans="3:3" ht="12.75" customHeight="1">
      <c r="C57" s="191"/>
    </row>
    <row r="58" spans="3:3" ht="12.75" customHeight="1">
      <c r="C58" s="191"/>
    </row>
    <row r="59" spans="3:3" ht="12.75" customHeight="1">
      <c r="C59" s="191"/>
    </row>
    <row r="60" spans="3:3" ht="12.75" customHeight="1">
      <c r="C60" s="191"/>
    </row>
    <row r="61" spans="3:3" ht="12.75" customHeight="1">
      <c r="C61" s="191"/>
    </row>
    <row r="62" spans="3:3" ht="12.75" customHeight="1">
      <c r="C62" s="191"/>
    </row>
    <row r="63" spans="3:3" ht="12.75" customHeight="1">
      <c r="C63" s="191"/>
    </row>
    <row r="64" spans="3:3" ht="12.75" customHeight="1">
      <c r="C64" s="191"/>
    </row>
    <row r="65" spans="3:3" ht="12.75" customHeight="1">
      <c r="C65" s="191"/>
    </row>
    <row r="66" spans="3:3" ht="12.75" customHeight="1">
      <c r="C66" s="191"/>
    </row>
    <row r="67" spans="3:3" ht="12.75" customHeight="1">
      <c r="C67" s="191"/>
    </row>
    <row r="68" spans="3:3" ht="12.75" customHeight="1">
      <c r="C68" s="191"/>
    </row>
    <row r="69" spans="3:3" ht="12.75" customHeight="1">
      <c r="C69" s="191"/>
    </row>
    <row r="70" spans="3:3" ht="12.75" customHeight="1">
      <c r="C70" s="191"/>
    </row>
    <row r="71" spans="3:3" ht="12.75" customHeight="1">
      <c r="C71" s="191"/>
    </row>
    <row r="72" spans="3:3" ht="12.75" customHeight="1">
      <c r="C72" s="191"/>
    </row>
    <row r="73" spans="3:3" ht="12.75" customHeight="1">
      <c r="C73" s="191"/>
    </row>
    <row r="74" spans="3:3" ht="12.75" customHeight="1">
      <c r="C74" s="191"/>
    </row>
    <row r="75" spans="3:3" ht="12.75" customHeight="1">
      <c r="C75" s="191"/>
    </row>
    <row r="76" spans="3:3" ht="12.75" customHeight="1">
      <c r="C76" s="191"/>
    </row>
    <row r="77" spans="3:3" ht="12.75" customHeight="1">
      <c r="C77" s="191"/>
    </row>
    <row r="78" spans="3:3" ht="12.75" customHeight="1">
      <c r="C78" s="191"/>
    </row>
    <row r="79" spans="3:3" ht="12.75" customHeight="1">
      <c r="C79" s="191"/>
    </row>
    <row r="80" spans="3:3" ht="12.75" customHeight="1">
      <c r="C80" s="191"/>
    </row>
    <row r="81" spans="3:3" ht="12.75" customHeight="1">
      <c r="C81" s="191"/>
    </row>
    <row r="82" spans="3:3" ht="12.75" customHeight="1">
      <c r="C82" s="191"/>
    </row>
    <row r="83" spans="3:3" ht="12.75" customHeight="1">
      <c r="C83" s="191"/>
    </row>
    <row r="84" spans="3:3" ht="12.75" customHeight="1">
      <c r="C84" s="191"/>
    </row>
    <row r="85" spans="3:3" ht="12.75" customHeight="1">
      <c r="C85" s="191"/>
    </row>
    <row r="86" spans="3:3" ht="12.75" customHeight="1">
      <c r="C86" s="191"/>
    </row>
    <row r="87" spans="3:3" ht="12.75" customHeight="1">
      <c r="C87" s="191"/>
    </row>
    <row r="88" spans="3:3" ht="12.75" customHeight="1">
      <c r="C88" s="191"/>
    </row>
    <row r="89" spans="3:3" ht="12.75" customHeight="1">
      <c r="C89" s="191"/>
    </row>
    <row r="90" spans="3:3" ht="12.75" customHeight="1">
      <c r="C90" s="191"/>
    </row>
    <row r="91" spans="3:3" ht="12.75" customHeight="1">
      <c r="C91" s="191"/>
    </row>
    <row r="92" spans="3:3" ht="12.75" customHeight="1">
      <c r="C92" s="191"/>
    </row>
    <row r="93" spans="3:3" ht="12.75" customHeight="1">
      <c r="C93" s="191"/>
    </row>
    <row r="94" spans="3:3" ht="12.75" customHeight="1">
      <c r="C94" s="191"/>
    </row>
    <row r="95" spans="3:3" ht="12.75" customHeight="1">
      <c r="C95" s="191"/>
    </row>
    <row r="96" spans="3:3" ht="12.75" customHeight="1">
      <c r="C96" s="191"/>
    </row>
    <row r="97" spans="3:3" ht="12.75" customHeight="1">
      <c r="C97" s="191"/>
    </row>
    <row r="98" spans="3:3" ht="12.75" customHeight="1">
      <c r="C98" s="191"/>
    </row>
    <row r="99" spans="3:3" ht="12.75" customHeight="1">
      <c r="C99" s="191"/>
    </row>
    <row r="100" spans="3:3" ht="12.75" customHeight="1">
      <c r="C100" s="191"/>
    </row>
    <row r="101" spans="3:3" ht="12.75" customHeight="1">
      <c r="C101" s="191"/>
    </row>
    <row r="102" spans="3:3" ht="12.75" customHeight="1">
      <c r="C102" s="191"/>
    </row>
    <row r="103" spans="3:3" ht="12.75" customHeight="1">
      <c r="C103" s="191"/>
    </row>
    <row r="104" spans="3:3" ht="12.75" customHeight="1">
      <c r="C104" s="191"/>
    </row>
    <row r="105" spans="3:3" ht="12.75" customHeight="1">
      <c r="C105" s="191"/>
    </row>
    <row r="106" spans="3:3" ht="12.75" customHeight="1">
      <c r="C106" s="191"/>
    </row>
    <row r="107" spans="3:3" ht="12.75" customHeight="1">
      <c r="C107" s="191"/>
    </row>
    <row r="108" spans="3:3" ht="12.75" customHeight="1">
      <c r="C108" s="191"/>
    </row>
    <row r="109" spans="3:3" ht="12.75" customHeight="1">
      <c r="C109" s="191"/>
    </row>
    <row r="110" spans="3:3" ht="12.75" customHeight="1">
      <c r="C110" s="191"/>
    </row>
    <row r="111" spans="3:3" ht="12.75" customHeight="1">
      <c r="C111" s="191"/>
    </row>
    <row r="112" spans="3:3" ht="12.75" customHeight="1">
      <c r="C112" s="191"/>
    </row>
    <row r="113" spans="3:3" ht="12.75" customHeight="1">
      <c r="C113" s="191"/>
    </row>
    <row r="114" spans="3:3" ht="12.75" customHeight="1">
      <c r="C114" s="191"/>
    </row>
    <row r="115" spans="3:3" ht="12.75" customHeight="1">
      <c r="C115" s="191"/>
    </row>
    <row r="116" spans="3:3" ht="12.75" customHeight="1">
      <c r="C116" s="191"/>
    </row>
    <row r="117" spans="3:3" ht="12.75" customHeight="1">
      <c r="C117" s="191"/>
    </row>
    <row r="118" spans="3:3" ht="12.75" customHeight="1">
      <c r="C118" s="191"/>
    </row>
    <row r="119" spans="3:3" ht="12.75" customHeight="1">
      <c r="C119" s="191"/>
    </row>
    <row r="120" spans="3:3" ht="12.75" customHeight="1">
      <c r="C120" s="191"/>
    </row>
    <row r="121" spans="3:3" ht="12.75" customHeight="1">
      <c r="C121" s="191"/>
    </row>
    <row r="122" spans="3:3" ht="12.75" customHeight="1">
      <c r="C122" s="191"/>
    </row>
    <row r="123" spans="3:3" ht="12.75" customHeight="1">
      <c r="C123" s="191"/>
    </row>
    <row r="124" spans="3:3" ht="12.75" customHeight="1">
      <c r="C124" s="191"/>
    </row>
    <row r="125" spans="3:3" ht="12.75" customHeight="1">
      <c r="C125" s="191"/>
    </row>
    <row r="126" spans="3:3" ht="12.75" customHeight="1">
      <c r="C126" s="191"/>
    </row>
    <row r="127" spans="3:3" ht="12.75" customHeight="1">
      <c r="C127" s="191"/>
    </row>
    <row r="128" spans="3:3" ht="12.75" customHeight="1">
      <c r="C128" s="191"/>
    </row>
    <row r="129" spans="3:3" ht="12.75" customHeight="1">
      <c r="C129" s="191"/>
    </row>
    <row r="130" spans="3:3" ht="12.75" customHeight="1">
      <c r="C130" s="191"/>
    </row>
    <row r="131" spans="3:3" ht="12.75" customHeight="1">
      <c r="C131" s="191"/>
    </row>
    <row r="132" spans="3:3" ht="12.75" customHeight="1">
      <c r="C132" s="191"/>
    </row>
    <row r="133" spans="3:3" ht="12.75" customHeight="1">
      <c r="C133" s="191"/>
    </row>
    <row r="134" spans="3:3" ht="12.75" customHeight="1">
      <c r="C134" s="191"/>
    </row>
    <row r="135" spans="3:3" ht="12.75" customHeight="1">
      <c r="C135" s="191"/>
    </row>
    <row r="136" spans="3:3" ht="12.75" customHeight="1">
      <c r="C136" s="191"/>
    </row>
    <row r="137" spans="3:3" ht="12.75" customHeight="1">
      <c r="C137" s="191"/>
    </row>
    <row r="138" spans="3:3" ht="12.75" customHeight="1">
      <c r="C138" s="191"/>
    </row>
    <row r="139" spans="3:3" ht="12.75" customHeight="1">
      <c r="C139" s="191"/>
    </row>
    <row r="140" spans="3:3" ht="12.75" customHeight="1">
      <c r="C140" s="191"/>
    </row>
    <row r="141" spans="3:3" ht="12.75" customHeight="1">
      <c r="C141" s="191"/>
    </row>
    <row r="142" spans="3:3" ht="12.75" customHeight="1">
      <c r="C142" s="191"/>
    </row>
    <row r="143" spans="3:3" ht="12.75" customHeight="1">
      <c r="C143" s="191"/>
    </row>
    <row r="144" spans="3:3" ht="12.75" customHeight="1">
      <c r="C144" s="191"/>
    </row>
    <row r="145" spans="3:3" ht="12.75" customHeight="1">
      <c r="C145" s="191"/>
    </row>
    <row r="146" spans="3:3" ht="12.75" customHeight="1">
      <c r="C146" s="191"/>
    </row>
    <row r="147" spans="3:3" ht="12.75" customHeight="1">
      <c r="C147" s="191"/>
    </row>
    <row r="148" spans="3:3" ht="12.75" customHeight="1">
      <c r="C148" s="191"/>
    </row>
    <row r="149" spans="3:3" ht="12.75" customHeight="1">
      <c r="C149" s="191"/>
    </row>
    <row r="150" spans="3:3" ht="12.75" customHeight="1">
      <c r="C150" s="191"/>
    </row>
    <row r="151" spans="3:3" ht="12.75" customHeight="1">
      <c r="C151" s="191"/>
    </row>
    <row r="152" spans="3:3" ht="12.75" customHeight="1">
      <c r="C152" s="191"/>
    </row>
    <row r="153" spans="3:3" ht="12.75" customHeight="1">
      <c r="C153" s="191"/>
    </row>
    <row r="154" spans="3:3" ht="12.75" customHeight="1">
      <c r="C154" s="191"/>
    </row>
    <row r="155" spans="3:3" ht="12.75" customHeight="1">
      <c r="C155" s="191"/>
    </row>
    <row r="156" spans="3:3" ht="12.75" customHeight="1">
      <c r="C156" s="191"/>
    </row>
    <row r="157" spans="3:3" ht="12.75" customHeight="1">
      <c r="C157" s="191"/>
    </row>
    <row r="158" spans="3:3" ht="12.75" customHeight="1">
      <c r="C158" s="191"/>
    </row>
    <row r="159" spans="3:3" ht="12.75" customHeight="1">
      <c r="C159" s="191"/>
    </row>
    <row r="160" spans="3:3" ht="12.75" customHeight="1">
      <c r="C160" s="191"/>
    </row>
    <row r="161" spans="3:3" ht="12.75" customHeight="1">
      <c r="C161" s="191"/>
    </row>
    <row r="162" spans="3:3" ht="12.75" customHeight="1">
      <c r="C162" s="191"/>
    </row>
    <row r="163" spans="3:3" ht="12.75" customHeight="1">
      <c r="C163" s="191"/>
    </row>
    <row r="164" spans="3:3" ht="12.75" customHeight="1">
      <c r="C164" s="191"/>
    </row>
    <row r="165" spans="3:3" ht="12.75" customHeight="1">
      <c r="C165" s="191"/>
    </row>
    <row r="166" spans="3:3" ht="12.75" customHeight="1">
      <c r="C166" s="191"/>
    </row>
    <row r="167" spans="3:3" ht="12.75" customHeight="1">
      <c r="C167" s="191"/>
    </row>
    <row r="168" spans="3:3" ht="12.75" customHeight="1">
      <c r="C168" s="191"/>
    </row>
    <row r="169" spans="3:3" ht="12.75" customHeight="1">
      <c r="C169" s="191"/>
    </row>
    <row r="170" spans="3:3" ht="12.75" customHeight="1">
      <c r="C170" s="191"/>
    </row>
    <row r="171" spans="3:3" ht="12.75" customHeight="1">
      <c r="C171" s="191"/>
    </row>
    <row r="172" spans="3:3" ht="12.75" customHeight="1">
      <c r="C172" s="191"/>
    </row>
    <row r="173" spans="3:3" ht="12.75" customHeight="1">
      <c r="C173" s="191"/>
    </row>
    <row r="174" spans="3:3" ht="12.75" customHeight="1">
      <c r="C174" s="191"/>
    </row>
    <row r="175" spans="3:3" ht="12.75" customHeight="1">
      <c r="C175" s="191"/>
    </row>
    <row r="176" spans="3:3" ht="12.75" customHeight="1">
      <c r="C176" s="191"/>
    </row>
    <row r="177" spans="3:3" ht="12.75" customHeight="1">
      <c r="C177" s="191"/>
    </row>
    <row r="178" spans="3:3" ht="12.75" customHeight="1">
      <c r="C178" s="191"/>
    </row>
    <row r="179" spans="3:3" ht="12.75" customHeight="1">
      <c r="C179" s="191"/>
    </row>
    <row r="180" spans="3:3" ht="12.75" customHeight="1">
      <c r="C180" s="191"/>
    </row>
    <row r="181" spans="3:3" ht="12.75" customHeight="1">
      <c r="C181" s="191"/>
    </row>
    <row r="182" spans="3:3" ht="12.75" customHeight="1">
      <c r="C182" s="191"/>
    </row>
    <row r="183" spans="3:3" ht="12.75" customHeight="1">
      <c r="C183" s="191"/>
    </row>
    <row r="184" spans="3:3" ht="12.75" customHeight="1">
      <c r="C184" s="191"/>
    </row>
    <row r="185" spans="3:3" ht="12.75" customHeight="1">
      <c r="C185" s="191"/>
    </row>
    <row r="186" spans="3:3" ht="12.75" customHeight="1">
      <c r="C186" s="191"/>
    </row>
    <row r="187" spans="3:3" ht="12.75" customHeight="1">
      <c r="C187" s="191"/>
    </row>
    <row r="188" spans="3:3" ht="12.75" customHeight="1">
      <c r="C188" s="191"/>
    </row>
    <row r="189" spans="3:3" ht="12.75" customHeight="1">
      <c r="C189" s="191"/>
    </row>
    <row r="190" spans="3:3" ht="12.75" customHeight="1">
      <c r="C190" s="191"/>
    </row>
    <row r="191" spans="3:3" ht="12.75" customHeight="1">
      <c r="C191" s="191"/>
    </row>
    <row r="192" spans="3:3" ht="12.75" customHeight="1">
      <c r="C192" s="191"/>
    </row>
    <row r="193" spans="3:3" ht="12.75" customHeight="1">
      <c r="C193" s="191"/>
    </row>
    <row r="194" spans="3:3" ht="12.75" customHeight="1">
      <c r="C194" s="191"/>
    </row>
    <row r="195" spans="3:3" ht="12.75" customHeight="1">
      <c r="C195" s="191"/>
    </row>
    <row r="196" spans="3:3" ht="12.75" customHeight="1">
      <c r="C196" s="191"/>
    </row>
    <row r="197" spans="3:3" ht="12.75" customHeight="1">
      <c r="C197" s="191"/>
    </row>
    <row r="198" spans="3:3" ht="12.75" customHeight="1">
      <c r="C198" s="191"/>
    </row>
    <row r="199" spans="3:3" ht="12.75" customHeight="1">
      <c r="C199" s="191"/>
    </row>
    <row r="200" spans="3:3" ht="12.75" customHeight="1">
      <c r="C200" s="191"/>
    </row>
    <row r="201" spans="3:3" ht="12.75" customHeight="1">
      <c r="C201" s="191"/>
    </row>
    <row r="202" spans="3:3" ht="12.75" customHeight="1">
      <c r="C202" s="191"/>
    </row>
    <row r="203" spans="3:3" ht="12.75" customHeight="1">
      <c r="C203" s="191"/>
    </row>
    <row r="204" spans="3:3" ht="12.75" customHeight="1">
      <c r="C204" s="191"/>
    </row>
    <row r="205" spans="3:3" ht="12.75" customHeight="1">
      <c r="C205" s="191"/>
    </row>
    <row r="206" spans="3:3" ht="12.75" customHeight="1">
      <c r="C206" s="191"/>
    </row>
    <row r="207" spans="3:3" ht="12.75" customHeight="1">
      <c r="C207" s="191"/>
    </row>
    <row r="208" spans="3:3" ht="12.75" customHeight="1">
      <c r="C208" s="191"/>
    </row>
    <row r="209" spans="3:3" ht="12.75" customHeight="1">
      <c r="C209" s="191"/>
    </row>
    <row r="210" spans="3:3" ht="12.75" customHeight="1">
      <c r="C210" s="191"/>
    </row>
    <row r="211" spans="3:3" ht="12.75" customHeight="1">
      <c r="C211" s="191"/>
    </row>
    <row r="212" spans="3:3" ht="12.75" customHeight="1">
      <c r="C212" s="191"/>
    </row>
    <row r="213" spans="3:3" ht="12.75" customHeight="1">
      <c r="C213" s="191"/>
    </row>
    <row r="214" spans="3:3" ht="12.75" customHeight="1">
      <c r="C214" s="191"/>
    </row>
    <row r="215" spans="3:3" ht="12.75" customHeight="1">
      <c r="C215" s="191"/>
    </row>
    <row r="216" spans="3:3" ht="12.75" customHeight="1">
      <c r="C216" s="191"/>
    </row>
    <row r="217" spans="3:3" ht="12.75" customHeight="1">
      <c r="C217" s="191"/>
    </row>
    <row r="218" spans="3:3" ht="12.75" customHeight="1">
      <c r="C218" s="191"/>
    </row>
    <row r="219" spans="3:3" ht="12.75" customHeight="1">
      <c r="C219" s="191"/>
    </row>
    <row r="220" spans="3:3" ht="12.75" customHeight="1">
      <c r="C220" s="191"/>
    </row>
    <row r="221" spans="3:3" ht="12.75" customHeight="1">
      <c r="C221" s="191"/>
    </row>
    <row r="222" spans="3:3" ht="12.75" customHeight="1">
      <c r="C222" s="191"/>
    </row>
    <row r="223" spans="3:3" ht="12.75" customHeight="1">
      <c r="C223" s="191"/>
    </row>
    <row r="224" spans="3:3" ht="12.75" customHeight="1">
      <c r="C224" s="191"/>
    </row>
    <row r="225" spans="3:3" ht="12.75" customHeight="1">
      <c r="C225" s="191"/>
    </row>
    <row r="226" spans="3:3" ht="12.75" customHeight="1">
      <c r="C226" s="191"/>
    </row>
    <row r="227" spans="3:3" ht="12.75" customHeight="1">
      <c r="C227" s="191"/>
    </row>
    <row r="228" spans="3:3" ht="12.75" customHeight="1">
      <c r="C228" s="191"/>
    </row>
    <row r="229" spans="3:3" ht="12.75" customHeight="1">
      <c r="C229" s="191"/>
    </row>
    <row r="230" spans="3:3" ht="12.75" customHeight="1">
      <c r="C230" s="191"/>
    </row>
    <row r="231" spans="3:3" ht="12.75" customHeight="1">
      <c r="C231" s="191"/>
    </row>
    <row r="232" spans="3:3" ht="12.75" customHeight="1">
      <c r="C232" s="191"/>
    </row>
    <row r="233" spans="3:3" ht="12.75" customHeight="1">
      <c r="C233" s="191"/>
    </row>
    <row r="234" spans="3:3" ht="12.75" customHeight="1">
      <c r="C234" s="191"/>
    </row>
    <row r="235" spans="3:3" ht="12.75" customHeight="1">
      <c r="C235" s="191"/>
    </row>
    <row r="236" spans="3:3" ht="12.75" customHeight="1">
      <c r="C236" s="191"/>
    </row>
    <row r="237" spans="3:3" ht="12.75" customHeight="1">
      <c r="C237" s="191"/>
    </row>
    <row r="238" spans="3:3" ht="12.75" customHeight="1">
      <c r="C238" s="191"/>
    </row>
    <row r="239" spans="3:3" ht="12.75" customHeight="1">
      <c r="C239" s="191"/>
    </row>
    <row r="240" spans="3:3" ht="12.75" customHeight="1">
      <c r="C240" s="191"/>
    </row>
    <row r="241" spans="3:3" ht="12.75" customHeight="1">
      <c r="C241" s="191"/>
    </row>
    <row r="242" spans="3:3" ht="12.75" customHeight="1">
      <c r="C242" s="191"/>
    </row>
    <row r="243" spans="3:3" ht="12.75" customHeight="1">
      <c r="C243" s="191"/>
    </row>
    <row r="244" spans="3:3" ht="12.75" customHeight="1">
      <c r="C244" s="191"/>
    </row>
    <row r="245" spans="3:3" ht="12.75" customHeight="1">
      <c r="C245" s="191"/>
    </row>
    <row r="246" spans="3:3" ht="12.75" customHeight="1">
      <c r="C246" s="191"/>
    </row>
    <row r="247" spans="3:3" ht="12.75" customHeight="1">
      <c r="C247" s="191"/>
    </row>
    <row r="248" spans="3:3" ht="12.75" customHeight="1">
      <c r="C248" s="191"/>
    </row>
    <row r="249" spans="3:3" ht="12.75" customHeight="1">
      <c r="C249" s="191"/>
    </row>
    <row r="250" spans="3:3" ht="12.75" customHeight="1">
      <c r="C250" s="191"/>
    </row>
    <row r="251" spans="3:3" ht="12.75" customHeight="1">
      <c r="C251" s="191"/>
    </row>
    <row r="252" spans="3:3" ht="12.75" customHeight="1">
      <c r="C252" s="191"/>
    </row>
    <row r="253" spans="3:3" ht="12.75" customHeight="1">
      <c r="C253" s="191"/>
    </row>
    <row r="254" spans="3:3" ht="12.75" customHeight="1">
      <c r="C254" s="191"/>
    </row>
    <row r="255" spans="3:3" ht="12.75" customHeight="1">
      <c r="C255" s="191"/>
    </row>
    <row r="256" spans="3:3" ht="12.75" customHeight="1">
      <c r="C256" s="191"/>
    </row>
    <row r="257" spans="3:3" ht="12.75" customHeight="1">
      <c r="C257" s="191"/>
    </row>
    <row r="258" spans="3:3" ht="12.75" customHeight="1">
      <c r="C258" s="191"/>
    </row>
    <row r="259" spans="3:3" ht="12.75" customHeight="1">
      <c r="C259" s="191"/>
    </row>
    <row r="260" spans="3:3" ht="12.75" customHeight="1">
      <c r="C260" s="191"/>
    </row>
    <row r="261" spans="3:3" ht="12.75" customHeight="1">
      <c r="C261" s="191"/>
    </row>
    <row r="262" spans="3:3" ht="12.75" customHeight="1">
      <c r="C262" s="191"/>
    </row>
    <row r="263" spans="3:3" ht="12.75" customHeight="1">
      <c r="C263" s="191"/>
    </row>
    <row r="264" spans="3:3" ht="12.75" customHeight="1">
      <c r="C264" s="191"/>
    </row>
    <row r="265" spans="3:3" ht="12.75" customHeight="1">
      <c r="C265" s="191"/>
    </row>
    <row r="266" spans="3:3" ht="12.75" customHeight="1">
      <c r="C266" s="191"/>
    </row>
    <row r="267" spans="3:3" ht="12.75" customHeight="1">
      <c r="C267" s="191"/>
    </row>
    <row r="268" spans="3:3" ht="12.75" customHeight="1">
      <c r="C268" s="191"/>
    </row>
    <row r="269" spans="3:3" ht="12.75" customHeight="1">
      <c r="C269" s="191"/>
    </row>
    <row r="270" spans="3:3" ht="12.75" customHeight="1">
      <c r="C270" s="191"/>
    </row>
    <row r="271" spans="3:3" ht="12.75" customHeight="1">
      <c r="C271" s="191"/>
    </row>
    <row r="272" spans="3:3" ht="12.75" customHeight="1">
      <c r="C272" s="191"/>
    </row>
    <row r="273" spans="3:3" ht="12.75" customHeight="1">
      <c r="C273" s="191"/>
    </row>
    <row r="274" spans="3:3" ht="12.75" customHeight="1">
      <c r="C274" s="191"/>
    </row>
    <row r="275" spans="3:3" ht="12.75" customHeight="1">
      <c r="C275" s="191"/>
    </row>
    <row r="276" spans="3:3" ht="12.75" customHeight="1">
      <c r="C276" s="191"/>
    </row>
    <row r="277" spans="3:3" ht="12.75" customHeight="1">
      <c r="C277" s="191"/>
    </row>
    <row r="278" spans="3:3" ht="12.75" customHeight="1">
      <c r="C278" s="191"/>
    </row>
    <row r="279" spans="3:3" ht="12.75" customHeight="1">
      <c r="C279" s="191"/>
    </row>
    <row r="280" spans="3:3" ht="12.75" customHeight="1">
      <c r="C280" s="191"/>
    </row>
    <row r="281" spans="3:3" ht="12.75" customHeight="1">
      <c r="C281" s="191"/>
    </row>
    <row r="282" spans="3:3" ht="12.75" customHeight="1">
      <c r="C282" s="191"/>
    </row>
    <row r="283" spans="3:3" ht="12.75" customHeight="1">
      <c r="C283" s="191"/>
    </row>
    <row r="284" spans="3:3" ht="12.75" customHeight="1">
      <c r="C284" s="191"/>
    </row>
    <row r="285" spans="3:3" ht="12.75" customHeight="1">
      <c r="C285" s="191"/>
    </row>
    <row r="286" spans="3:3" ht="12.75" customHeight="1">
      <c r="C286" s="191"/>
    </row>
    <row r="287" spans="3:3" ht="12.75" customHeight="1">
      <c r="C287" s="191"/>
    </row>
    <row r="288" spans="3:3" ht="12.75" customHeight="1">
      <c r="C288" s="191"/>
    </row>
    <row r="289" spans="3:3" ht="12.75" customHeight="1">
      <c r="C289" s="191"/>
    </row>
    <row r="290" spans="3:3" ht="12.75" customHeight="1">
      <c r="C290" s="191"/>
    </row>
    <row r="291" spans="3:3" ht="12.75" customHeight="1">
      <c r="C291" s="191"/>
    </row>
    <row r="292" spans="3:3" ht="12.75" customHeight="1">
      <c r="C292" s="191"/>
    </row>
    <row r="293" spans="3:3" ht="12.75" customHeight="1">
      <c r="C293" s="191"/>
    </row>
    <row r="294" spans="3:3" ht="12.75" customHeight="1">
      <c r="C294" s="191"/>
    </row>
    <row r="295" spans="3:3" ht="12.75" customHeight="1">
      <c r="C295" s="191"/>
    </row>
    <row r="296" spans="3:3" ht="12.75" customHeight="1">
      <c r="C296" s="191"/>
    </row>
    <row r="297" spans="3:3" ht="12.75" customHeight="1">
      <c r="C297" s="191"/>
    </row>
    <row r="298" spans="3:3" ht="12.75" customHeight="1">
      <c r="C298" s="191"/>
    </row>
    <row r="299" spans="3:3" ht="12.75" customHeight="1">
      <c r="C299" s="191"/>
    </row>
    <row r="300" spans="3:3" ht="12.75" customHeight="1">
      <c r="C300" s="191"/>
    </row>
    <row r="301" spans="3:3" ht="12.75" customHeight="1">
      <c r="C301" s="191"/>
    </row>
    <row r="302" spans="3:3" ht="12.75" customHeight="1">
      <c r="C302" s="191"/>
    </row>
    <row r="303" spans="3:3" ht="12.75" customHeight="1">
      <c r="C303" s="191"/>
    </row>
    <row r="304" spans="3:3" ht="12.75" customHeight="1">
      <c r="C304" s="191"/>
    </row>
    <row r="305" spans="3:3" ht="12.75" customHeight="1">
      <c r="C305" s="191"/>
    </row>
    <row r="306" spans="3:3" ht="12.75" customHeight="1">
      <c r="C306" s="191"/>
    </row>
    <row r="307" spans="3:3" ht="12.75" customHeight="1">
      <c r="C307" s="191"/>
    </row>
    <row r="308" spans="3:3" ht="12.75" customHeight="1">
      <c r="C308" s="191"/>
    </row>
    <row r="309" spans="3:3" ht="12.75" customHeight="1">
      <c r="C309" s="191"/>
    </row>
    <row r="310" spans="3:3" ht="12.75" customHeight="1">
      <c r="C310" s="191"/>
    </row>
    <row r="311" spans="3:3" ht="12.75" customHeight="1">
      <c r="C311" s="191"/>
    </row>
    <row r="312" spans="3:3" ht="12.75" customHeight="1">
      <c r="C312" s="191"/>
    </row>
    <row r="313" spans="3:3" ht="12.75" customHeight="1">
      <c r="C313" s="191"/>
    </row>
    <row r="314" spans="3:3" ht="12.75" customHeight="1">
      <c r="C314" s="191"/>
    </row>
    <row r="315" spans="3:3" ht="12.75" customHeight="1">
      <c r="C315" s="191"/>
    </row>
    <row r="316" spans="3:3" ht="12.75" customHeight="1">
      <c r="C316" s="191"/>
    </row>
    <row r="317" spans="3:3" ht="12.75" customHeight="1">
      <c r="C317" s="191"/>
    </row>
    <row r="318" spans="3:3" ht="12.75" customHeight="1">
      <c r="C318" s="191"/>
    </row>
    <row r="319" spans="3:3" ht="12.75" customHeight="1">
      <c r="C319" s="191"/>
    </row>
    <row r="320" spans="3:3" ht="12.75" customHeight="1">
      <c r="C320" s="191"/>
    </row>
    <row r="321" spans="3:3" ht="12.75" customHeight="1">
      <c r="C321" s="191"/>
    </row>
    <row r="322" spans="3:3" ht="12.75" customHeight="1">
      <c r="C322" s="191"/>
    </row>
    <row r="323" spans="3:3" ht="12.75" customHeight="1">
      <c r="C323" s="191"/>
    </row>
    <row r="324" spans="3:3" ht="12.75" customHeight="1">
      <c r="C324" s="191"/>
    </row>
    <row r="325" spans="3:3" ht="12.75" customHeight="1">
      <c r="C325" s="191"/>
    </row>
    <row r="326" spans="3:3" ht="12.75" customHeight="1">
      <c r="C326" s="191"/>
    </row>
    <row r="327" spans="3:3" ht="12.75" customHeight="1">
      <c r="C327" s="191"/>
    </row>
    <row r="328" spans="3:3" ht="12.75" customHeight="1">
      <c r="C328" s="191"/>
    </row>
    <row r="329" spans="3:3" ht="12.75" customHeight="1">
      <c r="C329" s="191"/>
    </row>
    <row r="330" spans="3:3" ht="12.75" customHeight="1">
      <c r="C330" s="191"/>
    </row>
    <row r="331" spans="3:3" ht="12.75" customHeight="1">
      <c r="C331" s="191"/>
    </row>
    <row r="332" spans="3:3" ht="12.75" customHeight="1">
      <c r="C332" s="191"/>
    </row>
    <row r="333" spans="3:3" ht="12.75" customHeight="1">
      <c r="C333" s="191"/>
    </row>
    <row r="334" spans="3:3" ht="12.75" customHeight="1">
      <c r="C334" s="191"/>
    </row>
    <row r="335" spans="3:3" ht="12.75" customHeight="1">
      <c r="C335" s="191"/>
    </row>
    <row r="336" spans="3:3" ht="12.75" customHeight="1">
      <c r="C336" s="191"/>
    </row>
    <row r="337" spans="3:3" ht="12.75" customHeight="1">
      <c r="C337" s="191"/>
    </row>
    <row r="338" spans="3:3" ht="12.75" customHeight="1">
      <c r="C338" s="191"/>
    </row>
    <row r="339" spans="3:3" ht="12.75" customHeight="1">
      <c r="C339" s="191"/>
    </row>
    <row r="340" spans="3:3" ht="12.75" customHeight="1">
      <c r="C340" s="191"/>
    </row>
    <row r="341" spans="3:3" ht="12.75" customHeight="1">
      <c r="C341" s="191"/>
    </row>
    <row r="342" spans="3:3" ht="12.75" customHeight="1">
      <c r="C342" s="191"/>
    </row>
    <row r="343" spans="3:3" ht="12.75" customHeight="1">
      <c r="C343" s="191"/>
    </row>
    <row r="344" spans="3:3" ht="12.75" customHeight="1">
      <c r="C344" s="191"/>
    </row>
    <row r="345" spans="3:3" ht="12.75" customHeight="1">
      <c r="C345" s="191"/>
    </row>
    <row r="346" spans="3:3" ht="12.75" customHeight="1">
      <c r="C346" s="191"/>
    </row>
    <row r="347" spans="3:3" ht="12.75" customHeight="1">
      <c r="C347" s="191"/>
    </row>
    <row r="348" spans="3:3" ht="12.75" customHeight="1">
      <c r="C348" s="191"/>
    </row>
    <row r="349" spans="3:3" ht="12.75" customHeight="1">
      <c r="C349" s="191"/>
    </row>
    <row r="350" spans="3:3" ht="12.75" customHeight="1">
      <c r="C350" s="191"/>
    </row>
    <row r="351" spans="3:3" ht="12.75" customHeight="1">
      <c r="C351" s="191"/>
    </row>
    <row r="352" spans="3:3" ht="12.75" customHeight="1">
      <c r="C352" s="191"/>
    </row>
    <row r="353" spans="3:3" ht="12.75" customHeight="1">
      <c r="C353" s="191"/>
    </row>
    <row r="354" spans="3:3" ht="12.75" customHeight="1">
      <c r="C354" s="191"/>
    </row>
    <row r="355" spans="3:3" ht="12.75" customHeight="1">
      <c r="C355" s="191"/>
    </row>
    <row r="356" spans="3:3" ht="12.75" customHeight="1">
      <c r="C356" s="191"/>
    </row>
    <row r="357" spans="3:3" ht="12.75" customHeight="1">
      <c r="C357" s="191"/>
    </row>
    <row r="358" spans="3:3" ht="12.75" customHeight="1">
      <c r="C358" s="191"/>
    </row>
    <row r="359" spans="3:3" ht="12.75" customHeight="1">
      <c r="C359" s="191"/>
    </row>
    <row r="360" spans="3:3" ht="12.75" customHeight="1">
      <c r="C360" s="191"/>
    </row>
    <row r="361" spans="3:3" ht="12.75" customHeight="1">
      <c r="C361" s="191"/>
    </row>
    <row r="362" spans="3:3" ht="12.75" customHeight="1">
      <c r="C362" s="191"/>
    </row>
    <row r="363" spans="3:3" ht="12.75" customHeight="1">
      <c r="C363" s="191"/>
    </row>
    <row r="364" spans="3:3" ht="12.75" customHeight="1">
      <c r="C364" s="191"/>
    </row>
    <row r="365" spans="3:3" ht="12.75" customHeight="1">
      <c r="C365" s="191"/>
    </row>
    <row r="366" spans="3:3" ht="12.75" customHeight="1">
      <c r="C366" s="191"/>
    </row>
    <row r="367" spans="3:3" ht="12.75" customHeight="1">
      <c r="C367" s="191"/>
    </row>
    <row r="368" spans="3:3" ht="12.75" customHeight="1">
      <c r="C368" s="191"/>
    </row>
    <row r="369" spans="3:3" ht="12.75" customHeight="1">
      <c r="C369" s="191"/>
    </row>
    <row r="370" spans="3:3" ht="12.75" customHeight="1">
      <c r="C370" s="191"/>
    </row>
    <row r="371" spans="3:3" ht="12.75" customHeight="1">
      <c r="C371" s="191"/>
    </row>
    <row r="372" spans="3:3" ht="12.75" customHeight="1">
      <c r="C372" s="191"/>
    </row>
    <row r="373" spans="3:3" ht="12.75" customHeight="1">
      <c r="C373" s="191"/>
    </row>
    <row r="374" spans="3:3" ht="12.75" customHeight="1">
      <c r="C374" s="191"/>
    </row>
    <row r="375" spans="3:3" ht="12.75" customHeight="1">
      <c r="C375" s="191"/>
    </row>
    <row r="376" spans="3:3" ht="12.75" customHeight="1">
      <c r="C376" s="191"/>
    </row>
    <row r="377" spans="3:3" ht="12.75" customHeight="1">
      <c r="C377" s="191"/>
    </row>
    <row r="378" spans="3:3" ht="12.75" customHeight="1">
      <c r="C378" s="191"/>
    </row>
    <row r="379" spans="3:3" ht="12.75" customHeight="1">
      <c r="C379" s="191"/>
    </row>
    <row r="380" spans="3:3" ht="12.75" customHeight="1">
      <c r="C380" s="191"/>
    </row>
    <row r="381" spans="3:3" ht="12.75" customHeight="1">
      <c r="C381" s="191"/>
    </row>
    <row r="382" spans="3:3" ht="12.75" customHeight="1">
      <c r="C382" s="191"/>
    </row>
    <row r="383" spans="3:3" ht="12.75" customHeight="1">
      <c r="C383" s="191"/>
    </row>
    <row r="384" spans="3:3" ht="12.75" customHeight="1">
      <c r="C384" s="191"/>
    </row>
    <row r="385" spans="3:3" ht="12.75" customHeight="1">
      <c r="C385" s="191"/>
    </row>
    <row r="386" spans="3:3" ht="12.75" customHeight="1">
      <c r="C386" s="191"/>
    </row>
    <row r="387" spans="3:3" ht="12.75" customHeight="1">
      <c r="C387" s="191"/>
    </row>
    <row r="388" spans="3:3" ht="12.75" customHeight="1">
      <c r="C388" s="191"/>
    </row>
    <row r="389" spans="3:3" ht="12.75" customHeight="1">
      <c r="C389" s="191"/>
    </row>
    <row r="390" spans="3:3" ht="12.75" customHeight="1">
      <c r="C390" s="191"/>
    </row>
    <row r="391" spans="3:3" ht="12.75" customHeight="1">
      <c r="C391" s="191"/>
    </row>
    <row r="392" spans="3:3" ht="12.75" customHeight="1">
      <c r="C392" s="191"/>
    </row>
    <row r="393" spans="3:3" ht="12.75" customHeight="1">
      <c r="C393" s="191"/>
    </row>
    <row r="394" spans="3:3" ht="12.75" customHeight="1">
      <c r="C394" s="191"/>
    </row>
    <row r="395" spans="3:3" ht="12.75" customHeight="1">
      <c r="C395" s="191"/>
    </row>
    <row r="396" spans="3:3" ht="12.75" customHeight="1">
      <c r="C396" s="191"/>
    </row>
    <row r="397" spans="3:3" ht="12.75" customHeight="1">
      <c r="C397" s="191"/>
    </row>
    <row r="398" spans="3:3" ht="12.75" customHeight="1">
      <c r="C398" s="191"/>
    </row>
    <row r="399" spans="3:3" ht="12.75" customHeight="1">
      <c r="C399" s="191"/>
    </row>
    <row r="400" spans="3:3" ht="12.75" customHeight="1">
      <c r="C400" s="191"/>
    </row>
    <row r="401" spans="3:3" ht="12.75" customHeight="1">
      <c r="C401" s="191"/>
    </row>
    <row r="402" spans="3:3" ht="12.75" customHeight="1">
      <c r="C402" s="191"/>
    </row>
    <row r="403" spans="3:3" ht="12.75" customHeight="1">
      <c r="C403" s="191"/>
    </row>
    <row r="404" spans="3:3" ht="12.75" customHeight="1">
      <c r="C404" s="191"/>
    </row>
    <row r="405" spans="3:3" ht="12.75" customHeight="1">
      <c r="C405" s="191"/>
    </row>
    <row r="406" spans="3:3" ht="12.75" customHeight="1">
      <c r="C406" s="191"/>
    </row>
    <row r="407" spans="3:3" ht="12.75" customHeight="1">
      <c r="C407" s="191"/>
    </row>
    <row r="408" spans="3:3" ht="12.75" customHeight="1">
      <c r="C408" s="191"/>
    </row>
    <row r="409" spans="3:3" ht="12.75" customHeight="1">
      <c r="C409" s="191"/>
    </row>
    <row r="410" spans="3:3" ht="12.75" customHeight="1">
      <c r="C410" s="191"/>
    </row>
    <row r="411" spans="3:3" ht="12.75" customHeight="1">
      <c r="C411" s="191"/>
    </row>
    <row r="412" spans="3:3" ht="12.75" customHeight="1">
      <c r="C412" s="191"/>
    </row>
    <row r="413" spans="3:3" ht="12.75" customHeight="1">
      <c r="C413" s="191"/>
    </row>
    <row r="414" spans="3:3" ht="12.75" customHeight="1">
      <c r="C414" s="191"/>
    </row>
    <row r="415" spans="3:3" ht="12.75" customHeight="1">
      <c r="C415" s="191"/>
    </row>
    <row r="416" spans="3:3" ht="12.75" customHeight="1">
      <c r="C416" s="191"/>
    </row>
    <row r="417" spans="3:3" ht="12.75" customHeight="1">
      <c r="C417" s="191"/>
    </row>
    <row r="418" spans="3:3" ht="12.75" customHeight="1">
      <c r="C418" s="191"/>
    </row>
    <row r="419" spans="3:3" ht="12.75" customHeight="1">
      <c r="C419" s="191"/>
    </row>
    <row r="420" spans="3:3" ht="12.75" customHeight="1">
      <c r="C420" s="191"/>
    </row>
    <row r="421" spans="3:3" ht="12.75" customHeight="1">
      <c r="C421" s="191"/>
    </row>
    <row r="422" spans="3:3" ht="12.75" customHeight="1">
      <c r="C422" s="191"/>
    </row>
    <row r="423" spans="3:3" ht="12.75" customHeight="1">
      <c r="C423" s="191"/>
    </row>
    <row r="424" spans="3:3" ht="12.75" customHeight="1">
      <c r="C424" s="191"/>
    </row>
    <row r="425" spans="3:3" ht="12.75" customHeight="1">
      <c r="C425" s="191"/>
    </row>
    <row r="426" spans="3:3" ht="12.75" customHeight="1">
      <c r="C426" s="191"/>
    </row>
    <row r="427" spans="3:3" ht="12.75" customHeight="1">
      <c r="C427" s="191"/>
    </row>
    <row r="428" spans="3:3" ht="12.75" customHeight="1">
      <c r="C428" s="191"/>
    </row>
    <row r="429" spans="3:3" ht="12.75" customHeight="1">
      <c r="C429" s="191"/>
    </row>
    <row r="430" spans="3:3" ht="12.75" customHeight="1">
      <c r="C430" s="191"/>
    </row>
    <row r="431" spans="3:3" ht="12.75" customHeight="1">
      <c r="C431" s="191"/>
    </row>
    <row r="432" spans="3:3" ht="12.75" customHeight="1">
      <c r="C432" s="191"/>
    </row>
    <row r="433" spans="3:3" ht="12.75" customHeight="1">
      <c r="C433" s="191"/>
    </row>
    <row r="434" spans="3:3" ht="12.75" customHeight="1">
      <c r="C434" s="191"/>
    </row>
    <row r="435" spans="3:3" ht="12.75" customHeight="1">
      <c r="C435" s="191"/>
    </row>
    <row r="436" spans="3:3" ht="12.75" customHeight="1">
      <c r="C436" s="191"/>
    </row>
    <row r="437" spans="3:3" ht="12.75" customHeight="1">
      <c r="C437" s="191"/>
    </row>
    <row r="438" spans="3:3" ht="12.75" customHeight="1">
      <c r="C438" s="191"/>
    </row>
    <row r="439" spans="3:3" ht="12.75" customHeight="1">
      <c r="C439" s="191"/>
    </row>
    <row r="440" spans="3:3" ht="12.75" customHeight="1">
      <c r="C440" s="191"/>
    </row>
    <row r="441" spans="3:3" ht="12.75" customHeight="1">
      <c r="C441" s="191"/>
    </row>
    <row r="442" spans="3:3" ht="12.75" customHeight="1">
      <c r="C442" s="191"/>
    </row>
    <row r="443" spans="3:3" ht="12.75" customHeight="1">
      <c r="C443" s="191"/>
    </row>
    <row r="444" spans="3:3" ht="12.75" customHeight="1">
      <c r="C444" s="191"/>
    </row>
    <row r="445" spans="3:3" ht="12.75" customHeight="1">
      <c r="C445" s="191"/>
    </row>
    <row r="446" spans="3:3" ht="12.75" customHeight="1">
      <c r="C446" s="191"/>
    </row>
    <row r="447" spans="3:3" ht="12.75" customHeight="1">
      <c r="C447" s="191"/>
    </row>
    <row r="448" spans="3:3" ht="12.75" customHeight="1">
      <c r="C448" s="191"/>
    </row>
    <row r="449" spans="3:3" ht="12.75" customHeight="1">
      <c r="C449" s="191"/>
    </row>
    <row r="450" spans="3:3" ht="12.75" customHeight="1">
      <c r="C450" s="191"/>
    </row>
    <row r="451" spans="3:3" ht="12.75" customHeight="1">
      <c r="C451" s="191"/>
    </row>
    <row r="452" spans="3:3" ht="12.75" customHeight="1">
      <c r="C452" s="191"/>
    </row>
    <row r="453" spans="3:3" ht="12.75" customHeight="1">
      <c r="C453" s="191"/>
    </row>
    <row r="454" spans="3:3" ht="12.75" customHeight="1">
      <c r="C454" s="191"/>
    </row>
    <row r="455" spans="3:3" ht="12.75" customHeight="1">
      <c r="C455" s="191"/>
    </row>
    <row r="456" spans="3:3" ht="12.75" customHeight="1">
      <c r="C456" s="191"/>
    </row>
    <row r="457" spans="3:3" ht="12.75" customHeight="1">
      <c r="C457" s="191"/>
    </row>
    <row r="458" spans="3:3" ht="12.75" customHeight="1">
      <c r="C458" s="191"/>
    </row>
    <row r="459" spans="3:3" ht="12.75" customHeight="1">
      <c r="C459" s="191"/>
    </row>
    <row r="460" spans="3:3" ht="12.75" customHeight="1">
      <c r="C460" s="191"/>
    </row>
    <row r="461" spans="3:3" ht="12.75" customHeight="1">
      <c r="C461" s="191"/>
    </row>
    <row r="462" spans="3:3" ht="12.75" customHeight="1">
      <c r="C462" s="191"/>
    </row>
    <row r="463" spans="3:3" ht="12.75" customHeight="1">
      <c r="C463" s="191"/>
    </row>
    <row r="464" spans="3:3" ht="12.75" customHeight="1">
      <c r="C464" s="191"/>
    </row>
    <row r="465" spans="3:3" ht="12.75" customHeight="1">
      <c r="C465" s="191"/>
    </row>
    <row r="466" spans="3:3" ht="12.75" customHeight="1">
      <c r="C466" s="191"/>
    </row>
    <row r="467" spans="3:3" ht="12.75" customHeight="1">
      <c r="C467" s="191"/>
    </row>
    <row r="468" spans="3:3" ht="12.75" customHeight="1">
      <c r="C468" s="191"/>
    </row>
    <row r="469" spans="3:3" ht="12.75" customHeight="1">
      <c r="C469" s="191"/>
    </row>
    <row r="470" spans="3:3" ht="12.75" customHeight="1">
      <c r="C470" s="191"/>
    </row>
    <row r="471" spans="3:3" ht="12.75" customHeight="1">
      <c r="C471" s="191"/>
    </row>
    <row r="472" spans="3:3" ht="12.75" customHeight="1">
      <c r="C472" s="191"/>
    </row>
    <row r="473" spans="3:3" ht="12.75" customHeight="1">
      <c r="C473" s="191"/>
    </row>
    <row r="474" spans="3:3" ht="12.75" customHeight="1">
      <c r="C474" s="191"/>
    </row>
    <row r="475" spans="3:3" ht="12.75" customHeight="1">
      <c r="C475" s="191"/>
    </row>
    <row r="476" spans="3:3" ht="12.75" customHeight="1">
      <c r="C476" s="191"/>
    </row>
    <row r="477" spans="3:3" ht="12.75" customHeight="1">
      <c r="C477" s="191"/>
    </row>
    <row r="478" spans="3:3" ht="12.75" customHeight="1">
      <c r="C478" s="191"/>
    </row>
    <row r="479" spans="3:3" ht="12.75" customHeight="1">
      <c r="C479" s="191"/>
    </row>
    <row r="480" spans="3:3" ht="12.75" customHeight="1">
      <c r="C480" s="191"/>
    </row>
    <row r="481" spans="3:3" ht="12.75" customHeight="1">
      <c r="C481" s="191"/>
    </row>
    <row r="482" spans="3:3" ht="12.75" customHeight="1">
      <c r="C482" s="191"/>
    </row>
    <row r="483" spans="3:3" ht="12.75" customHeight="1">
      <c r="C483" s="191"/>
    </row>
    <row r="484" spans="3:3" ht="12.75" customHeight="1">
      <c r="C484" s="191"/>
    </row>
    <row r="485" spans="3:3" ht="12.75" customHeight="1">
      <c r="C485" s="191"/>
    </row>
    <row r="486" spans="3:3" ht="12.75" customHeight="1">
      <c r="C486" s="191"/>
    </row>
    <row r="487" spans="3:3" ht="12.75" customHeight="1">
      <c r="C487" s="191"/>
    </row>
    <row r="488" spans="3:3" ht="12.75" customHeight="1">
      <c r="C488" s="191"/>
    </row>
    <row r="489" spans="3:3" ht="12.75" customHeight="1">
      <c r="C489" s="191"/>
    </row>
    <row r="490" spans="3:3" ht="12.75" customHeight="1">
      <c r="C490" s="191"/>
    </row>
    <row r="491" spans="3:3" ht="12.75" customHeight="1">
      <c r="C491" s="191"/>
    </row>
    <row r="492" spans="3:3" ht="12.75" customHeight="1">
      <c r="C492" s="191"/>
    </row>
    <row r="493" spans="3:3" ht="12.75" customHeight="1">
      <c r="C493" s="191"/>
    </row>
    <row r="494" spans="3:3" ht="12.75" customHeight="1">
      <c r="C494" s="191"/>
    </row>
    <row r="495" spans="3:3" ht="12.75" customHeight="1">
      <c r="C495" s="191"/>
    </row>
    <row r="496" spans="3:3" ht="12.75" customHeight="1">
      <c r="C496" s="191"/>
    </row>
    <row r="497" spans="3:3" ht="12.75" customHeight="1">
      <c r="C497" s="191"/>
    </row>
    <row r="498" spans="3:3" ht="12.75" customHeight="1">
      <c r="C498" s="191"/>
    </row>
    <row r="499" spans="3:3" ht="12.75" customHeight="1">
      <c r="C499" s="191"/>
    </row>
    <row r="500" spans="3:3" ht="12.75" customHeight="1">
      <c r="C500" s="191"/>
    </row>
    <row r="501" spans="3:3" ht="12.75" customHeight="1">
      <c r="C501" s="191"/>
    </row>
    <row r="502" spans="3:3" ht="12.75" customHeight="1">
      <c r="C502" s="191"/>
    </row>
    <row r="503" spans="3:3" ht="12.75" customHeight="1">
      <c r="C503" s="191"/>
    </row>
    <row r="504" spans="3:3" ht="12.75" customHeight="1">
      <c r="C504" s="191"/>
    </row>
    <row r="505" spans="3:3" ht="12.75" customHeight="1">
      <c r="C505" s="191"/>
    </row>
    <row r="506" spans="3:3" ht="12.75" customHeight="1">
      <c r="C506" s="191"/>
    </row>
    <row r="507" spans="3:3" ht="12.75" customHeight="1">
      <c r="C507" s="191"/>
    </row>
    <row r="508" spans="3:3" ht="12.75" customHeight="1">
      <c r="C508" s="191"/>
    </row>
    <row r="509" spans="3:3" ht="12.75" customHeight="1">
      <c r="C509" s="191"/>
    </row>
    <row r="510" spans="3:3" ht="12.75" customHeight="1">
      <c r="C510" s="191"/>
    </row>
    <row r="511" spans="3:3" ht="12.75" customHeight="1">
      <c r="C511" s="191"/>
    </row>
    <row r="512" spans="3:3" ht="12.75" customHeight="1">
      <c r="C512" s="191"/>
    </row>
    <row r="513" spans="3:3" ht="12.75" customHeight="1">
      <c r="C513" s="191"/>
    </row>
    <row r="514" spans="3:3" ht="12.75" customHeight="1">
      <c r="C514" s="191"/>
    </row>
    <row r="515" spans="3:3" ht="12.75" customHeight="1">
      <c r="C515" s="191"/>
    </row>
    <row r="516" spans="3:3" ht="12.75" customHeight="1">
      <c r="C516" s="191"/>
    </row>
    <row r="517" spans="3:3" ht="12.75" customHeight="1">
      <c r="C517" s="191"/>
    </row>
    <row r="518" spans="3:3" ht="12.75" customHeight="1">
      <c r="C518" s="191"/>
    </row>
    <row r="519" spans="3:3" ht="12.75" customHeight="1">
      <c r="C519" s="191"/>
    </row>
    <row r="520" spans="3:3" ht="12.75" customHeight="1">
      <c r="C520" s="191"/>
    </row>
    <row r="521" spans="3:3" ht="12.75" customHeight="1">
      <c r="C521" s="191"/>
    </row>
    <row r="522" spans="3:3" ht="12.75" customHeight="1">
      <c r="C522" s="191"/>
    </row>
    <row r="523" spans="3:3" ht="12.75" customHeight="1">
      <c r="C523" s="191"/>
    </row>
    <row r="524" spans="3:3" ht="12.75" customHeight="1">
      <c r="C524" s="191"/>
    </row>
    <row r="525" spans="3:3" ht="12.75" customHeight="1">
      <c r="C525" s="191"/>
    </row>
    <row r="526" spans="3:3" ht="12.75" customHeight="1">
      <c r="C526" s="191"/>
    </row>
    <row r="527" spans="3:3" ht="12.75" customHeight="1">
      <c r="C527" s="191"/>
    </row>
    <row r="528" spans="3:3" ht="12.75" customHeight="1">
      <c r="C528" s="191"/>
    </row>
    <row r="529" spans="3:3" ht="12.75" customHeight="1">
      <c r="C529" s="191"/>
    </row>
    <row r="530" spans="3:3" ht="12.75" customHeight="1">
      <c r="C530" s="191"/>
    </row>
    <row r="531" spans="3:3" ht="12.75" customHeight="1">
      <c r="C531" s="191"/>
    </row>
    <row r="532" spans="3:3" ht="12.75" customHeight="1">
      <c r="C532" s="191"/>
    </row>
    <row r="533" spans="3:3" ht="12.75" customHeight="1">
      <c r="C533" s="191"/>
    </row>
    <row r="534" spans="3:3" ht="12.75" customHeight="1">
      <c r="C534" s="191"/>
    </row>
    <row r="535" spans="3:3" ht="12.75" customHeight="1">
      <c r="C535" s="191"/>
    </row>
    <row r="536" spans="3:3" ht="12.75" customHeight="1">
      <c r="C536" s="191"/>
    </row>
    <row r="537" spans="3:3" ht="12.75" customHeight="1">
      <c r="C537" s="191"/>
    </row>
    <row r="538" spans="3:3" ht="12.75" customHeight="1">
      <c r="C538" s="191"/>
    </row>
    <row r="539" spans="3:3" ht="12.75" customHeight="1">
      <c r="C539" s="191"/>
    </row>
    <row r="540" spans="3:3" ht="12.75" customHeight="1">
      <c r="C540" s="191"/>
    </row>
    <row r="541" spans="3:3" ht="12.75" customHeight="1">
      <c r="C541" s="191"/>
    </row>
    <row r="542" spans="3:3" ht="12.75" customHeight="1">
      <c r="C542" s="191"/>
    </row>
    <row r="543" spans="3:3" ht="12.75" customHeight="1">
      <c r="C543" s="191"/>
    </row>
    <row r="544" spans="3:3" ht="12.75" customHeight="1">
      <c r="C544" s="191"/>
    </row>
    <row r="545" spans="3:3" ht="12.75" customHeight="1">
      <c r="C545" s="191"/>
    </row>
    <row r="546" spans="3:3" ht="12.75" customHeight="1">
      <c r="C546" s="191"/>
    </row>
    <row r="547" spans="3:3" ht="12.75" customHeight="1">
      <c r="C547" s="191"/>
    </row>
    <row r="548" spans="3:3" ht="12.75" customHeight="1">
      <c r="C548" s="191"/>
    </row>
    <row r="549" spans="3:3" ht="12.75" customHeight="1">
      <c r="C549" s="191"/>
    </row>
    <row r="550" spans="3:3" ht="12.75" customHeight="1">
      <c r="C550" s="191"/>
    </row>
    <row r="551" spans="3:3" ht="12.75" customHeight="1">
      <c r="C551" s="191"/>
    </row>
    <row r="552" spans="3:3" ht="12.75" customHeight="1">
      <c r="C552" s="191"/>
    </row>
    <row r="553" spans="3:3" ht="12.75" customHeight="1">
      <c r="C553" s="191"/>
    </row>
    <row r="554" spans="3:3" ht="12.75" customHeight="1">
      <c r="C554" s="191"/>
    </row>
    <row r="555" spans="3:3" ht="12.75" customHeight="1">
      <c r="C555" s="191"/>
    </row>
    <row r="556" spans="3:3" ht="12.75" customHeight="1">
      <c r="C556" s="191"/>
    </row>
    <row r="557" spans="3:3" ht="12.75" customHeight="1">
      <c r="C557" s="191"/>
    </row>
    <row r="558" spans="3:3" ht="12.75" customHeight="1">
      <c r="C558" s="191"/>
    </row>
    <row r="559" spans="3:3" ht="12.75" customHeight="1">
      <c r="C559" s="191"/>
    </row>
    <row r="560" spans="3:3" ht="12.75" customHeight="1">
      <c r="C560" s="191"/>
    </row>
    <row r="561" spans="3:3" ht="12.75" customHeight="1">
      <c r="C561" s="191"/>
    </row>
    <row r="562" spans="3:3" ht="12.75" customHeight="1">
      <c r="C562" s="191"/>
    </row>
    <row r="563" spans="3:3" ht="12.75" customHeight="1">
      <c r="C563" s="191"/>
    </row>
    <row r="564" spans="3:3" ht="12.75" customHeight="1">
      <c r="C564" s="191"/>
    </row>
    <row r="565" spans="3:3" ht="12.75" customHeight="1">
      <c r="C565" s="191"/>
    </row>
    <row r="566" spans="3:3" ht="12.75" customHeight="1">
      <c r="C566" s="191"/>
    </row>
    <row r="567" spans="3:3" ht="12.75" customHeight="1">
      <c r="C567" s="191"/>
    </row>
    <row r="568" spans="3:3" ht="12.75" customHeight="1">
      <c r="C568" s="191"/>
    </row>
    <row r="569" spans="3:3" ht="12.75" customHeight="1">
      <c r="C569" s="191"/>
    </row>
    <row r="570" spans="3:3" ht="12.75" customHeight="1">
      <c r="C570" s="191"/>
    </row>
    <row r="571" spans="3:3" ht="12.75" customHeight="1">
      <c r="C571" s="191"/>
    </row>
    <row r="572" spans="3:3" ht="12.75" customHeight="1">
      <c r="C572" s="191"/>
    </row>
    <row r="573" spans="3:3" ht="12.75" customHeight="1">
      <c r="C573" s="191"/>
    </row>
    <row r="574" spans="3:3" ht="12.75" customHeight="1">
      <c r="C574" s="191"/>
    </row>
    <row r="575" spans="3:3" ht="12.75" customHeight="1">
      <c r="C575" s="191"/>
    </row>
    <row r="576" spans="3:3" ht="12.75" customHeight="1">
      <c r="C576" s="191"/>
    </row>
    <row r="577" spans="3:3" ht="12.75" customHeight="1">
      <c r="C577" s="191"/>
    </row>
    <row r="578" spans="3:3" ht="12.75" customHeight="1">
      <c r="C578" s="191"/>
    </row>
    <row r="579" spans="3:3" ht="12.75" customHeight="1">
      <c r="C579" s="191"/>
    </row>
    <row r="580" spans="3:3" ht="12.75" customHeight="1">
      <c r="C580" s="191"/>
    </row>
    <row r="581" spans="3:3" ht="12.75" customHeight="1">
      <c r="C581" s="191"/>
    </row>
    <row r="582" spans="3:3" ht="12.75" customHeight="1">
      <c r="C582" s="191"/>
    </row>
    <row r="583" spans="3:3" ht="12.75" customHeight="1">
      <c r="C583" s="191"/>
    </row>
    <row r="584" spans="3:3" ht="12.75" customHeight="1">
      <c r="C584" s="191"/>
    </row>
    <row r="585" spans="3:3" ht="12.75" customHeight="1">
      <c r="C585" s="191"/>
    </row>
    <row r="586" spans="3:3" ht="12.75" customHeight="1">
      <c r="C586" s="191"/>
    </row>
    <row r="587" spans="3:3" ht="12.75" customHeight="1">
      <c r="C587" s="191"/>
    </row>
    <row r="588" spans="3:3" ht="12.75" customHeight="1">
      <c r="C588" s="191"/>
    </row>
    <row r="589" spans="3:3" ht="12.75" customHeight="1">
      <c r="C589" s="191"/>
    </row>
    <row r="590" spans="3:3" ht="12.75" customHeight="1">
      <c r="C590" s="191"/>
    </row>
    <row r="591" spans="3:3" ht="12.75" customHeight="1">
      <c r="C591" s="191"/>
    </row>
    <row r="592" spans="3:3" ht="12.75" customHeight="1">
      <c r="C592" s="191"/>
    </row>
    <row r="593" spans="3:3" ht="12.75" customHeight="1">
      <c r="C593" s="191"/>
    </row>
    <row r="594" spans="3:3" ht="12.75" customHeight="1">
      <c r="C594" s="191"/>
    </row>
    <row r="595" spans="3:3" ht="12.75" customHeight="1">
      <c r="C595" s="191"/>
    </row>
    <row r="596" spans="3:3" ht="12.75" customHeight="1">
      <c r="C596" s="191"/>
    </row>
    <row r="597" spans="3:3" ht="12.75" customHeight="1">
      <c r="C597" s="191"/>
    </row>
    <row r="598" spans="3:3" ht="12.75" customHeight="1">
      <c r="C598" s="191"/>
    </row>
    <row r="599" spans="3:3" ht="12.75" customHeight="1">
      <c r="C599" s="191"/>
    </row>
    <row r="600" spans="3:3" ht="12.75" customHeight="1">
      <c r="C600" s="191"/>
    </row>
    <row r="601" spans="3:3" ht="12.75" customHeight="1">
      <c r="C601" s="191"/>
    </row>
    <row r="602" spans="3:3" ht="12.75" customHeight="1">
      <c r="C602" s="191"/>
    </row>
    <row r="603" spans="3:3" ht="12.75" customHeight="1">
      <c r="C603" s="191"/>
    </row>
    <row r="604" spans="3:3" ht="12.75" customHeight="1">
      <c r="C604" s="191"/>
    </row>
    <row r="605" spans="3:3" ht="12.75" customHeight="1">
      <c r="C605" s="191"/>
    </row>
    <row r="606" spans="3:3" ht="12.75" customHeight="1">
      <c r="C606" s="191"/>
    </row>
    <row r="607" spans="3:3" ht="12.75" customHeight="1">
      <c r="C607" s="191"/>
    </row>
    <row r="608" spans="3:3" ht="12.75" customHeight="1">
      <c r="C608" s="191"/>
    </row>
    <row r="609" spans="3:3" ht="12.75" customHeight="1">
      <c r="C609" s="191"/>
    </row>
    <row r="610" spans="3:3" ht="12.75" customHeight="1">
      <c r="C610" s="191"/>
    </row>
    <row r="611" spans="3:3" ht="12.75" customHeight="1">
      <c r="C611" s="191"/>
    </row>
    <row r="612" spans="3:3" ht="12.75" customHeight="1">
      <c r="C612" s="191"/>
    </row>
    <row r="613" spans="3:3" ht="12.75" customHeight="1">
      <c r="C613" s="191"/>
    </row>
    <row r="614" spans="3:3" ht="12.75" customHeight="1">
      <c r="C614" s="191"/>
    </row>
    <row r="615" spans="3:3" ht="12.75" customHeight="1">
      <c r="C615" s="191"/>
    </row>
    <row r="616" spans="3:3" ht="12.75" customHeight="1">
      <c r="C616" s="191"/>
    </row>
    <row r="617" spans="3:3" ht="12.75" customHeight="1">
      <c r="C617" s="191"/>
    </row>
    <row r="618" spans="3:3" ht="12.75" customHeight="1">
      <c r="C618" s="191"/>
    </row>
    <row r="619" spans="3:3" ht="12.75" customHeight="1">
      <c r="C619" s="191"/>
    </row>
    <row r="620" spans="3:3" ht="12.75" customHeight="1">
      <c r="C620" s="191"/>
    </row>
    <row r="621" spans="3:3" ht="12.75" customHeight="1">
      <c r="C621" s="191"/>
    </row>
    <row r="622" spans="3:3" ht="12.75" customHeight="1">
      <c r="C622" s="191"/>
    </row>
    <row r="623" spans="3:3" ht="12.75" customHeight="1">
      <c r="C623" s="191"/>
    </row>
    <row r="624" spans="3:3" ht="12.75" customHeight="1">
      <c r="C624" s="191"/>
    </row>
    <row r="625" spans="3:3" ht="12.75" customHeight="1">
      <c r="C625" s="191"/>
    </row>
    <row r="626" spans="3:3" ht="12.75" customHeight="1">
      <c r="C626" s="191"/>
    </row>
    <row r="627" spans="3:3" ht="12.75" customHeight="1">
      <c r="C627" s="191"/>
    </row>
    <row r="628" spans="3:3" ht="12.75" customHeight="1">
      <c r="C628" s="191"/>
    </row>
    <row r="629" spans="3:3" ht="12.75" customHeight="1">
      <c r="C629" s="191"/>
    </row>
    <row r="630" spans="3:3" ht="12.75" customHeight="1">
      <c r="C630" s="191"/>
    </row>
    <row r="631" spans="3:3" ht="12.75" customHeight="1">
      <c r="C631" s="191"/>
    </row>
    <row r="632" spans="3:3" ht="12.75" customHeight="1">
      <c r="C632" s="191"/>
    </row>
    <row r="633" spans="3:3" ht="12.75" customHeight="1">
      <c r="C633" s="191"/>
    </row>
    <row r="634" spans="3:3" ht="12.75" customHeight="1">
      <c r="C634" s="191"/>
    </row>
    <row r="635" spans="3:3" ht="12.75" customHeight="1">
      <c r="C635" s="191"/>
    </row>
    <row r="636" spans="3:3" ht="12.75" customHeight="1">
      <c r="C636" s="191"/>
    </row>
    <row r="637" spans="3:3" ht="12.75" customHeight="1">
      <c r="C637" s="191"/>
    </row>
    <row r="638" spans="3:3" ht="12.75" customHeight="1">
      <c r="C638" s="191"/>
    </row>
    <row r="639" spans="3:3" ht="12.75" customHeight="1">
      <c r="C639" s="191"/>
    </row>
    <row r="640" spans="3:3" ht="12.75" customHeight="1">
      <c r="C640" s="191"/>
    </row>
    <row r="641" spans="3:3" ht="12.75" customHeight="1">
      <c r="C641" s="191"/>
    </row>
    <row r="642" spans="3:3" ht="12.75" customHeight="1">
      <c r="C642" s="191"/>
    </row>
    <row r="643" spans="3:3" ht="12.75" customHeight="1">
      <c r="C643" s="191"/>
    </row>
    <row r="644" spans="3:3" ht="12.75" customHeight="1">
      <c r="C644" s="191"/>
    </row>
    <row r="645" spans="3:3" ht="12.75" customHeight="1">
      <c r="C645" s="191"/>
    </row>
    <row r="646" spans="3:3" ht="12.75" customHeight="1">
      <c r="C646" s="191"/>
    </row>
    <row r="647" spans="3:3" ht="12.75" customHeight="1">
      <c r="C647" s="191"/>
    </row>
    <row r="648" spans="3:3" ht="12.75" customHeight="1">
      <c r="C648" s="191"/>
    </row>
    <row r="649" spans="3:3" ht="12.75" customHeight="1">
      <c r="C649" s="191"/>
    </row>
    <row r="650" spans="3:3" ht="12.75" customHeight="1">
      <c r="C650" s="191"/>
    </row>
    <row r="651" spans="3:3" ht="12.75" customHeight="1">
      <c r="C651" s="191"/>
    </row>
    <row r="652" spans="3:3" ht="12.75" customHeight="1">
      <c r="C652" s="191"/>
    </row>
    <row r="653" spans="3:3" ht="12.75" customHeight="1">
      <c r="C653" s="191"/>
    </row>
    <row r="654" spans="3:3" ht="12.75" customHeight="1">
      <c r="C654" s="191"/>
    </row>
    <row r="655" spans="3:3" ht="12.75" customHeight="1">
      <c r="C655" s="191"/>
    </row>
    <row r="656" spans="3:3" ht="12.75" customHeight="1">
      <c r="C656" s="191"/>
    </row>
    <row r="657" spans="3:3" ht="12.75" customHeight="1">
      <c r="C657" s="191"/>
    </row>
    <row r="658" spans="3:3" ht="12.75" customHeight="1">
      <c r="C658" s="191"/>
    </row>
    <row r="659" spans="3:3" ht="12.75" customHeight="1">
      <c r="C659" s="191"/>
    </row>
    <row r="660" spans="3:3" ht="12.75" customHeight="1">
      <c r="C660" s="191"/>
    </row>
    <row r="661" spans="3:3" ht="12.75" customHeight="1">
      <c r="C661" s="191"/>
    </row>
    <row r="662" spans="3:3" ht="12.75" customHeight="1">
      <c r="C662" s="191"/>
    </row>
    <row r="663" spans="3:3" ht="12.75" customHeight="1">
      <c r="C663" s="191"/>
    </row>
    <row r="664" spans="3:3" ht="12.75" customHeight="1">
      <c r="C664" s="191"/>
    </row>
    <row r="665" spans="3:3" ht="12.75" customHeight="1">
      <c r="C665" s="191"/>
    </row>
    <row r="666" spans="3:3" ht="12.75" customHeight="1">
      <c r="C666" s="191"/>
    </row>
    <row r="667" spans="3:3" ht="12.75" customHeight="1">
      <c r="C667" s="191"/>
    </row>
    <row r="668" spans="3:3" ht="12.75" customHeight="1">
      <c r="C668" s="191"/>
    </row>
    <row r="669" spans="3:3" ht="12.75" customHeight="1">
      <c r="C669" s="191"/>
    </row>
    <row r="670" spans="3:3" ht="12.75" customHeight="1">
      <c r="C670" s="191"/>
    </row>
    <row r="671" spans="3:3" ht="12.75" customHeight="1">
      <c r="C671" s="191"/>
    </row>
    <row r="672" spans="3:3" ht="12.75" customHeight="1">
      <c r="C672" s="191"/>
    </row>
    <row r="673" spans="3:3" ht="12.75" customHeight="1">
      <c r="C673" s="191"/>
    </row>
    <row r="674" spans="3:3" ht="12.75" customHeight="1">
      <c r="C674" s="191"/>
    </row>
    <row r="675" spans="3:3" ht="12.75" customHeight="1">
      <c r="C675" s="191"/>
    </row>
    <row r="676" spans="3:3" ht="12.75" customHeight="1">
      <c r="C676" s="191"/>
    </row>
    <row r="677" spans="3:3" ht="12.75" customHeight="1">
      <c r="C677" s="191"/>
    </row>
    <row r="678" spans="3:3" ht="12.75" customHeight="1">
      <c r="C678" s="191"/>
    </row>
    <row r="679" spans="3:3" ht="12.75" customHeight="1">
      <c r="C679" s="191"/>
    </row>
    <row r="680" spans="3:3" ht="12.75" customHeight="1">
      <c r="C680" s="191"/>
    </row>
    <row r="681" spans="3:3" ht="12.75" customHeight="1">
      <c r="C681" s="191"/>
    </row>
    <row r="682" spans="3:3" ht="12.75" customHeight="1">
      <c r="C682" s="191"/>
    </row>
    <row r="683" spans="3:3" ht="12.75" customHeight="1">
      <c r="C683" s="191"/>
    </row>
    <row r="684" spans="3:3" ht="12.75" customHeight="1">
      <c r="C684" s="191"/>
    </row>
    <row r="685" spans="3:3" ht="12.75" customHeight="1">
      <c r="C685" s="191"/>
    </row>
    <row r="686" spans="3:3" ht="12.75" customHeight="1">
      <c r="C686" s="191"/>
    </row>
    <row r="687" spans="3:3" ht="12.75" customHeight="1">
      <c r="C687" s="191"/>
    </row>
    <row r="688" spans="3:3" ht="12.75" customHeight="1">
      <c r="C688" s="191"/>
    </row>
    <row r="689" spans="3:3" ht="12.75" customHeight="1">
      <c r="C689" s="191"/>
    </row>
    <row r="690" spans="3:3" ht="12.75" customHeight="1">
      <c r="C690" s="191"/>
    </row>
    <row r="691" spans="3:3" ht="12.75" customHeight="1">
      <c r="C691" s="191"/>
    </row>
    <row r="692" spans="3:3" ht="12.75" customHeight="1">
      <c r="C692" s="191"/>
    </row>
    <row r="693" spans="3:3" ht="12.75" customHeight="1">
      <c r="C693" s="191"/>
    </row>
    <row r="694" spans="3:3" ht="12.75" customHeight="1">
      <c r="C694" s="191"/>
    </row>
    <row r="695" spans="3:3" ht="12.75" customHeight="1">
      <c r="C695" s="191"/>
    </row>
    <row r="696" spans="3:3" ht="12.75" customHeight="1">
      <c r="C696" s="191"/>
    </row>
    <row r="697" spans="3:3" ht="12.75" customHeight="1">
      <c r="C697" s="191"/>
    </row>
    <row r="698" spans="3:3" ht="12.75" customHeight="1">
      <c r="C698" s="191"/>
    </row>
    <row r="699" spans="3:3" ht="12.75" customHeight="1">
      <c r="C699" s="191"/>
    </row>
    <row r="700" spans="3:3" ht="12.75" customHeight="1">
      <c r="C700" s="191"/>
    </row>
    <row r="701" spans="3:3" ht="12.75" customHeight="1">
      <c r="C701" s="191"/>
    </row>
    <row r="702" spans="3:3" ht="12.75" customHeight="1">
      <c r="C702" s="191"/>
    </row>
    <row r="703" spans="3:3" ht="12.75" customHeight="1">
      <c r="C703" s="191"/>
    </row>
    <row r="704" spans="3:3" ht="12.75" customHeight="1">
      <c r="C704" s="191"/>
    </row>
    <row r="705" spans="3:3" ht="12.75" customHeight="1">
      <c r="C705" s="191"/>
    </row>
    <row r="706" spans="3:3" ht="12.75" customHeight="1">
      <c r="C706" s="191"/>
    </row>
    <row r="707" spans="3:3" ht="12.75" customHeight="1">
      <c r="C707" s="191"/>
    </row>
    <row r="708" spans="3:3" ht="12.75" customHeight="1">
      <c r="C708" s="191"/>
    </row>
    <row r="709" spans="3:3" ht="12.75" customHeight="1">
      <c r="C709" s="191"/>
    </row>
    <row r="710" spans="3:3" ht="12.75" customHeight="1">
      <c r="C710" s="191"/>
    </row>
    <row r="711" spans="3:3" ht="12.75" customHeight="1">
      <c r="C711" s="191"/>
    </row>
    <row r="712" spans="3:3" ht="12.75" customHeight="1">
      <c r="C712" s="191"/>
    </row>
    <row r="713" spans="3:3" ht="12.75" customHeight="1">
      <c r="C713" s="191"/>
    </row>
    <row r="714" spans="3:3" ht="12.75" customHeight="1">
      <c r="C714" s="191"/>
    </row>
    <row r="715" spans="3:3" ht="12.75" customHeight="1">
      <c r="C715" s="191"/>
    </row>
    <row r="716" spans="3:3" ht="12.75" customHeight="1">
      <c r="C716" s="191"/>
    </row>
    <row r="717" spans="3:3" ht="12.75" customHeight="1">
      <c r="C717" s="191"/>
    </row>
    <row r="718" spans="3:3" ht="12.75" customHeight="1">
      <c r="C718" s="191"/>
    </row>
    <row r="719" spans="3:3" ht="12.75" customHeight="1">
      <c r="C719" s="191"/>
    </row>
    <row r="720" spans="3:3" ht="12.75" customHeight="1">
      <c r="C720" s="191"/>
    </row>
    <row r="721" spans="3:3" ht="12.75" customHeight="1">
      <c r="C721" s="191"/>
    </row>
    <row r="722" spans="3:3" ht="12.75" customHeight="1">
      <c r="C722" s="191"/>
    </row>
    <row r="723" spans="3:3" ht="12.75" customHeight="1">
      <c r="C723" s="191"/>
    </row>
    <row r="724" spans="3:3" ht="12.75" customHeight="1">
      <c r="C724" s="191"/>
    </row>
    <row r="725" spans="3:3" ht="12.75" customHeight="1">
      <c r="C725" s="191"/>
    </row>
    <row r="726" spans="3:3" ht="12.75" customHeight="1">
      <c r="C726" s="191"/>
    </row>
    <row r="727" spans="3:3" ht="12.75" customHeight="1">
      <c r="C727" s="191"/>
    </row>
    <row r="728" spans="3:3" ht="12.75" customHeight="1">
      <c r="C728" s="191"/>
    </row>
    <row r="729" spans="3:3" ht="12.75" customHeight="1">
      <c r="C729" s="191"/>
    </row>
    <row r="730" spans="3:3" ht="12.75" customHeight="1">
      <c r="C730" s="191"/>
    </row>
    <row r="731" spans="3:3" ht="12.75" customHeight="1">
      <c r="C731" s="191"/>
    </row>
    <row r="732" spans="3:3" ht="12.75" customHeight="1">
      <c r="C732" s="191"/>
    </row>
    <row r="733" spans="3:3" ht="12.75" customHeight="1">
      <c r="C733" s="191"/>
    </row>
    <row r="734" spans="3:3" ht="12.75" customHeight="1">
      <c r="C734" s="191"/>
    </row>
    <row r="735" spans="3:3" ht="12.75" customHeight="1">
      <c r="C735" s="191"/>
    </row>
    <row r="736" spans="3:3" ht="12.75" customHeight="1">
      <c r="C736" s="191"/>
    </row>
    <row r="737" spans="3:3" ht="12.75" customHeight="1">
      <c r="C737" s="191"/>
    </row>
    <row r="738" spans="3:3" ht="12.75" customHeight="1">
      <c r="C738" s="191"/>
    </row>
    <row r="739" spans="3:3" ht="12.75" customHeight="1">
      <c r="C739" s="191"/>
    </row>
    <row r="740" spans="3:3" ht="12.75" customHeight="1">
      <c r="C740" s="191"/>
    </row>
    <row r="741" spans="3:3" ht="12.75" customHeight="1">
      <c r="C741" s="191"/>
    </row>
    <row r="742" spans="3:3" ht="12.75" customHeight="1">
      <c r="C742" s="191"/>
    </row>
    <row r="743" spans="3:3" ht="12.75" customHeight="1">
      <c r="C743" s="191"/>
    </row>
    <row r="744" spans="3:3" ht="12.75" customHeight="1">
      <c r="C744" s="191"/>
    </row>
    <row r="745" spans="3:3" ht="12.75" customHeight="1">
      <c r="C745" s="191"/>
    </row>
    <row r="746" spans="3:3" ht="12.75" customHeight="1">
      <c r="C746" s="191"/>
    </row>
    <row r="747" spans="3:3" ht="12.75" customHeight="1">
      <c r="C747" s="191"/>
    </row>
    <row r="748" spans="3:3" ht="12.75" customHeight="1">
      <c r="C748" s="191"/>
    </row>
    <row r="749" spans="3:3" ht="12.75" customHeight="1">
      <c r="C749" s="191"/>
    </row>
    <row r="750" spans="3:3" ht="12.75" customHeight="1">
      <c r="C750" s="191"/>
    </row>
    <row r="751" spans="3:3" ht="12.75" customHeight="1">
      <c r="C751" s="191"/>
    </row>
    <row r="752" spans="3:3" ht="12.75" customHeight="1">
      <c r="C752" s="191"/>
    </row>
    <row r="753" spans="3:3" ht="12.75" customHeight="1">
      <c r="C753" s="191"/>
    </row>
    <row r="754" spans="3:3" ht="12.75" customHeight="1">
      <c r="C754" s="191"/>
    </row>
    <row r="755" spans="3:3" ht="12.75" customHeight="1">
      <c r="C755" s="191"/>
    </row>
    <row r="756" spans="3:3" ht="12.75" customHeight="1">
      <c r="C756" s="191"/>
    </row>
    <row r="757" spans="3:3" ht="12.75" customHeight="1">
      <c r="C757" s="191"/>
    </row>
    <row r="758" spans="3:3" ht="12.75" customHeight="1">
      <c r="C758" s="191"/>
    </row>
    <row r="759" spans="3:3" ht="12.75" customHeight="1">
      <c r="C759" s="191"/>
    </row>
    <row r="760" spans="3:3" ht="12.75" customHeight="1">
      <c r="C760" s="191"/>
    </row>
    <row r="761" spans="3:3" ht="12.75" customHeight="1">
      <c r="C761" s="191"/>
    </row>
    <row r="762" spans="3:3" ht="12.75" customHeight="1">
      <c r="C762" s="191"/>
    </row>
    <row r="763" spans="3:3" ht="12.75" customHeight="1">
      <c r="C763" s="191"/>
    </row>
    <row r="764" spans="3:3" ht="12.75" customHeight="1">
      <c r="C764" s="191"/>
    </row>
    <row r="765" spans="3:3" ht="12.75" customHeight="1">
      <c r="C765" s="191"/>
    </row>
    <row r="766" spans="3:3" ht="12.75" customHeight="1">
      <c r="C766" s="191"/>
    </row>
    <row r="767" spans="3:3" ht="12.75" customHeight="1">
      <c r="C767" s="191"/>
    </row>
    <row r="768" spans="3:3" ht="12.75" customHeight="1">
      <c r="C768" s="191"/>
    </row>
    <row r="769" spans="3:3" ht="12.75" customHeight="1">
      <c r="C769" s="191"/>
    </row>
    <row r="770" spans="3:3" ht="12.75" customHeight="1">
      <c r="C770" s="191"/>
    </row>
    <row r="771" spans="3:3" ht="12.75" customHeight="1">
      <c r="C771" s="191"/>
    </row>
    <row r="772" spans="3:3" ht="12.75" customHeight="1">
      <c r="C772" s="191"/>
    </row>
    <row r="773" spans="3:3" ht="12.75" customHeight="1">
      <c r="C773" s="191"/>
    </row>
    <row r="774" spans="3:3" ht="12.75" customHeight="1">
      <c r="C774" s="191"/>
    </row>
    <row r="775" spans="3:3" ht="12.75" customHeight="1">
      <c r="C775" s="191"/>
    </row>
    <row r="776" spans="3:3" ht="12.75" customHeight="1">
      <c r="C776" s="191"/>
    </row>
    <row r="777" spans="3:3" ht="12.75" customHeight="1">
      <c r="C777" s="191"/>
    </row>
    <row r="778" spans="3:3" ht="12.75" customHeight="1">
      <c r="C778" s="191"/>
    </row>
    <row r="779" spans="3:3" ht="12.75" customHeight="1">
      <c r="C779" s="191"/>
    </row>
    <row r="780" spans="3:3" ht="12.75" customHeight="1">
      <c r="C780" s="191"/>
    </row>
    <row r="781" spans="3:3" ht="12.75" customHeight="1">
      <c r="C781" s="191"/>
    </row>
    <row r="782" spans="3:3" ht="12.75" customHeight="1">
      <c r="C782" s="191"/>
    </row>
    <row r="783" spans="3:3" ht="12.75" customHeight="1">
      <c r="C783" s="191"/>
    </row>
    <row r="784" spans="3:3" ht="12.75" customHeight="1">
      <c r="C784" s="191"/>
    </row>
    <row r="785" spans="3:3" ht="12.75" customHeight="1">
      <c r="C785" s="191"/>
    </row>
    <row r="786" spans="3:3" ht="12.75" customHeight="1">
      <c r="C786" s="191"/>
    </row>
    <row r="787" spans="3:3" ht="12.75" customHeight="1">
      <c r="C787" s="191"/>
    </row>
    <row r="788" spans="3:3" ht="12.75" customHeight="1">
      <c r="C788" s="191"/>
    </row>
    <row r="789" spans="3:3" ht="12.75" customHeight="1">
      <c r="C789" s="191"/>
    </row>
    <row r="790" spans="3:3" ht="12.75" customHeight="1">
      <c r="C790" s="191"/>
    </row>
    <row r="791" spans="3:3" ht="12.75" customHeight="1">
      <c r="C791" s="191"/>
    </row>
    <row r="792" spans="3:3" ht="12.75" customHeight="1">
      <c r="C792" s="191"/>
    </row>
    <row r="793" spans="3:3" ht="12.75" customHeight="1">
      <c r="C793" s="191"/>
    </row>
    <row r="794" spans="3:3" ht="12.75" customHeight="1">
      <c r="C794" s="191"/>
    </row>
    <row r="795" spans="3:3" ht="12.75" customHeight="1">
      <c r="C795" s="191"/>
    </row>
    <row r="796" spans="3:3" ht="12.75" customHeight="1">
      <c r="C796" s="191"/>
    </row>
    <row r="797" spans="3:3" ht="12.75" customHeight="1">
      <c r="C797" s="191"/>
    </row>
    <row r="798" spans="3:3" ht="12.75" customHeight="1">
      <c r="C798" s="191"/>
    </row>
    <row r="799" spans="3:3" ht="12.75" customHeight="1">
      <c r="C799" s="191"/>
    </row>
    <row r="800" spans="3:3" ht="12.75" customHeight="1">
      <c r="C800" s="191"/>
    </row>
    <row r="801" spans="3:3" ht="12.75" customHeight="1">
      <c r="C801" s="191"/>
    </row>
    <row r="802" spans="3:3" ht="12.75" customHeight="1">
      <c r="C802" s="191"/>
    </row>
    <row r="803" spans="3:3" ht="12.75" customHeight="1">
      <c r="C803" s="191"/>
    </row>
    <row r="804" spans="3:3" ht="12.75" customHeight="1">
      <c r="C804" s="191"/>
    </row>
    <row r="805" spans="3:3" ht="12.75" customHeight="1">
      <c r="C805" s="191"/>
    </row>
    <row r="806" spans="3:3" ht="12.75" customHeight="1">
      <c r="C806" s="191"/>
    </row>
    <row r="807" spans="3:3" ht="12.75" customHeight="1">
      <c r="C807" s="191"/>
    </row>
    <row r="808" spans="3:3" ht="12.75" customHeight="1">
      <c r="C808" s="191"/>
    </row>
    <row r="809" spans="3:3" ht="12.75" customHeight="1">
      <c r="C809" s="191"/>
    </row>
    <row r="810" spans="3:3" ht="12.75" customHeight="1">
      <c r="C810" s="191"/>
    </row>
    <row r="811" spans="3:3" ht="12.75" customHeight="1">
      <c r="C811" s="191"/>
    </row>
    <row r="812" spans="3:3" ht="12.75" customHeight="1">
      <c r="C812" s="191"/>
    </row>
    <row r="813" spans="3:3" ht="12.75" customHeight="1">
      <c r="C813" s="191"/>
    </row>
    <row r="814" spans="3:3" ht="12.75" customHeight="1">
      <c r="C814" s="191"/>
    </row>
    <row r="815" spans="3:3" ht="12.75" customHeight="1">
      <c r="C815" s="191"/>
    </row>
    <row r="816" spans="3:3" ht="12.75" customHeight="1">
      <c r="C816" s="191"/>
    </row>
    <row r="817" spans="3:3" ht="12.75" customHeight="1">
      <c r="C817" s="191"/>
    </row>
    <row r="818" spans="3:3" ht="12.75" customHeight="1">
      <c r="C818" s="191"/>
    </row>
    <row r="819" spans="3:3" ht="12.75" customHeight="1">
      <c r="C819" s="191"/>
    </row>
    <row r="820" spans="3:3" ht="12.75" customHeight="1">
      <c r="C820" s="191"/>
    </row>
    <row r="821" spans="3:3" ht="12.75" customHeight="1">
      <c r="C821" s="191"/>
    </row>
    <row r="822" spans="3:3" ht="12.75" customHeight="1">
      <c r="C822" s="191"/>
    </row>
    <row r="823" spans="3:3" ht="12.75" customHeight="1">
      <c r="C823" s="191"/>
    </row>
    <row r="824" spans="3:3" ht="12.75" customHeight="1">
      <c r="C824" s="191"/>
    </row>
    <row r="825" spans="3:3" ht="12.75" customHeight="1">
      <c r="C825" s="191"/>
    </row>
    <row r="826" spans="3:3" ht="12.75" customHeight="1">
      <c r="C826" s="191"/>
    </row>
    <row r="827" spans="3:3" ht="12.75" customHeight="1">
      <c r="C827" s="191"/>
    </row>
    <row r="828" spans="3:3" ht="12.75" customHeight="1">
      <c r="C828" s="191"/>
    </row>
    <row r="829" spans="3:3" ht="12.75" customHeight="1">
      <c r="C829" s="191"/>
    </row>
    <row r="830" spans="3:3" ht="12.75" customHeight="1">
      <c r="C830" s="191"/>
    </row>
    <row r="831" spans="3:3" ht="12.75" customHeight="1">
      <c r="C831" s="191"/>
    </row>
    <row r="832" spans="3:3" ht="12.75" customHeight="1">
      <c r="C832" s="191"/>
    </row>
    <row r="833" spans="3:3" ht="12.75" customHeight="1">
      <c r="C833" s="191"/>
    </row>
    <row r="834" spans="3:3" ht="12.75" customHeight="1">
      <c r="C834" s="191"/>
    </row>
    <row r="835" spans="3:3" ht="12.75" customHeight="1">
      <c r="C835" s="191"/>
    </row>
    <row r="836" spans="3:3" ht="12.75" customHeight="1">
      <c r="C836" s="191"/>
    </row>
    <row r="837" spans="3:3" ht="12.75" customHeight="1">
      <c r="C837" s="191"/>
    </row>
    <row r="838" spans="3:3" ht="12.75" customHeight="1">
      <c r="C838" s="191"/>
    </row>
    <row r="839" spans="3:3" ht="12.75" customHeight="1">
      <c r="C839" s="191"/>
    </row>
    <row r="840" spans="3:3" ht="12.75" customHeight="1">
      <c r="C840" s="191"/>
    </row>
    <row r="841" spans="3:3" ht="12.75" customHeight="1">
      <c r="C841" s="191"/>
    </row>
    <row r="842" spans="3:3" ht="12.75" customHeight="1">
      <c r="C842" s="191"/>
    </row>
    <row r="843" spans="3:3" ht="12.75" customHeight="1">
      <c r="C843" s="191"/>
    </row>
    <row r="844" spans="3:3" ht="12.75" customHeight="1">
      <c r="C844" s="191"/>
    </row>
    <row r="845" spans="3:3" ht="12.75" customHeight="1">
      <c r="C845" s="191"/>
    </row>
    <row r="846" spans="3:3" ht="12.75" customHeight="1">
      <c r="C846" s="191"/>
    </row>
    <row r="847" spans="3:3" ht="12.75" customHeight="1">
      <c r="C847" s="191"/>
    </row>
    <row r="848" spans="3:3" ht="12.75" customHeight="1">
      <c r="C848" s="191"/>
    </row>
    <row r="849" spans="3:3" ht="12.75" customHeight="1">
      <c r="C849" s="191"/>
    </row>
    <row r="850" spans="3:3" ht="12.75" customHeight="1">
      <c r="C850" s="191"/>
    </row>
    <row r="851" spans="3:3" ht="12.75" customHeight="1">
      <c r="C851" s="191"/>
    </row>
    <row r="852" spans="3:3" ht="12.75" customHeight="1">
      <c r="C852" s="191"/>
    </row>
    <row r="853" spans="3:3" ht="12.75" customHeight="1">
      <c r="C853" s="191"/>
    </row>
    <row r="854" spans="3:3" ht="12.75" customHeight="1">
      <c r="C854" s="191"/>
    </row>
    <row r="855" spans="3:3" ht="12.75" customHeight="1">
      <c r="C855" s="191"/>
    </row>
    <row r="856" spans="3:3" ht="12.75" customHeight="1">
      <c r="C856" s="191"/>
    </row>
    <row r="857" spans="3:3" ht="12.75" customHeight="1">
      <c r="C857" s="191"/>
    </row>
    <row r="858" spans="3:3" ht="12.75" customHeight="1">
      <c r="C858" s="191"/>
    </row>
    <row r="859" spans="3:3" ht="12.75" customHeight="1">
      <c r="C859" s="191"/>
    </row>
    <row r="860" spans="3:3" ht="12.75" customHeight="1">
      <c r="C860" s="191"/>
    </row>
    <row r="861" spans="3:3" ht="12.75" customHeight="1">
      <c r="C861" s="191"/>
    </row>
    <row r="862" spans="3:3" ht="12.75" customHeight="1">
      <c r="C862" s="191"/>
    </row>
    <row r="863" spans="3:3" ht="12.75" customHeight="1">
      <c r="C863" s="191"/>
    </row>
    <row r="864" spans="3:3" ht="12.75" customHeight="1">
      <c r="C864" s="191"/>
    </row>
    <row r="865" spans="3:3" ht="12.75" customHeight="1">
      <c r="C865" s="191"/>
    </row>
    <row r="866" spans="3:3" ht="12.75" customHeight="1">
      <c r="C866" s="191"/>
    </row>
    <row r="867" spans="3:3" ht="12.75" customHeight="1">
      <c r="C867" s="191"/>
    </row>
    <row r="868" spans="3:3" ht="12.75" customHeight="1">
      <c r="C868" s="191"/>
    </row>
    <row r="869" spans="3:3" ht="12.75" customHeight="1">
      <c r="C869" s="191"/>
    </row>
    <row r="870" spans="3:3" ht="12.75" customHeight="1">
      <c r="C870" s="191"/>
    </row>
    <row r="871" spans="3:3" ht="12.75" customHeight="1">
      <c r="C871" s="191"/>
    </row>
    <row r="872" spans="3:3" ht="12.75" customHeight="1">
      <c r="C872" s="191"/>
    </row>
    <row r="873" spans="3:3" ht="12.75" customHeight="1">
      <c r="C873" s="191"/>
    </row>
    <row r="874" spans="3:3" ht="12.75" customHeight="1">
      <c r="C874" s="191"/>
    </row>
    <row r="875" spans="3:3" ht="12.75" customHeight="1">
      <c r="C875" s="191"/>
    </row>
    <row r="876" spans="3:3" ht="12.75" customHeight="1">
      <c r="C876" s="191"/>
    </row>
    <row r="877" spans="3:3" ht="12.75" customHeight="1">
      <c r="C877" s="191"/>
    </row>
    <row r="878" spans="3:3" ht="12.75" customHeight="1">
      <c r="C878" s="191"/>
    </row>
    <row r="879" spans="3:3" ht="12.75" customHeight="1">
      <c r="C879" s="191"/>
    </row>
    <row r="880" spans="3:3" ht="12.75" customHeight="1">
      <c r="C880" s="191"/>
    </row>
    <row r="881" spans="3:3" ht="12.75" customHeight="1">
      <c r="C881" s="191"/>
    </row>
    <row r="882" spans="3:3" ht="12.75" customHeight="1">
      <c r="C882" s="191"/>
    </row>
    <row r="883" spans="3:3" ht="12.75" customHeight="1">
      <c r="C883" s="191"/>
    </row>
    <row r="884" spans="3:3" ht="12.75" customHeight="1">
      <c r="C884" s="191"/>
    </row>
    <row r="885" spans="3:3" ht="12.75" customHeight="1">
      <c r="C885" s="191"/>
    </row>
    <row r="886" spans="3:3" ht="12.75" customHeight="1">
      <c r="C886" s="191"/>
    </row>
    <row r="887" spans="3:3" ht="12.75" customHeight="1">
      <c r="C887" s="191"/>
    </row>
    <row r="888" spans="3:3" ht="12.75" customHeight="1">
      <c r="C888" s="191"/>
    </row>
    <row r="889" spans="3:3" ht="12.75" customHeight="1">
      <c r="C889" s="191"/>
    </row>
    <row r="890" spans="3:3" ht="12.75" customHeight="1">
      <c r="C890" s="191"/>
    </row>
    <row r="891" spans="3:3" ht="12.75" customHeight="1">
      <c r="C891" s="191"/>
    </row>
    <row r="892" spans="3:3" ht="12.75" customHeight="1">
      <c r="C892" s="191"/>
    </row>
    <row r="893" spans="3:3" ht="12.75" customHeight="1">
      <c r="C893" s="191"/>
    </row>
    <row r="894" spans="3:3" ht="12.75" customHeight="1">
      <c r="C894" s="191"/>
    </row>
    <row r="895" spans="3:3" ht="12.75" customHeight="1">
      <c r="C895" s="191"/>
    </row>
    <row r="896" spans="3:3" ht="12.75" customHeight="1">
      <c r="C896" s="191"/>
    </row>
    <row r="897" spans="3:3" ht="12.75" customHeight="1">
      <c r="C897" s="191"/>
    </row>
    <row r="898" spans="3:3" ht="12.75" customHeight="1">
      <c r="C898" s="191"/>
    </row>
    <row r="899" spans="3:3" ht="12.75" customHeight="1">
      <c r="C899" s="191"/>
    </row>
    <row r="900" spans="3:3" ht="12.75" customHeight="1">
      <c r="C900" s="191"/>
    </row>
    <row r="901" spans="3:3" ht="12.75" customHeight="1">
      <c r="C901" s="191"/>
    </row>
    <row r="902" spans="3:3" ht="12.75" customHeight="1">
      <c r="C902" s="191"/>
    </row>
    <row r="903" spans="3:3" ht="12.75" customHeight="1">
      <c r="C903" s="191"/>
    </row>
    <row r="904" spans="3:3" ht="12.75" customHeight="1">
      <c r="C904" s="191"/>
    </row>
    <row r="905" spans="3:3" ht="12.75" customHeight="1">
      <c r="C905" s="191"/>
    </row>
    <row r="906" spans="3:3" ht="12.75" customHeight="1">
      <c r="C906" s="191"/>
    </row>
    <row r="907" spans="3:3" ht="12.75" customHeight="1">
      <c r="C907" s="191"/>
    </row>
    <row r="908" spans="3:3" ht="12.75" customHeight="1">
      <c r="C908" s="191"/>
    </row>
    <row r="909" spans="3:3" ht="12.75" customHeight="1">
      <c r="C909" s="191"/>
    </row>
    <row r="910" spans="3:3" ht="12.75" customHeight="1">
      <c r="C910" s="191"/>
    </row>
    <row r="911" spans="3:3" ht="12.75" customHeight="1">
      <c r="C911" s="191"/>
    </row>
    <row r="912" spans="3:3" ht="12.75" customHeight="1">
      <c r="C912" s="191"/>
    </row>
    <row r="913" spans="3:3" ht="12.75" customHeight="1">
      <c r="C913" s="191"/>
    </row>
    <row r="914" spans="3:3" ht="12.75" customHeight="1">
      <c r="C914" s="191"/>
    </row>
    <row r="915" spans="3:3" ht="12.75" customHeight="1">
      <c r="C915" s="191"/>
    </row>
    <row r="916" spans="3:3" ht="12.75" customHeight="1">
      <c r="C916" s="191"/>
    </row>
    <row r="917" spans="3:3" ht="12.75" customHeight="1">
      <c r="C917" s="191"/>
    </row>
    <row r="918" spans="3:3" ht="12.75" customHeight="1">
      <c r="C918" s="191"/>
    </row>
    <row r="919" spans="3:3" ht="12.75" customHeight="1">
      <c r="C919" s="191"/>
    </row>
    <row r="920" spans="3:3" ht="12.75" customHeight="1">
      <c r="C920" s="191"/>
    </row>
    <row r="921" spans="3:3" ht="12.75" customHeight="1">
      <c r="C921" s="191"/>
    </row>
    <row r="922" spans="3:3" ht="12.75" customHeight="1">
      <c r="C922" s="191"/>
    </row>
    <row r="923" spans="3:3" ht="12.75" customHeight="1">
      <c r="C923" s="191"/>
    </row>
    <row r="924" spans="3:3" ht="12.75" customHeight="1">
      <c r="C924" s="191"/>
    </row>
    <row r="925" spans="3:3" ht="12.75" customHeight="1">
      <c r="C925" s="191"/>
    </row>
    <row r="926" spans="3:3" ht="12.75" customHeight="1">
      <c r="C926" s="191"/>
    </row>
    <row r="927" spans="3:3" ht="12.75" customHeight="1">
      <c r="C927" s="191"/>
    </row>
    <row r="928" spans="3:3" ht="12.75" customHeight="1">
      <c r="C928" s="191"/>
    </row>
    <row r="929" spans="3:3" ht="12.75" customHeight="1">
      <c r="C929" s="191"/>
    </row>
    <row r="930" spans="3:3" ht="12.75" customHeight="1">
      <c r="C930" s="191"/>
    </row>
    <row r="931" spans="3:3" ht="12.75" customHeight="1">
      <c r="C931" s="191"/>
    </row>
    <row r="932" spans="3:3" ht="12.75" customHeight="1">
      <c r="C932" s="191"/>
    </row>
    <row r="933" spans="3:3" ht="12.75" customHeight="1">
      <c r="C933" s="191"/>
    </row>
    <row r="934" spans="3:3" ht="12.75" customHeight="1">
      <c r="C934" s="191"/>
    </row>
    <row r="935" spans="3:3" ht="12.75" customHeight="1">
      <c r="C935" s="191"/>
    </row>
    <row r="936" spans="3:3" ht="12.75" customHeight="1">
      <c r="C936" s="191"/>
    </row>
    <row r="937" spans="3:3" ht="12.75" customHeight="1">
      <c r="C937" s="191"/>
    </row>
    <row r="938" spans="3:3" ht="12.75" customHeight="1">
      <c r="C938" s="191"/>
    </row>
    <row r="939" spans="3:3" ht="12.75" customHeight="1">
      <c r="C939" s="191"/>
    </row>
    <row r="940" spans="3:3" ht="12.75" customHeight="1">
      <c r="C940" s="191"/>
    </row>
    <row r="941" spans="3:3" ht="12.75" customHeight="1">
      <c r="C941" s="191"/>
    </row>
    <row r="942" spans="3:3" ht="12.75" customHeight="1">
      <c r="C942" s="191"/>
    </row>
    <row r="943" spans="3:3" ht="12.75" customHeight="1">
      <c r="C943" s="191"/>
    </row>
    <row r="944" spans="3:3" ht="12.75" customHeight="1">
      <c r="C944" s="191"/>
    </row>
    <row r="945" spans="3:3" ht="12.75" customHeight="1">
      <c r="C945" s="191"/>
    </row>
    <row r="946" spans="3:3" ht="12.75" customHeight="1">
      <c r="C946" s="191"/>
    </row>
    <row r="947" spans="3:3" ht="12.75" customHeight="1">
      <c r="C947" s="191"/>
    </row>
    <row r="948" spans="3:3" ht="12.75" customHeight="1">
      <c r="C948" s="191"/>
    </row>
    <row r="949" spans="3:3" ht="12.75" customHeight="1">
      <c r="C949" s="191"/>
    </row>
    <row r="950" spans="3:3" ht="12.75" customHeight="1">
      <c r="C950" s="191"/>
    </row>
    <row r="951" spans="3:3" ht="12.75" customHeight="1">
      <c r="C951" s="191"/>
    </row>
    <row r="952" spans="3:3" ht="12.75" customHeight="1">
      <c r="C952" s="191"/>
    </row>
    <row r="953" spans="3:3" ht="12.75" customHeight="1">
      <c r="C953" s="191"/>
    </row>
    <row r="954" spans="3:3" ht="12.75" customHeight="1">
      <c r="C954" s="191"/>
    </row>
    <row r="955" spans="3:3" ht="12.75" customHeight="1">
      <c r="C955" s="191"/>
    </row>
    <row r="956" spans="3:3" ht="12.75" customHeight="1">
      <c r="C956" s="191"/>
    </row>
    <row r="957" spans="3:3" ht="12.75" customHeight="1">
      <c r="C957" s="191"/>
    </row>
    <row r="958" spans="3:3" ht="12.75" customHeight="1">
      <c r="C958" s="191"/>
    </row>
    <row r="959" spans="3:3" ht="12.75" customHeight="1">
      <c r="C959" s="191"/>
    </row>
    <row r="960" spans="3:3" ht="12.75" customHeight="1">
      <c r="C960" s="191"/>
    </row>
    <row r="961" spans="3:3" ht="12.75" customHeight="1">
      <c r="C961" s="191"/>
    </row>
    <row r="962" spans="3:3" ht="12.75" customHeight="1">
      <c r="C962" s="191"/>
    </row>
    <row r="963" spans="3:3" ht="12.75" customHeight="1">
      <c r="C963" s="191"/>
    </row>
    <row r="964" spans="3:3" ht="12.75" customHeight="1">
      <c r="C964" s="191"/>
    </row>
    <row r="965" spans="3:3" ht="12.75" customHeight="1">
      <c r="C965" s="191"/>
    </row>
    <row r="966" spans="3:3" ht="12.75" customHeight="1">
      <c r="C966" s="191"/>
    </row>
    <row r="967" spans="3:3" ht="12.75" customHeight="1">
      <c r="C967" s="191"/>
    </row>
    <row r="968" spans="3:3" ht="12.75" customHeight="1">
      <c r="C968" s="191"/>
    </row>
    <row r="969" spans="3:3" ht="12.75" customHeight="1">
      <c r="C969" s="191"/>
    </row>
    <row r="970" spans="3:3" ht="12.75" customHeight="1">
      <c r="C970" s="191"/>
    </row>
    <row r="971" spans="3:3" ht="12.75" customHeight="1">
      <c r="C971" s="191"/>
    </row>
    <row r="972" spans="3:3" ht="12.75" customHeight="1">
      <c r="C972" s="191"/>
    </row>
    <row r="973" spans="3:3" ht="12.75" customHeight="1">
      <c r="C973" s="191"/>
    </row>
    <row r="974" spans="3:3" ht="12.75" customHeight="1">
      <c r="C974" s="191"/>
    </row>
    <row r="975" spans="3:3" ht="12.75" customHeight="1">
      <c r="C975" s="191"/>
    </row>
    <row r="976" spans="3:3" ht="12.75" customHeight="1">
      <c r="C976" s="191"/>
    </row>
    <row r="977" spans="3:3" ht="12.75" customHeight="1">
      <c r="C977" s="191"/>
    </row>
    <row r="978" spans="3:3" ht="12.75" customHeight="1">
      <c r="C978" s="191"/>
    </row>
    <row r="979" spans="3:3" ht="12.75" customHeight="1">
      <c r="C979" s="191"/>
    </row>
    <row r="980" spans="3:3" ht="12.75" customHeight="1">
      <c r="C980" s="191"/>
    </row>
    <row r="981" spans="3:3" ht="12.75" customHeight="1">
      <c r="C981" s="191"/>
    </row>
    <row r="982" spans="3:3" ht="12.75" customHeight="1">
      <c r="C982" s="191"/>
    </row>
    <row r="983" spans="3:3" ht="12.75" customHeight="1">
      <c r="C983" s="191"/>
    </row>
    <row r="984" spans="3:3" ht="12.75" customHeight="1">
      <c r="C984" s="191"/>
    </row>
    <row r="985" spans="3:3" ht="12.75" customHeight="1">
      <c r="C985" s="191"/>
    </row>
    <row r="986" spans="3:3" ht="12.75" customHeight="1">
      <c r="C986" s="191"/>
    </row>
    <row r="987" spans="3:3" ht="12.75" customHeight="1">
      <c r="C987" s="191"/>
    </row>
    <row r="988" spans="3:3" ht="12.75" customHeight="1">
      <c r="C988" s="191"/>
    </row>
    <row r="989" spans="3:3" ht="12.75" customHeight="1">
      <c r="C989" s="191"/>
    </row>
    <row r="990" spans="3:3" ht="12.75" customHeight="1">
      <c r="C990" s="191"/>
    </row>
    <row r="991" spans="3:3" ht="12.75" customHeight="1">
      <c r="C991" s="191"/>
    </row>
    <row r="992" spans="3:3" ht="12.75" customHeight="1">
      <c r="C992" s="191"/>
    </row>
    <row r="993" spans="3:3" ht="12.75" customHeight="1">
      <c r="C993" s="191"/>
    </row>
    <row r="994" spans="3:3" ht="12.75" customHeight="1">
      <c r="C994" s="191"/>
    </row>
    <row r="995" spans="3:3" ht="12.75" customHeight="1">
      <c r="C995" s="191"/>
    </row>
    <row r="996" spans="3:3" ht="12.75" customHeight="1">
      <c r="C996" s="191"/>
    </row>
    <row r="997" spans="3:3" ht="12.75" customHeight="1">
      <c r="C997" s="191"/>
    </row>
    <row r="998" spans="3:3" ht="12.75" customHeight="1">
      <c r="C998" s="191"/>
    </row>
    <row r="999" spans="3:3" ht="12.75" customHeight="1">
      <c r="C999" s="191"/>
    </row>
    <row r="1000" spans="3:3" ht="12.75" customHeight="1">
      <c r="C1000" s="191"/>
    </row>
  </sheetData>
  <mergeCells count="4">
    <mergeCell ref="D2:H2"/>
    <mergeCell ref="A5:J5"/>
    <mergeCell ref="A13:J13"/>
    <mergeCell ref="A15:J15"/>
  </mergeCells>
  <hyperlinks>
    <hyperlink ref="D8" r:id="rId1" xr:uid="{00000000-0004-0000-0E00-000000000000}"/>
    <hyperlink ref="D9" r:id="rId2" xr:uid="{00000000-0004-0000-0E00-000001000000}"/>
    <hyperlink ref="D10" r:id="rId3" xr:uid="{00000000-0004-0000-0E00-000002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row r="2" spans="1:26" ht="27.75" customHeight="1">
      <c r="D2" s="309" t="s">
        <v>116</v>
      </c>
      <c r="E2" s="310"/>
      <c r="F2" s="310"/>
      <c r="G2" s="310"/>
      <c r="H2" s="310"/>
    </row>
    <row r="3" spans="1:26" ht="12.75" customHeight="1"/>
    <row r="4" spans="1:26" ht="12.75" customHeight="1"/>
    <row r="5" spans="1:26" ht="43.5" customHeight="1">
      <c r="A5" s="311" t="s">
        <v>117</v>
      </c>
      <c r="B5" s="297"/>
      <c r="C5" s="297"/>
      <c r="D5" s="297"/>
      <c r="E5" s="297"/>
      <c r="F5" s="297"/>
      <c r="G5" s="297"/>
      <c r="H5" s="297"/>
      <c r="I5" s="297"/>
      <c r="J5" s="298"/>
    </row>
    <row r="6" spans="1:26" ht="15.75" customHeight="1"/>
    <row r="7" spans="1:26" ht="75.75" customHeight="1">
      <c r="A7" s="81" t="s">
        <v>118</v>
      </c>
      <c r="B7" s="106" t="s">
        <v>369</v>
      </c>
      <c r="C7" s="82" t="s">
        <v>370</v>
      </c>
      <c r="D7" s="82" t="s">
        <v>371</v>
      </c>
      <c r="E7" s="106" t="s">
        <v>372</v>
      </c>
      <c r="F7" s="107" t="s">
        <v>373</v>
      </c>
      <c r="G7" s="108" t="s">
        <v>374</v>
      </c>
      <c r="H7" s="106" t="s">
        <v>125</v>
      </c>
      <c r="I7" s="106" t="s">
        <v>375</v>
      </c>
      <c r="J7" s="106" t="s">
        <v>376</v>
      </c>
      <c r="K7" s="85"/>
      <c r="L7" s="85"/>
      <c r="M7" s="85"/>
      <c r="N7" s="85"/>
      <c r="O7" s="85"/>
      <c r="P7" s="85"/>
      <c r="Q7" s="85"/>
      <c r="R7" s="85"/>
      <c r="S7" s="85"/>
      <c r="T7" s="85"/>
      <c r="U7" s="85"/>
      <c r="V7" s="85"/>
      <c r="W7" s="85"/>
      <c r="X7" s="85"/>
      <c r="Y7" s="85"/>
      <c r="Z7" s="85"/>
    </row>
    <row r="8" spans="1:26" ht="117" customHeight="1">
      <c r="A8" s="119" t="s">
        <v>128</v>
      </c>
      <c r="B8" s="150" t="s">
        <v>377</v>
      </c>
      <c r="C8" s="88" t="s">
        <v>290</v>
      </c>
      <c r="D8" s="202" t="s">
        <v>378</v>
      </c>
      <c r="E8" s="183">
        <v>470000</v>
      </c>
      <c r="F8" s="103">
        <v>470000</v>
      </c>
      <c r="G8" s="103">
        <v>127.4</v>
      </c>
      <c r="H8" s="203" t="s">
        <v>292</v>
      </c>
      <c r="I8" s="150" t="s">
        <v>293</v>
      </c>
      <c r="J8" s="185" t="s">
        <v>379</v>
      </c>
    </row>
    <row r="9" spans="1:26" ht="88.5" customHeight="1">
      <c r="A9" s="119" t="s">
        <v>135</v>
      </c>
      <c r="B9" s="150" t="s">
        <v>377</v>
      </c>
      <c r="C9" s="150" t="s">
        <v>290</v>
      </c>
      <c r="D9" s="204" t="s">
        <v>380</v>
      </c>
      <c r="E9" s="205">
        <v>616678</v>
      </c>
      <c r="F9" s="206">
        <v>616678</v>
      </c>
      <c r="G9" s="103">
        <v>169.4</v>
      </c>
      <c r="H9" s="203" t="s">
        <v>292</v>
      </c>
      <c r="I9" s="150" t="s">
        <v>293</v>
      </c>
      <c r="J9" s="185" t="s">
        <v>379</v>
      </c>
    </row>
    <row r="10" spans="1:26" ht="108.75" customHeight="1">
      <c r="A10" s="119" t="s">
        <v>144</v>
      </c>
      <c r="B10" s="150" t="s">
        <v>381</v>
      </c>
      <c r="C10" s="174" t="s">
        <v>382</v>
      </c>
      <c r="D10" s="207" t="s">
        <v>383</v>
      </c>
      <c r="E10" s="183">
        <v>599000</v>
      </c>
      <c r="F10" s="103">
        <v>599000</v>
      </c>
      <c r="G10" s="103">
        <v>162.36000000000001</v>
      </c>
      <c r="H10" s="203" t="s">
        <v>292</v>
      </c>
      <c r="I10" s="208" t="s">
        <v>384</v>
      </c>
      <c r="J10" s="112" t="s">
        <v>385</v>
      </c>
    </row>
    <row r="11" spans="1:26" ht="15" hidden="1" customHeight="1">
      <c r="A11" s="96"/>
      <c r="B11" s="128"/>
      <c r="C11" s="128"/>
      <c r="D11" s="209" t="s">
        <v>386</v>
      </c>
      <c r="E11" s="128"/>
      <c r="F11" s="128"/>
      <c r="G11" s="128"/>
      <c r="H11" s="128"/>
      <c r="I11" s="128"/>
      <c r="J11" s="128"/>
    </row>
    <row r="12" spans="1:26" ht="12.75" customHeight="1"/>
    <row r="13" spans="1:26" ht="138.75" customHeight="1">
      <c r="A13" s="312" t="s">
        <v>387</v>
      </c>
      <c r="B13" s="297"/>
      <c r="C13" s="297"/>
      <c r="D13" s="297"/>
      <c r="E13" s="297"/>
      <c r="F13" s="297"/>
      <c r="G13" s="297"/>
      <c r="H13" s="297"/>
      <c r="I13" s="297"/>
      <c r="J13" s="298"/>
    </row>
    <row r="14" spans="1:26" ht="12.75" customHeight="1"/>
    <row r="15" spans="1:26" ht="75" customHeight="1">
      <c r="A15" s="312" t="s">
        <v>388</v>
      </c>
      <c r="B15" s="297"/>
      <c r="C15" s="297"/>
      <c r="D15" s="297"/>
      <c r="E15" s="297"/>
      <c r="F15" s="297"/>
      <c r="G15" s="297"/>
      <c r="H15" s="297"/>
      <c r="I15" s="297"/>
      <c r="J15" s="29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98"/>
      <c r="E26" s="98"/>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D8" r:id="rId1" xr:uid="{00000000-0004-0000-0F00-000000000000}"/>
    <hyperlink ref="D9" r:id="rId2" location="polycard_client=search-desktop&amp;search_layout=grid&amp;position=9&amp;type=item&amp;tracking_id=561495b0-af11-428d-aae5-9a47b3d95643" xr:uid="{00000000-0004-0000-0F00-000001000000}"/>
    <hyperlink ref="D10" r:id="rId3" xr:uid="{00000000-0004-0000-0F00-000002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heetViews>
  <sheetFormatPr baseColWidth="10" defaultColWidth="12.6640625" defaultRowHeight="15" customHeight="1"/>
  <cols>
    <col min="1" max="3" width="19.109375" customWidth="1"/>
    <col min="4" max="4" width="38.109375" customWidth="1"/>
    <col min="5" max="5" width="23.21875" customWidth="1"/>
    <col min="6" max="6" width="22.33203125" customWidth="1"/>
    <col min="7" max="7" width="18" customWidth="1"/>
    <col min="8" max="8" width="17" customWidth="1"/>
    <col min="9" max="9" width="27.33203125" customWidth="1"/>
    <col min="10" max="10" width="27.88671875" customWidth="1"/>
    <col min="11" max="26" width="10" customWidth="1"/>
  </cols>
  <sheetData>
    <row r="1" spans="1:26" ht="12.75" customHeight="1">
      <c r="C1" s="191"/>
      <c r="E1" s="210"/>
      <c r="F1" s="210"/>
      <c r="G1" s="211"/>
      <c r="H1" s="210"/>
    </row>
    <row r="2" spans="1:26" ht="27.75" customHeight="1">
      <c r="C2" s="191"/>
      <c r="D2" s="309" t="s">
        <v>116</v>
      </c>
      <c r="E2" s="310"/>
      <c r="F2" s="310"/>
      <c r="G2" s="310"/>
      <c r="H2" s="310"/>
    </row>
    <row r="3" spans="1:26" ht="12.75" customHeight="1">
      <c r="C3" s="191"/>
      <c r="E3" s="210"/>
      <c r="F3" s="210"/>
      <c r="G3" s="211"/>
      <c r="H3" s="210"/>
    </row>
    <row r="4" spans="1:26" ht="12.75" customHeight="1">
      <c r="C4" s="191"/>
      <c r="E4" s="210"/>
      <c r="F4" s="210"/>
      <c r="G4" s="211"/>
      <c r="H4" s="210"/>
    </row>
    <row r="5" spans="1:26" ht="43.5" customHeight="1">
      <c r="A5" s="311" t="s">
        <v>117</v>
      </c>
      <c r="B5" s="297"/>
      <c r="C5" s="297"/>
      <c r="D5" s="297"/>
      <c r="E5" s="297"/>
      <c r="F5" s="297"/>
      <c r="G5" s="297"/>
      <c r="H5" s="297"/>
      <c r="I5" s="297"/>
      <c r="J5" s="298"/>
    </row>
    <row r="6" spans="1:26" ht="15.75" customHeight="1">
      <c r="C6" s="191"/>
      <c r="E6" s="210"/>
      <c r="F6" s="210"/>
      <c r="G6" s="211"/>
      <c r="H6" s="210"/>
    </row>
    <row r="7" spans="1:26" ht="75.75" customHeight="1">
      <c r="A7" s="81" t="s">
        <v>118</v>
      </c>
      <c r="B7" s="106" t="s">
        <v>389</v>
      </c>
      <c r="C7" s="192" t="s">
        <v>390</v>
      </c>
      <c r="D7" s="106" t="s">
        <v>391</v>
      </c>
      <c r="E7" s="164" t="s">
        <v>392</v>
      </c>
      <c r="F7" s="165" t="s">
        <v>393</v>
      </c>
      <c r="G7" s="212" t="s">
        <v>394</v>
      </c>
      <c r="H7" s="164" t="s">
        <v>125</v>
      </c>
      <c r="I7" s="106" t="s">
        <v>395</v>
      </c>
      <c r="J7" s="106" t="s">
        <v>396</v>
      </c>
      <c r="K7" s="85"/>
      <c r="L7" s="85"/>
      <c r="M7" s="85"/>
      <c r="N7" s="85"/>
      <c r="O7" s="85"/>
      <c r="P7" s="85"/>
      <c r="Q7" s="85"/>
      <c r="R7" s="85"/>
      <c r="S7" s="85"/>
      <c r="T7" s="85"/>
      <c r="U7" s="85"/>
      <c r="V7" s="85"/>
      <c r="W7" s="85"/>
      <c r="X7" s="85"/>
      <c r="Y7" s="85"/>
      <c r="Z7" s="85"/>
    </row>
    <row r="8" spans="1:26" ht="147.75" customHeight="1">
      <c r="A8" s="119" t="s">
        <v>128</v>
      </c>
      <c r="B8" s="150" t="s">
        <v>397</v>
      </c>
      <c r="C8" s="199" t="s">
        <v>398</v>
      </c>
      <c r="D8" s="187" t="s">
        <v>399</v>
      </c>
      <c r="E8" s="103">
        <v>1189000</v>
      </c>
      <c r="F8" s="103">
        <v>1189000</v>
      </c>
      <c r="G8" s="103">
        <v>326.62</v>
      </c>
      <c r="H8" s="103" t="s">
        <v>292</v>
      </c>
      <c r="I8" s="150" t="s">
        <v>400</v>
      </c>
      <c r="J8" s="185" t="s">
        <v>401</v>
      </c>
    </row>
    <row r="9" spans="1:26" ht="103.5" customHeight="1">
      <c r="A9" s="119" t="s">
        <v>135</v>
      </c>
      <c r="B9" s="150" t="s">
        <v>312</v>
      </c>
      <c r="C9" s="199" t="s">
        <v>313</v>
      </c>
      <c r="D9" s="187" t="s">
        <v>402</v>
      </c>
      <c r="E9" s="183">
        <v>1022646</v>
      </c>
      <c r="F9" s="183">
        <v>1022646</v>
      </c>
      <c r="G9" s="103">
        <v>280.92</v>
      </c>
      <c r="H9" s="213" t="s">
        <v>292</v>
      </c>
      <c r="I9" s="150" t="s">
        <v>315</v>
      </c>
      <c r="J9" s="185" t="s">
        <v>403</v>
      </c>
    </row>
    <row r="10" spans="1:26" ht="113.25" customHeight="1">
      <c r="A10" s="119" t="s">
        <v>144</v>
      </c>
      <c r="B10" s="150" t="s">
        <v>289</v>
      </c>
      <c r="C10" s="199" t="s">
        <v>290</v>
      </c>
      <c r="D10" s="187" t="s">
        <v>404</v>
      </c>
      <c r="E10" s="214">
        <v>1610000</v>
      </c>
      <c r="F10" s="214">
        <v>1610000</v>
      </c>
      <c r="G10" s="103">
        <v>434.28</v>
      </c>
      <c r="H10" s="213" t="s">
        <v>292</v>
      </c>
      <c r="I10" s="150" t="s">
        <v>293</v>
      </c>
      <c r="J10" s="185" t="s">
        <v>403</v>
      </c>
    </row>
    <row r="11" spans="1:26" ht="15" hidden="1" customHeight="1">
      <c r="A11" s="96"/>
      <c r="B11" s="128"/>
      <c r="C11" s="201"/>
      <c r="D11" s="128"/>
      <c r="E11" s="178"/>
      <c r="F11" s="178"/>
      <c r="G11" s="215"/>
      <c r="H11" s="178"/>
      <c r="I11" s="128"/>
      <c r="J11" s="128"/>
    </row>
    <row r="12" spans="1:26" ht="12.75" customHeight="1">
      <c r="C12" s="191"/>
      <c r="E12" s="210"/>
      <c r="F12" s="210"/>
      <c r="G12" s="211"/>
      <c r="H12" s="210"/>
    </row>
    <row r="13" spans="1:26" ht="138.75" customHeight="1">
      <c r="A13" s="312" t="s">
        <v>405</v>
      </c>
      <c r="B13" s="297"/>
      <c r="C13" s="297"/>
      <c r="D13" s="297"/>
      <c r="E13" s="297"/>
      <c r="F13" s="297"/>
      <c r="G13" s="297"/>
      <c r="H13" s="297"/>
      <c r="I13" s="297"/>
      <c r="J13" s="298"/>
    </row>
    <row r="14" spans="1:26" ht="12.75" customHeight="1">
      <c r="C14" s="191"/>
      <c r="E14" s="210"/>
      <c r="F14" s="210"/>
      <c r="G14" s="211"/>
      <c r="H14" s="210"/>
    </row>
    <row r="15" spans="1:26" ht="75" customHeight="1">
      <c r="A15" s="312" t="s">
        <v>406</v>
      </c>
      <c r="B15" s="297"/>
      <c r="C15" s="297"/>
      <c r="D15" s="297"/>
      <c r="E15" s="297"/>
      <c r="F15" s="297"/>
      <c r="G15" s="297"/>
      <c r="H15" s="297"/>
      <c r="I15" s="297"/>
      <c r="J15" s="298"/>
    </row>
    <row r="16" spans="1:26" ht="12.75" customHeight="1">
      <c r="C16" s="191"/>
      <c r="E16" s="210"/>
      <c r="F16" s="210"/>
      <c r="G16" s="211"/>
      <c r="H16" s="210"/>
    </row>
    <row r="17" spans="3:8" ht="12.75" customHeight="1">
      <c r="C17" s="191"/>
      <c r="E17" s="210"/>
      <c r="F17" s="210"/>
      <c r="G17" s="211"/>
      <c r="H17" s="210"/>
    </row>
    <row r="18" spans="3:8" ht="12.75" customHeight="1">
      <c r="C18" s="191"/>
      <c r="E18" s="210"/>
      <c r="F18" s="210"/>
      <c r="G18" s="211"/>
      <c r="H18" s="210"/>
    </row>
    <row r="19" spans="3:8" ht="12.75" customHeight="1">
      <c r="C19" s="191"/>
      <c r="E19" s="210"/>
      <c r="F19" s="210"/>
      <c r="G19" s="211"/>
      <c r="H19" s="210"/>
    </row>
    <row r="20" spans="3:8" ht="12.75" customHeight="1">
      <c r="C20" s="191"/>
      <c r="E20" s="210"/>
      <c r="F20" s="210"/>
      <c r="G20" s="211"/>
      <c r="H20" s="210"/>
    </row>
    <row r="21" spans="3:8" ht="12.75" customHeight="1">
      <c r="C21" s="191"/>
      <c r="E21" s="210"/>
      <c r="F21" s="210"/>
      <c r="G21" s="211"/>
      <c r="H21" s="210"/>
    </row>
    <row r="22" spans="3:8" ht="12.75" customHeight="1">
      <c r="C22" s="191"/>
      <c r="E22" s="210"/>
      <c r="F22" s="210"/>
      <c r="G22" s="211"/>
      <c r="H22" s="210"/>
    </row>
    <row r="23" spans="3:8" ht="12.75" customHeight="1">
      <c r="C23" s="191"/>
      <c r="E23" s="210"/>
      <c r="F23" s="210"/>
      <c r="G23" s="211"/>
      <c r="H23" s="210"/>
    </row>
    <row r="24" spans="3:8" ht="12.75" customHeight="1">
      <c r="C24" s="191"/>
      <c r="E24" s="210"/>
      <c r="F24" s="210"/>
      <c r="G24" s="211"/>
      <c r="H24" s="210"/>
    </row>
    <row r="25" spans="3:8" ht="12.75" customHeight="1">
      <c r="C25" s="191"/>
      <c r="E25" s="210"/>
      <c r="F25" s="210"/>
      <c r="G25" s="211"/>
      <c r="H25" s="210"/>
    </row>
    <row r="26" spans="3:8" ht="12.75" customHeight="1">
      <c r="C26" s="191"/>
      <c r="D26" s="98"/>
      <c r="E26" s="179"/>
      <c r="F26" s="216"/>
      <c r="G26" s="217"/>
      <c r="H26" s="210"/>
    </row>
    <row r="27" spans="3:8" ht="12.75" customHeight="1">
      <c r="C27" s="191"/>
      <c r="E27" s="210"/>
      <c r="F27" s="210"/>
      <c r="G27" s="211"/>
      <c r="H27" s="210"/>
    </row>
    <row r="28" spans="3:8" ht="12.75" customHeight="1">
      <c r="C28" s="191"/>
      <c r="E28" s="210"/>
      <c r="F28" s="210"/>
      <c r="G28" s="211"/>
      <c r="H28" s="210"/>
    </row>
    <row r="29" spans="3:8" ht="12.75" customHeight="1">
      <c r="C29" s="191"/>
      <c r="E29" s="210"/>
      <c r="F29" s="210"/>
      <c r="G29" s="211"/>
      <c r="H29" s="210"/>
    </row>
    <row r="30" spans="3:8" ht="12.75" customHeight="1">
      <c r="C30" s="191"/>
      <c r="E30" s="210"/>
      <c r="F30" s="210"/>
      <c r="G30" s="211"/>
      <c r="H30" s="210"/>
    </row>
    <row r="31" spans="3:8" ht="12.75" customHeight="1">
      <c r="C31" s="191"/>
      <c r="E31" s="210"/>
      <c r="F31" s="210"/>
      <c r="G31" s="211"/>
      <c r="H31" s="210"/>
    </row>
    <row r="32" spans="3:8" ht="12.75" customHeight="1">
      <c r="C32" s="191"/>
      <c r="E32" s="210"/>
      <c r="F32" s="210"/>
      <c r="G32" s="211"/>
      <c r="H32" s="210"/>
    </row>
    <row r="33" spans="3:8" ht="12.75" customHeight="1">
      <c r="C33" s="191"/>
      <c r="E33" s="210"/>
      <c r="F33" s="210"/>
      <c r="G33" s="211"/>
      <c r="H33" s="210"/>
    </row>
    <row r="34" spans="3:8" ht="12.75" customHeight="1">
      <c r="C34" s="191"/>
      <c r="E34" s="210"/>
      <c r="F34" s="210"/>
      <c r="G34" s="211"/>
      <c r="H34" s="210"/>
    </row>
    <row r="35" spans="3:8" ht="12.75" customHeight="1">
      <c r="C35" s="191"/>
      <c r="E35" s="210"/>
      <c r="F35" s="210"/>
      <c r="G35" s="211"/>
      <c r="H35" s="210"/>
    </row>
    <row r="36" spans="3:8" ht="12.75" customHeight="1">
      <c r="C36" s="191"/>
      <c r="E36" s="210"/>
      <c r="F36" s="210"/>
      <c r="G36" s="211"/>
      <c r="H36" s="210"/>
    </row>
    <row r="37" spans="3:8" ht="12.75" customHeight="1">
      <c r="C37" s="191"/>
      <c r="E37" s="210"/>
      <c r="F37" s="210"/>
      <c r="G37" s="211"/>
      <c r="H37" s="210"/>
    </row>
    <row r="38" spans="3:8" ht="12.75" customHeight="1">
      <c r="C38" s="191"/>
      <c r="E38" s="210"/>
      <c r="F38" s="210"/>
      <c r="G38" s="211"/>
      <c r="H38" s="210"/>
    </row>
    <row r="39" spans="3:8" ht="12.75" customHeight="1">
      <c r="C39" s="191"/>
      <c r="E39" s="210"/>
      <c r="F39" s="210"/>
      <c r="G39" s="211"/>
      <c r="H39" s="210"/>
    </row>
    <row r="40" spans="3:8" ht="12.75" customHeight="1">
      <c r="C40" s="191"/>
      <c r="E40" s="210"/>
      <c r="F40" s="210"/>
      <c r="G40" s="211"/>
      <c r="H40" s="210"/>
    </row>
    <row r="41" spans="3:8" ht="12.75" customHeight="1">
      <c r="C41" s="191"/>
      <c r="E41" s="210"/>
      <c r="F41" s="210"/>
      <c r="G41" s="211"/>
      <c r="H41" s="210"/>
    </row>
    <row r="42" spans="3:8" ht="12.75" customHeight="1">
      <c r="C42" s="191"/>
      <c r="E42" s="210"/>
      <c r="F42" s="210"/>
      <c r="G42" s="211"/>
      <c r="H42" s="210"/>
    </row>
    <row r="43" spans="3:8" ht="12.75" customHeight="1">
      <c r="C43" s="191"/>
      <c r="E43" s="210"/>
      <c r="F43" s="210"/>
      <c r="G43" s="211"/>
      <c r="H43" s="210"/>
    </row>
    <row r="44" spans="3:8" ht="12.75" customHeight="1">
      <c r="C44" s="191"/>
      <c r="E44" s="210"/>
      <c r="F44" s="210"/>
      <c r="G44" s="211"/>
      <c r="H44" s="210"/>
    </row>
    <row r="45" spans="3:8" ht="12.75" customHeight="1">
      <c r="C45" s="191"/>
      <c r="E45" s="210"/>
      <c r="F45" s="210"/>
      <c r="G45" s="211"/>
      <c r="H45" s="210"/>
    </row>
    <row r="46" spans="3:8" ht="12.75" customHeight="1">
      <c r="C46" s="191"/>
      <c r="E46" s="210"/>
      <c r="F46" s="210"/>
      <c r="G46" s="211"/>
      <c r="H46" s="210"/>
    </row>
    <row r="47" spans="3:8" ht="12.75" customHeight="1">
      <c r="C47" s="191"/>
      <c r="E47" s="210"/>
      <c r="F47" s="210"/>
      <c r="G47" s="211"/>
      <c r="H47" s="210"/>
    </row>
    <row r="48" spans="3:8" ht="12.75" customHeight="1">
      <c r="C48" s="191"/>
      <c r="E48" s="210"/>
      <c r="F48" s="210"/>
      <c r="G48" s="211"/>
      <c r="H48" s="210"/>
    </row>
    <row r="49" spans="3:8" ht="12.75" customHeight="1">
      <c r="C49" s="191"/>
      <c r="E49" s="210"/>
      <c r="F49" s="210"/>
      <c r="G49" s="211"/>
      <c r="H49" s="210"/>
    </row>
    <row r="50" spans="3:8" ht="12.75" customHeight="1">
      <c r="C50" s="191"/>
      <c r="E50" s="210"/>
      <c r="F50" s="210"/>
      <c r="G50" s="211"/>
      <c r="H50" s="210"/>
    </row>
    <row r="51" spans="3:8" ht="12.75" customHeight="1">
      <c r="C51" s="191"/>
      <c r="E51" s="210"/>
      <c r="F51" s="210"/>
      <c r="G51" s="211"/>
      <c r="H51" s="210"/>
    </row>
    <row r="52" spans="3:8" ht="12.75" customHeight="1">
      <c r="C52" s="191"/>
      <c r="E52" s="210"/>
      <c r="F52" s="210"/>
      <c r="G52" s="211"/>
      <c r="H52" s="210"/>
    </row>
    <row r="53" spans="3:8" ht="12.75" customHeight="1">
      <c r="C53" s="191"/>
      <c r="E53" s="210"/>
      <c r="F53" s="210"/>
      <c r="G53" s="211"/>
      <c r="H53" s="210"/>
    </row>
    <row r="54" spans="3:8" ht="12.75" customHeight="1">
      <c r="C54" s="191"/>
      <c r="E54" s="210"/>
      <c r="F54" s="210"/>
      <c r="G54" s="211"/>
      <c r="H54" s="210"/>
    </row>
    <row r="55" spans="3:8" ht="12.75" customHeight="1">
      <c r="C55" s="191"/>
      <c r="E55" s="210"/>
      <c r="F55" s="210"/>
      <c r="G55" s="211"/>
      <c r="H55" s="210"/>
    </row>
    <row r="56" spans="3:8" ht="12.75" customHeight="1">
      <c r="C56" s="191"/>
      <c r="E56" s="210"/>
      <c r="F56" s="210"/>
      <c r="G56" s="211"/>
      <c r="H56" s="210"/>
    </row>
    <row r="57" spans="3:8" ht="12.75" customHeight="1">
      <c r="C57" s="191"/>
      <c r="E57" s="210"/>
      <c r="F57" s="210"/>
      <c r="G57" s="211"/>
      <c r="H57" s="210"/>
    </row>
    <row r="58" spans="3:8" ht="12.75" customHeight="1">
      <c r="C58" s="191"/>
      <c r="E58" s="210"/>
      <c r="F58" s="210"/>
      <c r="G58" s="211"/>
      <c r="H58" s="210"/>
    </row>
    <row r="59" spans="3:8" ht="12.75" customHeight="1">
      <c r="C59" s="191"/>
      <c r="E59" s="210"/>
      <c r="F59" s="210"/>
      <c r="G59" s="211"/>
      <c r="H59" s="210"/>
    </row>
    <row r="60" spans="3:8" ht="12.75" customHeight="1">
      <c r="C60" s="191"/>
      <c r="E60" s="210"/>
      <c r="F60" s="210"/>
      <c r="G60" s="211"/>
      <c r="H60" s="210"/>
    </row>
    <row r="61" spans="3:8" ht="12.75" customHeight="1">
      <c r="C61" s="191"/>
      <c r="E61" s="210"/>
      <c r="F61" s="210"/>
      <c r="G61" s="211"/>
      <c r="H61" s="210"/>
    </row>
    <row r="62" spans="3:8" ht="12.75" customHeight="1">
      <c r="C62" s="191"/>
      <c r="E62" s="210"/>
      <c r="F62" s="210"/>
      <c r="G62" s="211"/>
      <c r="H62" s="210"/>
    </row>
    <row r="63" spans="3:8" ht="12.75" customHeight="1">
      <c r="C63" s="191"/>
      <c r="E63" s="210"/>
      <c r="F63" s="210"/>
      <c r="G63" s="211"/>
      <c r="H63" s="210"/>
    </row>
    <row r="64" spans="3:8" ht="12.75" customHeight="1">
      <c r="C64" s="191"/>
      <c r="E64" s="210"/>
      <c r="F64" s="210"/>
      <c r="G64" s="211"/>
      <c r="H64" s="210"/>
    </row>
    <row r="65" spans="3:8" ht="12.75" customHeight="1">
      <c r="C65" s="191"/>
      <c r="E65" s="210"/>
      <c r="F65" s="210"/>
      <c r="G65" s="211"/>
      <c r="H65" s="210"/>
    </row>
    <row r="66" spans="3:8" ht="12.75" customHeight="1">
      <c r="C66" s="191"/>
      <c r="E66" s="210"/>
      <c r="F66" s="210"/>
      <c r="G66" s="211"/>
      <c r="H66" s="210"/>
    </row>
    <row r="67" spans="3:8" ht="12.75" customHeight="1">
      <c r="C67" s="191"/>
      <c r="E67" s="210"/>
      <c r="F67" s="210"/>
      <c r="G67" s="211"/>
      <c r="H67" s="210"/>
    </row>
    <row r="68" spans="3:8" ht="12.75" customHeight="1">
      <c r="C68" s="191"/>
      <c r="E68" s="210"/>
      <c r="F68" s="210"/>
      <c r="G68" s="211"/>
      <c r="H68" s="210"/>
    </row>
    <row r="69" spans="3:8" ht="12.75" customHeight="1">
      <c r="C69" s="191"/>
      <c r="E69" s="210"/>
      <c r="F69" s="210"/>
      <c r="G69" s="211"/>
      <c r="H69" s="210"/>
    </row>
    <row r="70" spans="3:8" ht="12.75" customHeight="1">
      <c r="C70" s="191"/>
      <c r="E70" s="210"/>
      <c r="F70" s="210"/>
      <c r="G70" s="211"/>
      <c r="H70" s="210"/>
    </row>
    <row r="71" spans="3:8" ht="12.75" customHeight="1">
      <c r="C71" s="191"/>
      <c r="E71" s="210"/>
      <c r="F71" s="210"/>
      <c r="G71" s="211"/>
      <c r="H71" s="210"/>
    </row>
    <row r="72" spans="3:8" ht="12.75" customHeight="1">
      <c r="C72" s="191"/>
      <c r="E72" s="210"/>
      <c r="F72" s="210"/>
      <c r="G72" s="211"/>
      <c r="H72" s="210"/>
    </row>
    <row r="73" spans="3:8" ht="12.75" customHeight="1">
      <c r="C73" s="191"/>
      <c r="E73" s="210"/>
      <c r="F73" s="210"/>
      <c r="G73" s="211"/>
      <c r="H73" s="210"/>
    </row>
    <row r="74" spans="3:8" ht="12.75" customHeight="1">
      <c r="C74" s="191"/>
      <c r="E74" s="210"/>
      <c r="F74" s="210"/>
      <c r="G74" s="211"/>
      <c r="H74" s="210"/>
    </row>
    <row r="75" spans="3:8" ht="12.75" customHeight="1">
      <c r="C75" s="191"/>
      <c r="E75" s="210"/>
      <c r="F75" s="210"/>
      <c r="G75" s="211"/>
      <c r="H75" s="210"/>
    </row>
    <row r="76" spans="3:8" ht="12.75" customHeight="1">
      <c r="C76" s="191"/>
      <c r="E76" s="210"/>
      <c r="F76" s="210"/>
      <c r="G76" s="211"/>
      <c r="H76" s="210"/>
    </row>
    <row r="77" spans="3:8" ht="12.75" customHeight="1">
      <c r="C77" s="191"/>
      <c r="E77" s="210"/>
      <c r="F77" s="210"/>
      <c r="G77" s="211"/>
      <c r="H77" s="210"/>
    </row>
    <row r="78" spans="3:8" ht="12.75" customHeight="1">
      <c r="C78" s="191"/>
      <c r="E78" s="210"/>
      <c r="F78" s="210"/>
      <c r="G78" s="211"/>
      <c r="H78" s="210"/>
    </row>
    <row r="79" spans="3:8" ht="12.75" customHeight="1">
      <c r="C79" s="191"/>
      <c r="E79" s="210"/>
      <c r="F79" s="210"/>
      <c r="G79" s="211"/>
      <c r="H79" s="210"/>
    </row>
    <row r="80" spans="3:8" ht="12.75" customHeight="1">
      <c r="C80" s="191"/>
      <c r="E80" s="210"/>
      <c r="F80" s="210"/>
      <c r="G80" s="211"/>
      <c r="H80" s="210"/>
    </row>
    <row r="81" spans="3:8" ht="12.75" customHeight="1">
      <c r="C81" s="191"/>
      <c r="E81" s="210"/>
      <c r="F81" s="210"/>
      <c r="G81" s="211"/>
      <c r="H81" s="210"/>
    </row>
    <row r="82" spans="3:8" ht="12.75" customHeight="1">
      <c r="C82" s="191"/>
      <c r="E82" s="210"/>
      <c r="F82" s="210"/>
      <c r="G82" s="211"/>
      <c r="H82" s="210"/>
    </row>
    <row r="83" spans="3:8" ht="12.75" customHeight="1">
      <c r="C83" s="191"/>
      <c r="E83" s="210"/>
      <c r="F83" s="210"/>
      <c r="G83" s="211"/>
      <c r="H83" s="210"/>
    </row>
    <row r="84" spans="3:8" ht="12.75" customHeight="1">
      <c r="C84" s="191"/>
      <c r="E84" s="210"/>
      <c r="F84" s="210"/>
      <c r="G84" s="211"/>
      <c r="H84" s="210"/>
    </row>
    <row r="85" spans="3:8" ht="12.75" customHeight="1">
      <c r="C85" s="191"/>
      <c r="E85" s="210"/>
      <c r="F85" s="210"/>
      <c r="G85" s="211"/>
      <c r="H85" s="210"/>
    </row>
    <row r="86" spans="3:8" ht="12.75" customHeight="1">
      <c r="C86" s="191"/>
      <c r="E86" s="210"/>
      <c r="F86" s="210"/>
      <c r="G86" s="211"/>
      <c r="H86" s="210"/>
    </row>
    <row r="87" spans="3:8" ht="12.75" customHeight="1">
      <c r="C87" s="191"/>
      <c r="E87" s="210"/>
      <c r="F87" s="210"/>
      <c r="G87" s="211"/>
      <c r="H87" s="210"/>
    </row>
    <row r="88" spans="3:8" ht="12.75" customHeight="1">
      <c r="C88" s="191"/>
      <c r="E88" s="210"/>
      <c r="F88" s="210"/>
      <c r="G88" s="211"/>
      <c r="H88" s="210"/>
    </row>
    <row r="89" spans="3:8" ht="12.75" customHeight="1">
      <c r="C89" s="191"/>
      <c r="E89" s="210"/>
      <c r="F89" s="210"/>
      <c r="G89" s="211"/>
      <c r="H89" s="210"/>
    </row>
    <row r="90" spans="3:8" ht="12.75" customHeight="1">
      <c r="C90" s="191"/>
      <c r="E90" s="210"/>
      <c r="F90" s="210"/>
      <c r="G90" s="211"/>
      <c r="H90" s="210"/>
    </row>
    <row r="91" spans="3:8" ht="12.75" customHeight="1">
      <c r="C91" s="191"/>
      <c r="E91" s="210"/>
      <c r="F91" s="210"/>
      <c r="G91" s="211"/>
      <c r="H91" s="210"/>
    </row>
    <row r="92" spans="3:8" ht="12.75" customHeight="1">
      <c r="C92" s="191"/>
      <c r="E92" s="210"/>
      <c r="F92" s="210"/>
      <c r="G92" s="211"/>
      <c r="H92" s="210"/>
    </row>
    <row r="93" spans="3:8" ht="12.75" customHeight="1">
      <c r="C93" s="191"/>
      <c r="E93" s="210"/>
      <c r="F93" s="210"/>
      <c r="G93" s="211"/>
      <c r="H93" s="210"/>
    </row>
    <row r="94" spans="3:8" ht="12.75" customHeight="1">
      <c r="C94" s="191"/>
      <c r="E94" s="210"/>
      <c r="F94" s="210"/>
      <c r="G94" s="211"/>
      <c r="H94" s="210"/>
    </row>
    <row r="95" spans="3:8" ht="12.75" customHeight="1">
      <c r="C95" s="191"/>
      <c r="E95" s="210"/>
      <c r="F95" s="210"/>
      <c r="G95" s="211"/>
      <c r="H95" s="210"/>
    </row>
    <row r="96" spans="3:8" ht="12.75" customHeight="1">
      <c r="C96" s="191"/>
      <c r="E96" s="210"/>
      <c r="F96" s="210"/>
      <c r="G96" s="211"/>
      <c r="H96" s="210"/>
    </row>
    <row r="97" spans="3:8" ht="12.75" customHeight="1">
      <c r="C97" s="191"/>
      <c r="E97" s="210"/>
      <c r="F97" s="210"/>
      <c r="G97" s="211"/>
      <c r="H97" s="210"/>
    </row>
    <row r="98" spans="3:8" ht="12.75" customHeight="1">
      <c r="C98" s="191"/>
      <c r="E98" s="210"/>
      <c r="F98" s="210"/>
      <c r="G98" s="211"/>
      <c r="H98" s="210"/>
    </row>
    <row r="99" spans="3:8" ht="12.75" customHeight="1">
      <c r="C99" s="191"/>
      <c r="E99" s="210"/>
      <c r="F99" s="210"/>
      <c r="G99" s="211"/>
      <c r="H99" s="210"/>
    </row>
    <row r="100" spans="3:8" ht="12.75" customHeight="1">
      <c r="C100" s="191"/>
      <c r="E100" s="210"/>
      <c r="F100" s="210"/>
      <c r="G100" s="211"/>
      <c r="H100" s="210"/>
    </row>
    <row r="101" spans="3:8" ht="12.75" customHeight="1">
      <c r="C101" s="191"/>
      <c r="E101" s="210"/>
      <c r="F101" s="210"/>
      <c r="G101" s="211"/>
      <c r="H101" s="210"/>
    </row>
    <row r="102" spans="3:8" ht="12.75" customHeight="1">
      <c r="C102" s="191"/>
      <c r="E102" s="210"/>
      <c r="F102" s="210"/>
      <c r="G102" s="211"/>
      <c r="H102" s="210"/>
    </row>
    <row r="103" spans="3:8" ht="12.75" customHeight="1">
      <c r="C103" s="191"/>
      <c r="E103" s="210"/>
      <c r="F103" s="210"/>
      <c r="G103" s="211"/>
      <c r="H103" s="210"/>
    </row>
    <row r="104" spans="3:8" ht="12.75" customHeight="1">
      <c r="C104" s="191"/>
      <c r="E104" s="210"/>
      <c r="F104" s="210"/>
      <c r="G104" s="211"/>
      <c r="H104" s="210"/>
    </row>
    <row r="105" spans="3:8" ht="12.75" customHeight="1">
      <c r="C105" s="191"/>
      <c r="E105" s="210"/>
      <c r="F105" s="210"/>
      <c r="G105" s="211"/>
      <c r="H105" s="210"/>
    </row>
    <row r="106" spans="3:8" ht="12.75" customHeight="1">
      <c r="C106" s="191"/>
      <c r="E106" s="210"/>
      <c r="F106" s="210"/>
      <c r="G106" s="211"/>
      <c r="H106" s="210"/>
    </row>
    <row r="107" spans="3:8" ht="12.75" customHeight="1">
      <c r="C107" s="191"/>
      <c r="E107" s="210"/>
      <c r="F107" s="210"/>
      <c r="G107" s="211"/>
      <c r="H107" s="210"/>
    </row>
    <row r="108" spans="3:8" ht="12.75" customHeight="1">
      <c r="C108" s="191"/>
      <c r="E108" s="210"/>
      <c r="F108" s="210"/>
      <c r="G108" s="211"/>
      <c r="H108" s="210"/>
    </row>
    <row r="109" spans="3:8" ht="12.75" customHeight="1">
      <c r="C109" s="191"/>
      <c r="E109" s="210"/>
      <c r="F109" s="210"/>
      <c r="G109" s="211"/>
      <c r="H109" s="210"/>
    </row>
    <row r="110" spans="3:8" ht="12.75" customHeight="1">
      <c r="C110" s="191"/>
      <c r="E110" s="210"/>
      <c r="F110" s="210"/>
      <c r="G110" s="211"/>
      <c r="H110" s="210"/>
    </row>
    <row r="111" spans="3:8" ht="12.75" customHeight="1">
      <c r="C111" s="191"/>
      <c r="E111" s="210"/>
      <c r="F111" s="210"/>
      <c r="G111" s="211"/>
      <c r="H111" s="210"/>
    </row>
    <row r="112" spans="3:8" ht="12.75" customHeight="1">
      <c r="C112" s="191"/>
      <c r="E112" s="210"/>
      <c r="F112" s="210"/>
      <c r="G112" s="211"/>
      <c r="H112" s="210"/>
    </row>
    <row r="113" spans="3:8" ht="12.75" customHeight="1">
      <c r="C113" s="191"/>
      <c r="E113" s="210"/>
      <c r="F113" s="210"/>
      <c r="G113" s="211"/>
      <c r="H113" s="210"/>
    </row>
    <row r="114" spans="3:8" ht="12.75" customHeight="1">
      <c r="C114" s="191"/>
      <c r="E114" s="210"/>
      <c r="F114" s="210"/>
      <c r="G114" s="211"/>
      <c r="H114" s="210"/>
    </row>
    <row r="115" spans="3:8" ht="12.75" customHeight="1">
      <c r="C115" s="191"/>
      <c r="E115" s="210"/>
      <c r="F115" s="210"/>
      <c r="G115" s="211"/>
      <c r="H115" s="210"/>
    </row>
    <row r="116" spans="3:8" ht="12.75" customHeight="1">
      <c r="C116" s="191"/>
      <c r="E116" s="210"/>
      <c r="F116" s="210"/>
      <c r="G116" s="211"/>
      <c r="H116" s="210"/>
    </row>
    <row r="117" spans="3:8" ht="12.75" customHeight="1">
      <c r="C117" s="191"/>
      <c r="E117" s="210"/>
      <c r="F117" s="210"/>
      <c r="G117" s="211"/>
      <c r="H117" s="210"/>
    </row>
    <row r="118" spans="3:8" ht="12.75" customHeight="1">
      <c r="C118" s="191"/>
      <c r="E118" s="210"/>
      <c r="F118" s="210"/>
      <c r="G118" s="211"/>
      <c r="H118" s="210"/>
    </row>
    <row r="119" spans="3:8" ht="12.75" customHeight="1">
      <c r="C119" s="191"/>
      <c r="E119" s="210"/>
      <c r="F119" s="210"/>
      <c r="G119" s="211"/>
      <c r="H119" s="210"/>
    </row>
    <row r="120" spans="3:8" ht="12.75" customHeight="1">
      <c r="C120" s="191"/>
      <c r="E120" s="210"/>
      <c r="F120" s="210"/>
      <c r="G120" s="211"/>
      <c r="H120" s="210"/>
    </row>
    <row r="121" spans="3:8" ht="12.75" customHeight="1">
      <c r="C121" s="191"/>
      <c r="E121" s="210"/>
      <c r="F121" s="210"/>
      <c r="G121" s="211"/>
      <c r="H121" s="210"/>
    </row>
    <row r="122" spans="3:8" ht="12.75" customHeight="1">
      <c r="C122" s="191"/>
      <c r="E122" s="210"/>
      <c r="F122" s="210"/>
      <c r="G122" s="211"/>
      <c r="H122" s="210"/>
    </row>
    <row r="123" spans="3:8" ht="12.75" customHeight="1">
      <c r="C123" s="191"/>
      <c r="E123" s="210"/>
      <c r="F123" s="210"/>
      <c r="G123" s="211"/>
      <c r="H123" s="210"/>
    </row>
    <row r="124" spans="3:8" ht="12.75" customHeight="1">
      <c r="C124" s="191"/>
      <c r="E124" s="210"/>
      <c r="F124" s="210"/>
      <c r="G124" s="211"/>
      <c r="H124" s="210"/>
    </row>
    <row r="125" spans="3:8" ht="12.75" customHeight="1">
      <c r="C125" s="191"/>
      <c r="E125" s="210"/>
      <c r="F125" s="210"/>
      <c r="G125" s="211"/>
      <c r="H125" s="210"/>
    </row>
    <row r="126" spans="3:8" ht="12.75" customHeight="1">
      <c r="C126" s="191"/>
      <c r="E126" s="210"/>
      <c r="F126" s="210"/>
      <c r="G126" s="211"/>
      <c r="H126" s="210"/>
    </row>
    <row r="127" spans="3:8" ht="12.75" customHeight="1">
      <c r="C127" s="191"/>
      <c r="E127" s="210"/>
      <c r="F127" s="210"/>
      <c r="G127" s="211"/>
      <c r="H127" s="210"/>
    </row>
    <row r="128" spans="3:8" ht="12.75" customHeight="1">
      <c r="C128" s="191"/>
      <c r="E128" s="210"/>
      <c r="F128" s="210"/>
      <c r="G128" s="211"/>
      <c r="H128" s="210"/>
    </row>
    <row r="129" spans="3:8" ht="12.75" customHeight="1">
      <c r="C129" s="191"/>
      <c r="E129" s="210"/>
      <c r="F129" s="210"/>
      <c r="G129" s="211"/>
      <c r="H129" s="210"/>
    </row>
    <row r="130" spans="3:8" ht="12.75" customHeight="1">
      <c r="C130" s="191"/>
      <c r="E130" s="210"/>
      <c r="F130" s="210"/>
      <c r="G130" s="211"/>
      <c r="H130" s="210"/>
    </row>
    <row r="131" spans="3:8" ht="12.75" customHeight="1">
      <c r="C131" s="191"/>
      <c r="E131" s="210"/>
      <c r="F131" s="210"/>
      <c r="G131" s="211"/>
      <c r="H131" s="210"/>
    </row>
    <row r="132" spans="3:8" ht="12.75" customHeight="1">
      <c r="C132" s="191"/>
      <c r="E132" s="210"/>
      <c r="F132" s="210"/>
      <c r="G132" s="211"/>
      <c r="H132" s="210"/>
    </row>
    <row r="133" spans="3:8" ht="12.75" customHeight="1">
      <c r="C133" s="191"/>
      <c r="E133" s="210"/>
      <c r="F133" s="210"/>
      <c r="G133" s="211"/>
      <c r="H133" s="210"/>
    </row>
    <row r="134" spans="3:8" ht="12.75" customHeight="1">
      <c r="C134" s="191"/>
      <c r="E134" s="210"/>
      <c r="F134" s="210"/>
      <c r="G134" s="211"/>
      <c r="H134" s="210"/>
    </row>
    <row r="135" spans="3:8" ht="12.75" customHeight="1">
      <c r="C135" s="191"/>
      <c r="E135" s="210"/>
      <c r="F135" s="210"/>
      <c r="G135" s="211"/>
      <c r="H135" s="210"/>
    </row>
    <row r="136" spans="3:8" ht="12.75" customHeight="1">
      <c r="C136" s="191"/>
      <c r="E136" s="210"/>
      <c r="F136" s="210"/>
      <c r="G136" s="211"/>
      <c r="H136" s="210"/>
    </row>
    <row r="137" spans="3:8" ht="12.75" customHeight="1">
      <c r="C137" s="191"/>
      <c r="E137" s="210"/>
      <c r="F137" s="210"/>
      <c r="G137" s="211"/>
      <c r="H137" s="210"/>
    </row>
    <row r="138" spans="3:8" ht="12.75" customHeight="1">
      <c r="C138" s="191"/>
      <c r="E138" s="210"/>
      <c r="F138" s="210"/>
      <c r="G138" s="211"/>
      <c r="H138" s="210"/>
    </row>
    <row r="139" spans="3:8" ht="12.75" customHeight="1">
      <c r="C139" s="191"/>
      <c r="E139" s="210"/>
      <c r="F139" s="210"/>
      <c r="G139" s="211"/>
      <c r="H139" s="210"/>
    </row>
    <row r="140" spans="3:8" ht="12.75" customHeight="1">
      <c r="C140" s="191"/>
      <c r="E140" s="210"/>
      <c r="F140" s="210"/>
      <c r="G140" s="211"/>
      <c r="H140" s="210"/>
    </row>
    <row r="141" spans="3:8" ht="12.75" customHeight="1">
      <c r="C141" s="191"/>
      <c r="E141" s="210"/>
      <c r="F141" s="210"/>
      <c r="G141" s="211"/>
      <c r="H141" s="210"/>
    </row>
    <row r="142" spans="3:8" ht="12.75" customHeight="1">
      <c r="C142" s="191"/>
      <c r="E142" s="210"/>
      <c r="F142" s="210"/>
      <c r="G142" s="211"/>
      <c r="H142" s="210"/>
    </row>
    <row r="143" spans="3:8" ht="12.75" customHeight="1">
      <c r="C143" s="191"/>
      <c r="E143" s="210"/>
      <c r="F143" s="210"/>
      <c r="G143" s="211"/>
      <c r="H143" s="210"/>
    </row>
    <row r="144" spans="3:8" ht="12.75" customHeight="1">
      <c r="C144" s="191"/>
      <c r="E144" s="210"/>
      <c r="F144" s="210"/>
      <c r="G144" s="211"/>
      <c r="H144" s="210"/>
    </row>
    <row r="145" spans="3:8" ht="12.75" customHeight="1">
      <c r="C145" s="191"/>
      <c r="E145" s="210"/>
      <c r="F145" s="210"/>
      <c r="G145" s="211"/>
      <c r="H145" s="210"/>
    </row>
    <row r="146" spans="3:8" ht="12.75" customHeight="1">
      <c r="C146" s="191"/>
      <c r="E146" s="210"/>
      <c r="F146" s="210"/>
      <c r="G146" s="211"/>
      <c r="H146" s="210"/>
    </row>
    <row r="147" spans="3:8" ht="12.75" customHeight="1">
      <c r="C147" s="191"/>
      <c r="E147" s="210"/>
      <c r="F147" s="210"/>
      <c r="G147" s="211"/>
      <c r="H147" s="210"/>
    </row>
    <row r="148" spans="3:8" ht="12.75" customHeight="1">
      <c r="C148" s="191"/>
      <c r="E148" s="210"/>
      <c r="F148" s="210"/>
      <c r="G148" s="211"/>
      <c r="H148" s="210"/>
    </row>
    <row r="149" spans="3:8" ht="12.75" customHeight="1">
      <c r="C149" s="191"/>
      <c r="E149" s="210"/>
      <c r="F149" s="210"/>
      <c r="G149" s="211"/>
      <c r="H149" s="210"/>
    </row>
    <row r="150" spans="3:8" ht="12.75" customHeight="1">
      <c r="C150" s="191"/>
      <c r="E150" s="210"/>
      <c r="F150" s="210"/>
      <c r="G150" s="211"/>
      <c r="H150" s="210"/>
    </row>
    <row r="151" spans="3:8" ht="12.75" customHeight="1">
      <c r="C151" s="191"/>
      <c r="E151" s="210"/>
      <c r="F151" s="210"/>
      <c r="G151" s="211"/>
      <c r="H151" s="210"/>
    </row>
    <row r="152" spans="3:8" ht="12.75" customHeight="1">
      <c r="C152" s="191"/>
      <c r="E152" s="210"/>
      <c r="F152" s="210"/>
      <c r="G152" s="211"/>
      <c r="H152" s="210"/>
    </row>
    <row r="153" spans="3:8" ht="12.75" customHeight="1">
      <c r="C153" s="191"/>
      <c r="E153" s="210"/>
      <c r="F153" s="210"/>
      <c r="G153" s="211"/>
      <c r="H153" s="210"/>
    </row>
    <row r="154" spans="3:8" ht="12.75" customHeight="1">
      <c r="C154" s="191"/>
      <c r="E154" s="210"/>
      <c r="F154" s="210"/>
      <c r="G154" s="211"/>
      <c r="H154" s="210"/>
    </row>
    <row r="155" spans="3:8" ht="12.75" customHeight="1">
      <c r="C155" s="191"/>
      <c r="E155" s="210"/>
      <c r="F155" s="210"/>
      <c r="G155" s="211"/>
      <c r="H155" s="210"/>
    </row>
    <row r="156" spans="3:8" ht="12.75" customHeight="1">
      <c r="C156" s="191"/>
      <c r="E156" s="210"/>
      <c r="F156" s="210"/>
      <c r="G156" s="211"/>
      <c r="H156" s="210"/>
    </row>
    <row r="157" spans="3:8" ht="12.75" customHeight="1">
      <c r="C157" s="191"/>
      <c r="E157" s="210"/>
      <c r="F157" s="210"/>
      <c r="G157" s="211"/>
      <c r="H157" s="210"/>
    </row>
    <row r="158" spans="3:8" ht="12.75" customHeight="1">
      <c r="C158" s="191"/>
      <c r="E158" s="210"/>
      <c r="F158" s="210"/>
      <c r="G158" s="211"/>
      <c r="H158" s="210"/>
    </row>
    <row r="159" spans="3:8" ht="12.75" customHeight="1">
      <c r="C159" s="191"/>
      <c r="E159" s="210"/>
      <c r="F159" s="210"/>
      <c r="G159" s="211"/>
      <c r="H159" s="210"/>
    </row>
    <row r="160" spans="3:8" ht="12.75" customHeight="1">
      <c r="C160" s="191"/>
      <c r="E160" s="210"/>
      <c r="F160" s="210"/>
      <c r="G160" s="211"/>
      <c r="H160" s="210"/>
    </row>
    <row r="161" spans="3:8" ht="12.75" customHeight="1">
      <c r="C161" s="191"/>
      <c r="E161" s="210"/>
      <c r="F161" s="210"/>
      <c r="G161" s="211"/>
      <c r="H161" s="210"/>
    </row>
    <row r="162" spans="3:8" ht="12.75" customHeight="1">
      <c r="C162" s="191"/>
      <c r="E162" s="210"/>
      <c r="F162" s="210"/>
      <c r="G162" s="211"/>
      <c r="H162" s="210"/>
    </row>
    <row r="163" spans="3:8" ht="12.75" customHeight="1">
      <c r="C163" s="191"/>
      <c r="E163" s="210"/>
      <c r="F163" s="210"/>
      <c r="G163" s="211"/>
      <c r="H163" s="210"/>
    </row>
    <row r="164" spans="3:8" ht="12.75" customHeight="1">
      <c r="C164" s="191"/>
      <c r="E164" s="210"/>
      <c r="F164" s="210"/>
      <c r="G164" s="211"/>
      <c r="H164" s="210"/>
    </row>
    <row r="165" spans="3:8" ht="12.75" customHeight="1">
      <c r="C165" s="191"/>
      <c r="E165" s="210"/>
      <c r="F165" s="210"/>
      <c r="G165" s="211"/>
      <c r="H165" s="210"/>
    </row>
    <row r="166" spans="3:8" ht="12.75" customHeight="1">
      <c r="C166" s="191"/>
      <c r="E166" s="210"/>
      <c r="F166" s="210"/>
      <c r="G166" s="211"/>
      <c r="H166" s="210"/>
    </row>
    <row r="167" spans="3:8" ht="12.75" customHeight="1">
      <c r="C167" s="191"/>
      <c r="E167" s="210"/>
      <c r="F167" s="210"/>
      <c r="G167" s="211"/>
      <c r="H167" s="210"/>
    </row>
    <row r="168" spans="3:8" ht="12.75" customHeight="1">
      <c r="C168" s="191"/>
      <c r="E168" s="210"/>
      <c r="F168" s="210"/>
      <c r="G168" s="211"/>
      <c r="H168" s="210"/>
    </row>
    <row r="169" spans="3:8" ht="12.75" customHeight="1">
      <c r="C169" s="191"/>
      <c r="E169" s="210"/>
      <c r="F169" s="210"/>
      <c r="G169" s="211"/>
      <c r="H169" s="210"/>
    </row>
    <row r="170" spans="3:8" ht="12.75" customHeight="1">
      <c r="C170" s="191"/>
      <c r="E170" s="210"/>
      <c r="F170" s="210"/>
      <c r="G170" s="211"/>
      <c r="H170" s="210"/>
    </row>
    <row r="171" spans="3:8" ht="12.75" customHeight="1">
      <c r="C171" s="191"/>
      <c r="E171" s="210"/>
      <c r="F171" s="210"/>
      <c r="G171" s="211"/>
      <c r="H171" s="210"/>
    </row>
    <row r="172" spans="3:8" ht="12.75" customHeight="1">
      <c r="C172" s="191"/>
      <c r="E172" s="210"/>
      <c r="F172" s="210"/>
      <c r="G172" s="211"/>
      <c r="H172" s="210"/>
    </row>
    <row r="173" spans="3:8" ht="12.75" customHeight="1">
      <c r="C173" s="191"/>
      <c r="E173" s="210"/>
      <c r="F173" s="210"/>
      <c r="G173" s="211"/>
      <c r="H173" s="210"/>
    </row>
    <row r="174" spans="3:8" ht="12.75" customHeight="1">
      <c r="C174" s="191"/>
      <c r="E174" s="210"/>
      <c r="F174" s="210"/>
      <c r="G174" s="211"/>
      <c r="H174" s="210"/>
    </row>
    <row r="175" spans="3:8" ht="12.75" customHeight="1">
      <c r="C175" s="191"/>
      <c r="E175" s="210"/>
      <c r="F175" s="210"/>
      <c r="G175" s="211"/>
      <c r="H175" s="210"/>
    </row>
    <row r="176" spans="3:8" ht="12.75" customHeight="1">
      <c r="C176" s="191"/>
      <c r="E176" s="210"/>
      <c r="F176" s="210"/>
      <c r="G176" s="211"/>
      <c r="H176" s="210"/>
    </row>
    <row r="177" spans="3:8" ht="12.75" customHeight="1">
      <c r="C177" s="191"/>
      <c r="E177" s="210"/>
      <c r="F177" s="210"/>
      <c r="G177" s="211"/>
      <c r="H177" s="210"/>
    </row>
    <row r="178" spans="3:8" ht="12.75" customHeight="1">
      <c r="C178" s="191"/>
      <c r="E178" s="210"/>
      <c r="F178" s="210"/>
      <c r="G178" s="211"/>
      <c r="H178" s="210"/>
    </row>
    <row r="179" spans="3:8" ht="12.75" customHeight="1">
      <c r="C179" s="191"/>
      <c r="E179" s="210"/>
      <c r="F179" s="210"/>
      <c r="G179" s="211"/>
      <c r="H179" s="210"/>
    </row>
    <row r="180" spans="3:8" ht="12.75" customHeight="1">
      <c r="C180" s="191"/>
      <c r="E180" s="210"/>
      <c r="F180" s="210"/>
      <c r="G180" s="211"/>
      <c r="H180" s="210"/>
    </row>
    <row r="181" spans="3:8" ht="12.75" customHeight="1">
      <c r="C181" s="191"/>
      <c r="E181" s="210"/>
      <c r="F181" s="210"/>
      <c r="G181" s="211"/>
      <c r="H181" s="210"/>
    </row>
    <row r="182" spans="3:8" ht="12.75" customHeight="1">
      <c r="C182" s="191"/>
      <c r="E182" s="210"/>
      <c r="F182" s="210"/>
      <c r="G182" s="211"/>
      <c r="H182" s="210"/>
    </row>
    <row r="183" spans="3:8" ht="12.75" customHeight="1">
      <c r="C183" s="191"/>
      <c r="E183" s="210"/>
      <c r="F183" s="210"/>
      <c r="G183" s="211"/>
      <c r="H183" s="210"/>
    </row>
    <row r="184" spans="3:8" ht="12.75" customHeight="1">
      <c r="C184" s="191"/>
      <c r="E184" s="210"/>
      <c r="F184" s="210"/>
      <c r="G184" s="211"/>
      <c r="H184" s="210"/>
    </row>
    <row r="185" spans="3:8" ht="12.75" customHeight="1">
      <c r="C185" s="191"/>
      <c r="E185" s="210"/>
      <c r="F185" s="210"/>
      <c r="G185" s="211"/>
      <c r="H185" s="210"/>
    </row>
    <row r="186" spans="3:8" ht="12.75" customHeight="1">
      <c r="C186" s="191"/>
      <c r="E186" s="210"/>
      <c r="F186" s="210"/>
      <c r="G186" s="211"/>
      <c r="H186" s="210"/>
    </row>
    <row r="187" spans="3:8" ht="12.75" customHeight="1">
      <c r="C187" s="191"/>
      <c r="E187" s="210"/>
      <c r="F187" s="210"/>
      <c r="G187" s="211"/>
      <c r="H187" s="210"/>
    </row>
    <row r="188" spans="3:8" ht="12.75" customHeight="1">
      <c r="C188" s="191"/>
      <c r="E188" s="210"/>
      <c r="F188" s="210"/>
      <c r="G188" s="211"/>
      <c r="H188" s="210"/>
    </row>
    <row r="189" spans="3:8" ht="12.75" customHeight="1">
      <c r="C189" s="191"/>
      <c r="E189" s="210"/>
      <c r="F189" s="210"/>
      <c r="G189" s="211"/>
      <c r="H189" s="210"/>
    </row>
    <row r="190" spans="3:8" ht="12.75" customHeight="1">
      <c r="C190" s="191"/>
      <c r="E190" s="210"/>
      <c r="F190" s="210"/>
      <c r="G190" s="211"/>
      <c r="H190" s="210"/>
    </row>
    <row r="191" spans="3:8" ht="12.75" customHeight="1">
      <c r="C191" s="191"/>
      <c r="E191" s="210"/>
      <c r="F191" s="210"/>
      <c r="G191" s="211"/>
      <c r="H191" s="210"/>
    </row>
    <row r="192" spans="3:8" ht="12.75" customHeight="1">
      <c r="C192" s="191"/>
      <c r="E192" s="210"/>
      <c r="F192" s="210"/>
      <c r="G192" s="211"/>
      <c r="H192" s="210"/>
    </row>
    <row r="193" spans="3:8" ht="12.75" customHeight="1">
      <c r="C193" s="191"/>
      <c r="E193" s="210"/>
      <c r="F193" s="210"/>
      <c r="G193" s="211"/>
      <c r="H193" s="210"/>
    </row>
    <row r="194" spans="3:8" ht="12.75" customHeight="1">
      <c r="C194" s="191"/>
      <c r="E194" s="210"/>
      <c r="F194" s="210"/>
      <c r="G194" s="211"/>
      <c r="H194" s="210"/>
    </row>
    <row r="195" spans="3:8" ht="12.75" customHeight="1">
      <c r="C195" s="191"/>
      <c r="E195" s="210"/>
      <c r="F195" s="210"/>
      <c r="G195" s="211"/>
      <c r="H195" s="210"/>
    </row>
    <row r="196" spans="3:8" ht="12.75" customHeight="1">
      <c r="C196" s="191"/>
      <c r="E196" s="210"/>
      <c r="F196" s="210"/>
      <c r="G196" s="211"/>
      <c r="H196" s="210"/>
    </row>
    <row r="197" spans="3:8" ht="12.75" customHeight="1">
      <c r="C197" s="191"/>
      <c r="E197" s="210"/>
      <c r="F197" s="210"/>
      <c r="G197" s="211"/>
      <c r="H197" s="210"/>
    </row>
    <row r="198" spans="3:8" ht="12.75" customHeight="1">
      <c r="C198" s="191"/>
      <c r="E198" s="210"/>
      <c r="F198" s="210"/>
      <c r="G198" s="211"/>
      <c r="H198" s="210"/>
    </row>
    <row r="199" spans="3:8" ht="12.75" customHeight="1">
      <c r="C199" s="191"/>
      <c r="E199" s="210"/>
      <c r="F199" s="210"/>
      <c r="G199" s="211"/>
      <c r="H199" s="210"/>
    </row>
    <row r="200" spans="3:8" ht="12.75" customHeight="1">
      <c r="C200" s="191"/>
      <c r="E200" s="210"/>
      <c r="F200" s="210"/>
      <c r="G200" s="211"/>
      <c r="H200" s="210"/>
    </row>
    <row r="201" spans="3:8" ht="12.75" customHeight="1">
      <c r="C201" s="191"/>
      <c r="E201" s="210"/>
      <c r="F201" s="210"/>
      <c r="G201" s="211"/>
      <c r="H201" s="210"/>
    </row>
    <row r="202" spans="3:8" ht="12.75" customHeight="1">
      <c r="C202" s="191"/>
      <c r="E202" s="210"/>
      <c r="F202" s="210"/>
      <c r="G202" s="211"/>
      <c r="H202" s="210"/>
    </row>
    <row r="203" spans="3:8" ht="12.75" customHeight="1">
      <c r="C203" s="191"/>
      <c r="E203" s="210"/>
      <c r="F203" s="210"/>
      <c r="G203" s="211"/>
      <c r="H203" s="210"/>
    </row>
    <row r="204" spans="3:8" ht="12.75" customHeight="1">
      <c r="C204" s="191"/>
      <c r="E204" s="210"/>
      <c r="F204" s="210"/>
      <c r="G204" s="211"/>
      <c r="H204" s="210"/>
    </row>
    <row r="205" spans="3:8" ht="12.75" customHeight="1">
      <c r="C205" s="191"/>
      <c r="E205" s="210"/>
      <c r="F205" s="210"/>
      <c r="G205" s="211"/>
      <c r="H205" s="210"/>
    </row>
    <row r="206" spans="3:8" ht="12.75" customHeight="1">
      <c r="C206" s="191"/>
      <c r="E206" s="210"/>
      <c r="F206" s="210"/>
      <c r="G206" s="211"/>
      <c r="H206" s="210"/>
    </row>
    <row r="207" spans="3:8" ht="12.75" customHeight="1">
      <c r="C207" s="191"/>
      <c r="E207" s="210"/>
      <c r="F207" s="210"/>
      <c r="G207" s="211"/>
      <c r="H207" s="210"/>
    </row>
    <row r="208" spans="3:8" ht="12.75" customHeight="1">
      <c r="C208" s="191"/>
      <c r="E208" s="210"/>
      <c r="F208" s="210"/>
      <c r="G208" s="211"/>
      <c r="H208" s="210"/>
    </row>
    <row r="209" spans="3:8" ht="12.75" customHeight="1">
      <c r="C209" s="191"/>
      <c r="E209" s="210"/>
      <c r="F209" s="210"/>
      <c r="G209" s="211"/>
      <c r="H209" s="210"/>
    </row>
    <row r="210" spans="3:8" ht="12.75" customHeight="1">
      <c r="C210" s="191"/>
      <c r="E210" s="210"/>
      <c r="F210" s="210"/>
      <c r="G210" s="211"/>
      <c r="H210" s="210"/>
    </row>
    <row r="211" spans="3:8" ht="12.75" customHeight="1">
      <c r="C211" s="191"/>
      <c r="E211" s="210"/>
      <c r="F211" s="210"/>
      <c r="G211" s="211"/>
      <c r="H211" s="210"/>
    </row>
    <row r="212" spans="3:8" ht="12.75" customHeight="1">
      <c r="C212" s="191"/>
      <c r="E212" s="210"/>
      <c r="F212" s="210"/>
      <c r="G212" s="211"/>
      <c r="H212" s="210"/>
    </row>
    <row r="213" spans="3:8" ht="12.75" customHeight="1">
      <c r="C213" s="191"/>
      <c r="E213" s="210"/>
      <c r="F213" s="210"/>
      <c r="G213" s="211"/>
      <c r="H213" s="210"/>
    </row>
    <row r="214" spans="3:8" ht="12.75" customHeight="1">
      <c r="C214" s="191"/>
      <c r="E214" s="210"/>
      <c r="F214" s="210"/>
      <c r="G214" s="211"/>
      <c r="H214" s="210"/>
    </row>
    <row r="215" spans="3:8" ht="12.75" customHeight="1">
      <c r="C215" s="191"/>
      <c r="E215" s="210"/>
      <c r="F215" s="210"/>
      <c r="G215" s="211"/>
      <c r="H215" s="210"/>
    </row>
    <row r="216" spans="3:8" ht="12.75" customHeight="1">
      <c r="C216" s="191"/>
      <c r="E216" s="210"/>
      <c r="F216" s="210"/>
      <c r="G216" s="211"/>
      <c r="H216" s="210"/>
    </row>
    <row r="217" spans="3:8" ht="12.75" customHeight="1">
      <c r="C217" s="191"/>
      <c r="E217" s="210"/>
      <c r="F217" s="210"/>
      <c r="G217" s="211"/>
      <c r="H217" s="210"/>
    </row>
    <row r="218" spans="3:8" ht="12.75" customHeight="1">
      <c r="C218" s="191"/>
      <c r="E218" s="210"/>
      <c r="F218" s="210"/>
      <c r="G218" s="211"/>
      <c r="H218" s="210"/>
    </row>
    <row r="219" spans="3:8" ht="12.75" customHeight="1">
      <c r="C219" s="191"/>
      <c r="E219" s="210"/>
      <c r="F219" s="210"/>
      <c r="G219" s="211"/>
      <c r="H219" s="210"/>
    </row>
    <row r="220" spans="3:8" ht="12.75" customHeight="1">
      <c r="C220" s="191"/>
      <c r="E220" s="210"/>
      <c r="F220" s="210"/>
      <c r="G220" s="211"/>
      <c r="H220" s="210"/>
    </row>
    <row r="221" spans="3:8" ht="12.75" customHeight="1">
      <c r="C221" s="191"/>
      <c r="E221" s="210"/>
      <c r="F221" s="210"/>
      <c r="G221" s="211"/>
      <c r="H221" s="210"/>
    </row>
    <row r="222" spans="3:8" ht="12.75" customHeight="1">
      <c r="C222" s="191"/>
      <c r="E222" s="210"/>
      <c r="F222" s="210"/>
      <c r="G222" s="211"/>
      <c r="H222" s="210"/>
    </row>
    <row r="223" spans="3:8" ht="12.75" customHeight="1">
      <c r="C223" s="191"/>
      <c r="E223" s="210"/>
      <c r="F223" s="210"/>
      <c r="G223" s="211"/>
      <c r="H223" s="210"/>
    </row>
    <row r="224" spans="3:8" ht="12.75" customHeight="1">
      <c r="C224" s="191"/>
      <c r="E224" s="210"/>
      <c r="F224" s="210"/>
      <c r="G224" s="211"/>
      <c r="H224" s="210"/>
    </row>
    <row r="225" spans="3:8" ht="12.75" customHeight="1">
      <c r="C225" s="191"/>
      <c r="E225" s="210"/>
      <c r="F225" s="210"/>
      <c r="G225" s="211"/>
      <c r="H225" s="210"/>
    </row>
    <row r="226" spans="3:8" ht="12.75" customHeight="1">
      <c r="C226" s="191"/>
      <c r="E226" s="210"/>
      <c r="F226" s="210"/>
      <c r="G226" s="211"/>
      <c r="H226" s="210"/>
    </row>
    <row r="227" spans="3:8" ht="12.75" customHeight="1">
      <c r="C227" s="191"/>
      <c r="E227" s="210"/>
      <c r="F227" s="210"/>
      <c r="G227" s="211"/>
      <c r="H227" s="210"/>
    </row>
    <row r="228" spans="3:8" ht="12.75" customHeight="1">
      <c r="C228" s="191"/>
      <c r="E228" s="210"/>
      <c r="F228" s="210"/>
      <c r="G228" s="211"/>
      <c r="H228" s="210"/>
    </row>
    <row r="229" spans="3:8" ht="12.75" customHeight="1">
      <c r="C229" s="191"/>
      <c r="E229" s="210"/>
      <c r="F229" s="210"/>
      <c r="G229" s="211"/>
      <c r="H229" s="210"/>
    </row>
    <row r="230" spans="3:8" ht="12.75" customHeight="1">
      <c r="C230" s="191"/>
      <c r="E230" s="210"/>
      <c r="F230" s="210"/>
      <c r="G230" s="211"/>
      <c r="H230" s="210"/>
    </row>
    <row r="231" spans="3:8" ht="12.75" customHeight="1">
      <c r="C231" s="191"/>
      <c r="E231" s="210"/>
      <c r="F231" s="210"/>
      <c r="G231" s="211"/>
      <c r="H231" s="210"/>
    </row>
    <row r="232" spans="3:8" ht="12.75" customHeight="1">
      <c r="C232" s="191"/>
      <c r="E232" s="210"/>
      <c r="F232" s="210"/>
      <c r="G232" s="211"/>
      <c r="H232" s="210"/>
    </row>
    <row r="233" spans="3:8" ht="12.75" customHeight="1">
      <c r="C233" s="191"/>
      <c r="E233" s="210"/>
      <c r="F233" s="210"/>
      <c r="G233" s="211"/>
      <c r="H233" s="210"/>
    </row>
    <row r="234" spans="3:8" ht="12.75" customHeight="1">
      <c r="C234" s="191"/>
      <c r="E234" s="210"/>
      <c r="F234" s="210"/>
      <c r="G234" s="211"/>
      <c r="H234" s="210"/>
    </row>
    <row r="235" spans="3:8" ht="12.75" customHeight="1">
      <c r="C235" s="191"/>
      <c r="E235" s="210"/>
      <c r="F235" s="210"/>
      <c r="G235" s="211"/>
      <c r="H235" s="210"/>
    </row>
    <row r="236" spans="3:8" ht="12.75" customHeight="1">
      <c r="C236" s="191"/>
      <c r="E236" s="210"/>
      <c r="F236" s="210"/>
      <c r="G236" s="211"/>
      <c r="H236" s="210"/>
    </row>
    <row r="237" spans="3:8" ht="12.75" customHeight="1">
      <c r="C237" s="191"/>
      <c r="E237" s="210"/>
      <c r="F237" s="210"/>
      <c r="G237" s="211"/>
      <c r="H237" s="210"/>
    </row>
    <row r="238" spans="3:8" ht="12.75" customHeight="1">
      <c r="C238" s="191"/>
      <c r="E238" s="210"/>
      <c r="F238" s="210"/>
      <c r="G238" s="211"/>
      <c r="H238" s="210"/>
    </row>
    <row r="239" spans="3:8" ht="12.75" customHeight="1">
      <c r="C239" s="191"/>
      <c r="E239" s="210"/>
      <c r="F239" s="210"/>
      <c r="G239" s="211"/>
      <c r="H239" s="210"/>
    </row>
    <row r="240" spans="3:8" ht="12.75" customHeight="1">
      <c r="C240" s="191"/>
      <c r="E240" s="210"/>
      <c r="F240" s="210"/>
      <c r="G240" s="211"/>
      <c r="H240" s="210"/>
    </row>
    <row r="241" spans="3:8" ht="12.75" customHeight="1">
      <c r="C241" s="191"/>
      <c r="E241" s="210"/>
      <c r="F241" s="210"/>
      <c r="G241" s="211"/>
      <c r="H241" s="210"/>
    </row>
    <row r="242" spans="3:8" ht="12.75" customHeight="1">
      <c r="C242" s="191"/>
      <c r="E242" s="210"/>
      <c r="F242" s="210"/>
      <c r="G242" s="211"/>
      <c r="H242" s="210"/>
    </row>
    <row r="243" spans="3:8" ht="12.75" customHeight="1">
      <c r="C243" s="191"/>
      <c r="E243" s="210"/>
      <c r="F243" s="210"/>
      <c r="G243" s="211"/>
      <c r="H243" s="210"/>
    </row>
    <row r="244" spans="3:8" ht="12.75" customHeight="1">
      <c r="C244" s="191"/>
      <c r="E244" s="210"/>
      <c r="F244" s="210"/>
      <c r="G244" s="211"/>
      <c r="H244" s="210"/>
    </row>
    <row r="245" spans="3:8" ht="12.75" customHeight="1">
      <c r="C245" s="191"/>
      <c r="E245" s="210"/>
      <c r="F245" s="210"/>
      <c r="G245" s="211"/>
      <c r="H245" s="210"/>
    </row>
    <row r="246" spans="3:8" ht="12.75" customHeight="1">
      <c r="C246" s="191"/>
      <c r="E246" s="210"/>
      <c r="F246" s="210"/>
      <c r="G246" s="211"/>
      <c r="H246" s="210"/>
    </row>
    <row r="247" spans="3:8" ht="12.75" customHeight="1">
      <c r="C247" s="191"/>
      <c r="E247" s="210"/>
      <c r="F247" s="210"/>
      <c r="G247" s="211"/>
      <c r="H247" s="210"/>
    </row>
    <row r="248" spans="3:8" ht="12.75" customHeight="1">
      <c r="C248" s="191"/>
      <c r="E248" s="210"/>
      <c r="F248" s="210"/>
      <c r="G248" s="211"/>
      <c r="H248" s="210"/>
    </row>
    <row r="249" spans="3:8" ht="12.75" customHeight="1">
      <c r="C249" s="191"/>
      <c r="E249" s="210"/>
      <c r="F249" s="210"/>
      <c r="G249" s="211"/>
      <c r="H249" s="210"/>
    </row>
    <row r="250" spans="3:8" ht="12.75" customHeight="1">
      <c r="C250" s="191"/>
      <c r="E250" s="210"/>
      <c r="F250" s="210"/>
      <c r="G250" s="211"/>
      <c r="H250" s="210"/>
    </row>
    <row r="251" spans="3:8" ht="12.75" customHeight="1">
      <c r="C251" s="191"/>
      <c r="E251" s="210"/>
      <c r="F251" s="210"/>
      <c r="G251" s="211"/>
      <c r="H251" s="210"/>
    </row>
    <row r="252" spans="3:8" ht="12.75" customHeight="1">
      <c r="C252" s="191"/>
      <c r="E252" s="210"/>
      <c r="F252" s="210"/>
      <c r="G252" s="211"/>
      <c r="H252" s="210"/>
    </row>
    <row r="253" spans="3:8" ht="12.75" customHeight="1">
      <c r="C253" s="191"/>
      <c r="E253" s="210"/>
      <c r="F253" s="210"/>
      <c r="G253" s="211"/>
      <c r="H253" s="210"/>
    </row>
    <row r="254" spans="3:8" ht="12.75" customHeight="1">
      <c r="C254" s="191"/>
      <c r="E254" s="210"/>
      <c r="F254" s="210"/>
      <c r="G254" s="211"/>
      <c r="H254" s="210"/>
    </row>
    <row r="255" spans="3:8" ht="12.75" customHeight="1">
      <c r="C255" s="191"/>
      <c r="E255" s="210"/>
      <c r="F255" s="210"/>
      <c r="G255" s="211"/>
      <c r="H255" s="210"/>
    </row>
    <row r="256" spans="3:8" ht="12.75" customHeight="1">
      <c r="C256" s="191"/>
      <c r="E256" s="210"/>
      <c r="F256" s="210"/>
      <c r="G256" s="211"/>
      <c r="H256" s="210"/>
    </row>
    <row r="257" spans="3:8" ht="12.75" customHeight="1">
      <c r="C257" s="191"/>
      <c r="E257" s="210"/>
      <c r="F257" s="210"/>
      <c r="G257" s="211"/>
      <c r="H257" s="210"/>
    </row>
    <row r="258" spans="3:8" ht="12.75" customHeight="1">
      <c r="C258" s="191"/>
      <c r="E258" s="210"/>
      <c r="F258" s="210"/>
      <c r="G258" s="211"/>
      <c r="H258" s="210"/>
    </row>
    <row r="259" spans="3:8" ht="12.75" customHeight="1">
      <c r="C259" s="191"/>
      <c r="E259" s="210"/>
      <c r="F259" s="210"/>
      <c r="G259" s="211"/>
      <c r="H259" s="210"/>
    </row>
    <row r="260" spans="3:8" ht="12.75" customHeight="1">
      <c r="C260" s="191"/>
      <c r="E260" s="210"/>
      <c r="F260" s="210"/>
      <c r="G260" s="211"/>
      <c r="H260" s="210"/>
    </row>
    <row r="261" spans="3:8" ht="12.75" customHeight="1">
      <c r="C261" s="191"/>
      <c r="E261" s="210"/>
      <c r="F261" s="210"/>
      <c r="G261" s="211"/>
      <c r="H261" s="210"/>
    </row>
    <row r="262" spans="3:8" ht="12.75" customHeight="1">
      <c r="C262" s="191"/>
      <c r="E262" s="210"/>
      <c r="F262" s="210"/>
      <c r="G262" s="211"/>
      <c r="H262" s="210"/>
    </row>
    <row r="263" spans="3:8" ht="12.75" customHeight="1">
      <c r="C263" s="191"/>
      <c r="E263" s="210"/>
      <c r="F263" s="210"/>
      <c r="G263" s="211"/>
      <c r="H263" s="210"/>
    </row>
    <row r="264" spans="3:8" ht="12.75" customHeight="1">
      <c r="C264" s="191"/>
      <c r="E264" s="210"/>
      <c r="F264" s="210"/>
      <c r="G264" s="211"/>
      <c r="H264" s="210"/>
    </row>
    <row r="265" spans="3:8" ht="12.75" customHeight="1">
      <c r="C265" s="191"/>
      <c r="E265" s="210"/>
      <c r="F265" s="210"/>
      <c r="G265" s="211"/>
      <c r="H265" s="210"/>
    </row>
    <row r="266" spans="3:8" ht="12.75" customHeight="1">
      <c r="C266" s="191"/>
      <c r="E266" s="210"/>
      <c r="F266" s="210"/>
      <c r="G266" s="211"/>
      <c r="H266" s="210"/>
    </row>
    <row r="267" spans="3:8" ht="12.75" customHeight="1">
      <c r="C267" s="191"/>
      <c r="E267" s="210"/>
      <c r="F267" s="210"/>
      <c r="G267" s="211"/>
      <c r="H267" s="210"/>
    </row>
    <row r="268" spans="3:8" ht="12.75" customHeight="1">
      <c r="C268" s="191"/>
      <c r="E268" s="210"/>
      <c r="F268" s="210"/>
      <c r="G268" s="211"/>
      <c r="H268" s="210"/>
    </row>
    <row r="269" spans="3:8" ht="12.75" customHeight="1">
      <c r="C269" s="191"/>
      <c r="E269" s="210"/>
      <c r="F269" s="210"/>
      <c r="G269" s="211"/>
      <c r="H269" s="210"/>
    </row>
    <row r="270" spans="3:8" ht="12.75" customHeight="1">
      <c r="C270" s="191"/>
      <c r="E270" s="210"/>
      <c r="F270" s="210"/>
      <c r="G270" s="211"/>
      <c r="H270" s="210"/>
    </row>
    <row r="271" spans="3:8" ht="12.75" customHeight="1">
      <c r="C271" s="191"/>
      <c r="E271" s="210"/>
      <c r="F271" s="210"/>
      <c r="G271" s="211"/>
      <c r="H271" s="210"/>
    </row>
    <row r="272" spans="3:8" ht="12.75" customHeight="1">
      <c r="C272" s="191"/>
      <c r="E272" s="210"/>
      <c r="F272" s="210"/>
      <c r="G272" s="211"/>
      <c r="H272" s="210"/>
    </row>
    <row r="273" spans="3:8" ht="12.75" customHeight="1">
      <c r="C273" s="191"/>
      <c r="E273" s="210"/>
      <c r="F273" s="210"/>
      <c r="G273" s="211"/>
      <c r="H273" s="210"/>
    </row>
    <row r="274" spans="3:8" ht="12.75" customHeight="1">
      <c r="C274" s="191"/>
      <c r="E274" s="210"/>
      <c r="F274" s="210"/>
      <c r="G274" s="211"/>
      <c r="H274" s="210"/>
    </row>
    <row r="275" spans="3:8" ht="12.75" customHeight="1">
      <c r="C275" s="191"/>
      <c r="E275" s="210"/>
      <c r="F275" s="210"/>
      <c r="G275" s="211"/>
      <c r="H275" s="210"/>
    </row>
    <row r="276" spans="3:8" ht="12.75" customHeight="1">
      <c r="C276" s="191"/>
      <c r="E276" s="210"/>
      <c r="F276" s="210"/>
      <c r="G276" s="211"/>
      <c r="H276" s="210"/>
    </row>
    <row r="277" spans="3:8" ht="12.75" customHeight="1">
      <c r="C277" s="191"/>
      <c r="E277" s="210"/>
      <c r="F277" s="210"/>
      <c r="G277" s="211"/>
      <c r="H277" s="210"/>
    </row>
    <row r="278" spans="3:8" ht="12.75" customHeight="1">
      <c r="C278" s="191"/>
      <c r="E278" s="210"/>
      <c r="F278" s="210"/>
      <c r="G278" s="211"/>
      <c r="H278" s="210"/>
    </row>
    <row r="279" spans="3:8" ht="12.75" customHeight="1">
      <c r="C279" s="191"/>
      <c r="E279" s="210"/>
      <c r="F279" s="210"/>
      <c r="G279" s="211"/>
      <c r="H279" s="210"/>
    </row>
    <row r="280" spans="3:8" ht="12.75" customHeight="1">
      <c r="C280" s="191"/>
      <c r="E280" s="210"/>
      <c r="F280" s="210"/>
      <c r="G280" s="211"/>
      <c r="H280" s="210"/>
    </row>
    <row r="281" spans="3:8" ht="12.75" customHeight="1">
      <c r="C281" s="191"/>
      <c r="E281" s="210"/>
      <c r="F281" s="210"/>
      <c r="G281" s="211"/>
      <c r="H281" s="210"/>
    </row>
    <row r="282" spans="3:8" ht="12.75" customHeight="1">
      <c r="C282" s="191"/>
      <c r="E282" s="210"/>
      <c r="F282" s="210"/>
      <c r="G282" s="211"/>
      <c r="H282" s="210"/>
    </row>
    <row r="283" spans="3:8" ht="12.75" customHeight="1">
      <c r="C283" s="191"/>
      <c r="E283" s="210"/>
      <c r="F283" s="210"/>
      <c r="G283" s="211"/>
      <c r="H283" s="210"/>
    </row>
    <row r="284" spans="3:8" ht="12.75" customHeight="1">
      <c r="C284" s="191"/>
      <c r="E284" s="210"/>
      <c r="F284" s="210"/>
      <c r="G284" s="211"/>
      <c r="H284" s="210"/>
    </row>
    <row r="285" spans="3:8" ht="12.75" customHeight="1">
      <c r="C285" s="191"/>
      <c r="E285" s="210"/>
      <c r="F285" s="210"/>
      <c r="G285" s="211"/>
      <c r="H285" s="210"/>
    </row>
    <row r="286" spans="3:8" ht="12.75" customHeight="1">
      <c r="C286" s="191"/>
      <c r="E286" s="210"/>
      <c r="F286" s="210"/>
      <c r="G286" s="211"/>
      <c r="H286" s="210"/>
    </row>
    <row r="287" spans="3:8" ht="12.75" customHeight="1">
      <c r="C287" s="191"/>
      <c r="E287" s="210"/>
      <c r="F287" s="210"/>
      <c r="G287" s="211"/>
      <c r="H287" s="210"/>
    </row>
    <row r="288" spans="3:8" ht="12.75" customHeight="1">
      <c r="C288" s="191"/>
      <c r="E288" s="210"/>
      <c r="F288" s="210"/>
      <c r="G288" s="211"/>
      <c r="H288" s="210"/>
    </row>
    <row r="289" spans="3:8" ht="12.75" customHeight="1">
      <c r="C289" s="191"/>
      <c r="E289" s="210"/>
      <c r="F289" s="210"/>
      <c r="G289" s="211"/>
      <c r="H289" s="210"/>
    </row>
    <row r="290" spans="3:8" ht="12.75" customHeight="1">
      <c r="C290" s="191"/>
      <c r="E290" s="210"/>
      <c r="F290" s="210"/>
      <c r="G290" s="211"/>
      <c r="H290" s="210"/>
    </row>
    <row r="291" spans="3:8" ht="12.75" customHeight="1">
      <c r="C291" s="191"/>
      <c r="E291" s="210"/>
      <c r="F291" s="210"/>
      <c r="G291" s="211"/>
      <c r="H291" s="210"/>
    </row>
    <row r="292" spans="3:8" ht="12.75" customHeight="1">
      <c r="C292" s="191"/>
      <c r="E292" s="210"/>
      <c r="F292" s="210"/>
      <c r="G292" s="211"/>
      <c r="H292" s="210"/>
    </row>
    <row r="293" spans="3:8" ht="12.75" customHeight="1">
      <c r="C293" s="191"/>
      <c r="E293" s="210"/>
      <c r="F293" s="210"/>
      <c r="G293" s="211"/>
      <c r="H293" s="210"/>
    </row>
    <row r="294" spans="3:8" ht="12.75" customHeight="1">
      <c r="C294" s="191"/>
      <c r="E294" s="210"/>
      <c r="F294" s="210"/>
      <c r="G294" s="211"/>
      <c r="H294" s="210"/>
    </row>
    <row r="295" spans="3:8" ht="12.75" customHeight="1">
      <c r="C295" s="191"/>
      <c r="E295" s="210"/>
      <c r="F295" s="210"/>
      <c r="G295" s="211"/>
      <c r="H295" s="210"/>
    </row>
    <row r="296" spans="3:8" ht="12.75" customHeight="1">
      <c r="C296" s="191"/>
      <c r="E296" s="210"/>
      <c r="F296" s="210"/>
      <c r="G296" s="211"/>
      <c r="H296" s="210"/>
    </row>
    <row r="297" spans="3:8" ht="12.75" customHeight="1">
      <c r="C297" s="191"/>
      <c r="E297" s="210"/>
      <c r="F297" s="210"/>
      <c r="G297" s="211"/>
      <c r="H297" s="210"/>
    </row>
    <row r="298" spans="3:8" ht="12.75" customHeight="1">
      <c r="C298" s="191"/>
      <c r="E298" s="210"/>
      <c r="F298" s="210"/>
      <c r="G298" s="211"/>
      <c r="H298" s="210"/>
    </row>
    <row r="299" spans="3:8" ht="12.75" customHeight="1">
      <c r="C299" s="191"/>
      <c r="E299" s="210"/>
      <c r="F299" s="210"/>
      <c r="G299" s="211"/>
      <c r="H299" s="210"/>
    </row>
    <row r="300" spans="3:8" ht="12.75" customHeight="1">
      <c r="C300" s="191"/>
      <c r="E300" s="210"/>
      <c r="F300" s="210"/>
      <c r="G300" s="211"/>
      <c r="H300" s="210"/>
    </row>
    <row r="301" spans="3:8" ht="12.75" customHeight="1">
      <c r="C301" s="191"/>
      <c r="E301" s="210"/>
      <c r="F301" s="210"/>
      <c r="G301" s="211"/>
      <c r="H301" s="210"/>
    </row>
    <row r="302" spans="3:8" ht="12.75" customHeight="1">
      <c r="C302" s="191"/>
      <c r="E302" s="210"/>
      <c r="F302" s="210"/>
      <c r="G302" s="211"/>
      <c r="H302" s="210"/>
    </row>
    <row r="303" spans="3:8" ht="12.75" customHeight="1">
      <c r="C303" s="191"/>
      <c r="E303" s="210"/>
      <c r="F303" s="210"/>
      <c r="G303" s="211"/>
      <c r="H303" s="210"/>
    </row>
    <row r="304" spans="3:8" ht="12.75" customHeight="1">
      <c r="C304" s="191"/>
      <c r="E304" s="210"/>
      <c r="F304" s="210"/>
      <c r="G304" s="211"/>
      <c r="H304" s="210"/>
    </row>
    <row r="305" spans="3:8" ht="12.75" customHeight="1">
      <c r="C305" s="191"/>
      <c r="E305" s="210"/>
      <c r="F305" s="210"/>
      <c r="G305" s="211"/>
      <c r="H305" s="210"/>
    </row>
    <row r="306" spans="3:8" ht="12.75" customHeight="1">
      <c r="C306" s="191"/>
      <c r="E306" s="210"/>
      <c r="F306" s="210"/>
      <c r="G306" s="211"/>
      <c r="H306" s="210"/>
    </row>
    <row r="307" spans="3:8" ht="12.75" customHeight="1">
      <c r="C307" s="191"/>
      <c r="E307" s="210"/>
      <c r="F307" s="210"/>
      <c r="G307" s="211"/>
      <c r="H307" s="210"/>
    </row>
    <row r="308" spans="3:8" ht="12.75" customHeight="1">
      <c r="C308" s="191"/>
      <c r="E308" s="210"/>
      <c r="F308" s="210"/>
      <c r="G308" s="211"/>
      <c r="H308" s="210"/>
    </row>
    <row r="309" spans="3:8" ht="12.75" customHeight="1">
      <c r="C309" s="191"/>
      <c r="E309" s="210"/>
      <c r="F309" s="210"/>
      <c r="G309" s="211"/>
      <c r="H309" s="210"/>
    </row>
    <row r="310" spans="3:8" ht="12.75" customHeight="1">
      <c r="C310" s="191"/>
      <c r="E310" s="210"/>
      <c r="F310" s="210"/>
      <c r="G310" s="211"/>
      <c r="H310" s="210"/>
    </row>
    <row r="311" spans="3:8" ht="12.75" customHeight="1">
      <c r="C311" s="191"/>
      <c r="E311" s="210"/>
      <c r="F311" s="210"/>
      <c r="G311" s="211"/>
      <c r="H311" s="210"/>
    </row>
    <row r="312" spans="3:8" ht="12.75" customHeight="1">
      <c r="C312" s="191"/>
      <c r="E312" s="210"/>
      <c r="F312" s="210"/>
      <c r="G312" s="211"/>
      <c r="H312" s="210"/>
    </row>
    <row r="313" spans="3:8" ht="12.75" customHeight="1">
      <c r="C313" s="191"/>
      <c r="E313" s="210"/>
      <c r="F313" s="210"/>
      <c r="G313" s="211"/>
      <c r="H313" s="210"/>
    </row>
    <row r="314" spans="3:8" ht="12.75" customHeight="1">
      <c r="C314" s="191"/>
      <c r="E314" s="210"/>
      <c r="F314" s="210"/>
      <c r="G314" s="211"/>
      <c r="H314" s="210"/>
    </row>
    <row r="315" spans="3:8" ht="12.75" customHeight="1">
      <c r="C315" s="191"/>
      <c r="E315" s="210"/>
      <c r="F315" s="210"/>
      <c r="G315" s="211"/>
      <c r="H315" s="210"/>
    </row>
    <row r="316" spans="3:8" ht="12.75" customHeight="1">
      <c r="C316" s="191"/>
      <c r="E316" s="210"/>
      <c r="F316" s="210"/>
      <c r="G316" s="211"/>
      <c r="H316" s="210"/>
    </row>
    <row r="317" spans="3:8" ht="12.75" customHeight="1">
      <c r="C317" s="191"/>
      <c r="E317" s="210"/>
      <c r="F317" s="210"/>
      <c r="G317" s="211"/>
      <c r="H317" s="210"/>
    </row>
    <row r="318" spans="3:8" ht="12.75" customHeight="1">
      <c r="C318" s="191"/>
      <c r="E318" s="210"/>
      <c r="F318" s="210"/>
      <c r="G318" s="211"/>
      <c r="H318" s="210"/>
    </row>
    <row r="319" spans="3:8" ht="12.75" customHeight="1">
      <c r="C319" s="191"/>
      <c r="E319" s="210"/>
      <c r="F319" s="210"/>
      <c r="G319" s="211"/>
      <c r="H319" s="210"/>
    </row>
    <row r="320" spans="3:8" ht="12.75" customHeight="1">
      <c r="C320" s="191"/>
      <c r="E320" s="210"/>
      <c r="F320" s="210"/>
      <c r="G320" s="211"/>
      <c r="H320" s="210"/>
    </row>
    <row r="321" spans="3:8" ht="12.75" customHeight="1">
      <c r="C321" s="191"/>
      <c r="E321" s="210"/>
      <c r="F321" s="210"/>
      <c r="G321" s="211"/>
      <c r="H321" s="210"/>
    </row>
    <row r="322" spans="3:8" ht="12.75" customHeight="1">
      <c r="C322" s="191"/>
      <c r="E322" s="210"/>
      <c r="F322" s="210"/>
      <c r="G322" s="211"/>
      <c r="H322" s="210"/>
    </row>
    <row r="323" spans="3:8" ht="12.75" customHeight="1">
      <c r="C323" s="191"/>
      <c r="E323" s="210"/>
      <c r="F323" s="210"/>
      <c r="G323" s="211"/>
      <c r="H323" s="210"/>
    </row>
    <row r="324" spans="3:8" ht="12.75" customHeight="1">
      <c r="C324" s="191"/>
      <c r="E324" s="210"/>
      <c r="F324" s="210"/>
      <c r="G324" s="211"/>
      <c r="H324" s="210"/>
    </row>
    <row r="325" spans="3:8" ht="12.75" customHeight="1">
      <c r="C325" s="191"/>
      <c r="E325" s="210"/>
      <c r="F325" s="210"/>
      <c r="G325" s="211"/>
      <c r="H325" s="210"/>
    </row>
    <row r="326" spans="3:8" ht="12.75" customHeight="1">
      <c r="C326" s="191"/>
      <c r="E326" s="210"/>
      <c r="F326" s="210"/>
      <c r="G326" s="211"/>
      <c r="H326" s="210"/>
    </row>
    <row r="327" spans="3:8" ht="12.75" customHeight="1">
      <c r="C327" s="191"/>
      <c r="E327" s="210"/>
      <c r="F327" s="210"/>
      <c r="G327" s="211"/>
      <c r="H327" s="210"/>
    </row>
    <row r="328" spans="3:8" ht="12.75" customHeight="1">
      <c r="C328" s="191"/>
      <c r="E328" s="210"/>
      <c r="F328" s="210"/>
      <c r="G328" s="211"/>
      <c r="H328" s="210"/>
    </row>
    <row r="329" spans="3:8" ht="12.75" customHeight="1">
      <c r="C329" s="191"/>
      <c r="E329" s="210"/>
      <c r="F329" s="210"/>
      <c r="G329" s="211"/>
      <c r="H329" s="210"/>
    </row>
    <row r="330" spans="3:8" ht="12.75" customHeight="1">
      <c r="C330" s="191"/>
      <c r="E330" s="210"/>
      <c r="F330" s="210"/>
      <c r="G330" s="211"/>
      <c r="H330" s="210"/>
    </row>
    <row r="331" spans="3:8" ht="12.75" customHeight="1">
      <c r="C331" s="191"/>
      <c r="E331" s="210"/>
      <c r="F331" s="210"/>
      <c r="G331" s="211"/>
      <c r="H331" s="210"/>
    </row>
    <row r="332" spans="3:8" ht="12.75" customHeight="1">
      <c r="C332" s="191"/>
      <c r="E332" s="210"/>
      <c r="F332" s="210"/>
      <c r="G332" s="211"/>
      <c r="H332" s="210"/>
    </row>
    <row r="333" spans="3:8" ht="12.75" customHeight="1">
      <c r="C333" s="191"/>
      <c r="E333" s="210"/>
      <c r="F333" s="210"/>
      <c r="G333" s="211"/>
      <c r="H333" s="210"/>
    </row>
    <row r="334" spans="3:8" ht="12.75" customHeight="1">
      <c r="C334" s="191"/>
      <c r="E334" s="210"/>
      <c r="F334" s="210"/>
      <c r="G334" s="211"/>
      <c r="H334" s="210"/>
    </row>
    <row r="335" spans="3:8" ht="12.75" customHeight="1">
      <c r="C335" s="191"/>
      <c r="E335" s="210"/>
      <c r="F335" s="210"/>
      <c r="G335" s="211"/>
      <c r="H335" s="210"/>
    </row>
    <row r="336" spans="3:8" ht="12.75" customHeight="1">
      <c r="C336" s="191"/>
      <c r="E336" s="210"/>
      <c r="F336" s="210"/>
      <c r="G336" s="211"/>
      <c r="H336" s="210"/>
    </row>
    <row r="337" spans="3:8" ht="12.75" customHeight="1">
      <c r="C337" s="191"/>
      <c r="E337" s="210"/>
      <c r="F337" s="210"/>
      <c r="G337" s="211"/>
      <c r="H337" s="210"/>
    </row>
    <row r="338" spans="3:8" ht="12.75" customHeight="1">
      <c r="C338" s="191"/>
      <c r="E338" s="210"/>
      <c r="F338" s="210"/>
      <c r="G338" s="211"/>
      <c r="H338" s="210"/>
    </row>
    <row r="339" spans="3:8" ht="12.75" customHeight="1">
      <c r="C339" s="191"/>
      <c r="E339" s="210"/>
      <c r="F339" s="210"/>
      <c r="G339" s="211"/>
      <c r="H339" s="210"/>
    </row>
    <row r="340" spans="3:8" ht="12.75" customHeight="1">
      <c r="C340" s="191"/>
      <c r="E340" s="210"/>
      <c r="F340" s="210"/>
      <c r="G340" s="211"/>
      <c r="H340" s="210"/>
    </row>
    <row r="341" spans="3:8" ht="12.75" customHeight="1">
      <c r="C341" s="191"/>
      <c r="E341" s="210"/>
      <c r="F341" s="210"/>
      <c r="G341" s="211"/>
      <c r="H341" s="210"/>
    </row>
    <row r="342" spans="3:8" ht="12.75" customHeight="1">
      <c r="C342" s="191"/>
      <c r="E342" s="210"/>
      <c r="F342" s="210"/>
      <c r="G342" s="211"/>
      <c r="H342" s="210"/>
    </row>
    <row r="343" spans="3:8" ht="12.75" customHeight="1">
      <c r="C343" s="191"/>
      <c r="E343" s="210"/>
      <c r="F343" s="210"/>
      <c r="G343" s="211"/>
      <c r="H343" s="210"/>
    </row>
    <row r="344" spans="3:8" ht="12.75" customHeight="1">
      <c r="C344" s="191"/>
      <c r="E344" s="210"/>
      <c r="F344" s="210"/>
      <c r="G344" s="211"/>
      <c r="H344" s="210"/>
    </row>
    <row r="345" spans="3:8" ht="12.75" customHeight="1">
      <c r="C345" s="191"/>
      <c r="E345" s="210"/>
      <c r="F345" s="210"/>
      <c r="G345" s="211"/>
      <c r="H345" s="210"/>
    </row>
    <row r="346" spans="3:8" ht="12.75" customHeight="1">
      <c r="C346" s="191"/>
      <c r="E346" s="210"/>
      <c r="F346" s="210"/>
      <c r="G346" s="211"/>
      <c r="H346" s="210"/>
    </row>
    <row r="347" spans="3:8" ht="12.75" customHeight="1">
      <c r="C347" s="191"/>
      <c r="E347" s="210"/>
      <c r="F347" s="210"/>
      <c r="G347" s="211"/>
      <c r="H347" s="210"/>
    </row>
    <row r="348" spans="3:8" ht="12.75" customHeight="1">
      <c r="C348" s="191"/>
      <c r="E348" s="210"/>
      <c r="F348" s="210"/>
      <c r="G348" s="211"/>
      <c r="H348" s="210"/>
    </row>
    <row r="349" spans="3:8" ht="12.75" customHeight="1">
      <c r="C349" s="191"/>
      <c r="E349" s="210"/>
      <c r="F349" s="210"/>
      <c r="G349" s="211"/>
      <c r="H349" s="210"/>
    </row>
    <row r="350" spans="3:8" ht="12.75" customHeight="1">
      <c r="C350" s="191"/>
      <c r="E350" s="210"/>
      <c r="F350" s="210"/>
      <c r="G350" s="211"/>
      <c r="H350" s="210"/>
    </row>
    <row r="351" spans="3:8" ht="12.75" customHeight="1">
      <c r="C351" s="191"/>
      <c r="E351" s="210"/>
      <c r="F351" s="210"/>
      <c r="G351" s="211"/>
      <c r="H351" s="210"/>
    </row>
    <row r="352" spans="3:8" ht="12.75" customHeight="1">
      <c r="C352" s="191"/>
      <c r="E352" s="210"/>
      <c r="F352" s="210"/>
      <c r="G352" s="211"/>
      <c r="H352" s="210"/>
    </row>
    <row r="353" spans="3:8" ht="12.75" customHeight="1">
      <c r="C353" s="191"/>
      <c r="E353" s="210"/>
      <c r="F353" s="210"/>
      <c r="G353" s="211"/>
      <c r="H353" s="210"/>
    </row>
    <row r="354" spans="3:8" ht="12.75" customHeight="1">
      <c r="C354" s="191"/>
      <c r="E354" s="210"/>
      <c r="F354" s="210"/>
      <c r="G354" s="211"/>
      <c r="H354" s="210"/>
    </row>
    <row r="355" spans="3:8" ht="12.75" customHeight="1">
      <c r="C355" s="191"/>
      <c r="E355" s="210"/>
      <c r="F355" s="210"/>
      <c r="G355" s="211"/>
      <c r="H355" s="210"/>
    </row>
    <row r="356" spans="3:8" ht="12.75" customHeight="1">
      <c r="C356" s="191"/>
      <c r="E356" s="210"/>
      <c r="F356" s="210"/>
      <c r="G356" s="211"/>
      <c r="H356" s="210"/>
    </row>
    <row r="357" spans="3:8" ht="12.75" customHeight="1">
      <c r="C357" s="191"/>
      <c r="E357" s="210"/>
      <c r="F357" s="210"/>
      <c r="G357" s="211"/>
      <c r="H357" s="210"/>
    </row>
    <row r="358" spans="3:8" ht="12.75" customHeight="1">
      <c r="C358" s="191"/>
      <c r="E358" s="210"/>
      <c r="F358" s="210"/>
      <c r="G358" s="211"/>
      <c r="H358" s="210"/>
    </row>
    <row r="359" spans="3:8" ht="12.75" customHeight="1">
      <c r="C359" s="191"/>
      <c r="E359" s="210"/>
      <c r="F359" s="210"/>
      <c r="G359" s="211"/>
      <c r="H359" s="210"/>
    </row>
    <row r="360" spans="3:8" ht="12.75" customHeight="1">
      <c r="C360" s="191"/>
      <c r="E360" s="210"/>
      <c r="F360" s="210"/>
      <c r="G360" s="211"/>
      <c r="H360" s="210"/>
    </row>
    <row r="361" spans="3:8" ht="12.75" customHeight="1">
      <c r="C361" s="191"/>
      <c r="E361" s="210"/>
      <c r="F361" s="210"/>
      <c r="G361" s="211"/>
      <c r="H361" s="210"/>
    </row>
    <row r="362" spans="3:8" ht="12.75" customHeight="1">
      <c r="C362" s="191"/>
      <c r="E362" s="210"/>
      <c r="F362" s="210"/>
      <c r="G362" s="211"/>
      <c r="H362" s="210"/>
    </row>
    <row r="363" spans="3:8" ht="12.75" customHeight="1">
      <c r="C363" s="191"/>
      <c r="E363" s="210"/>
      <c r="F363" s="210"/>
      <c r="G363" s="211"/>
      <c r="H363" s="210"/>
    </row>
    <row r="364" spans="3:8" ht="12.75" customHeight="1">
      <c r="C364" s="191"/>
      <c r="E364" s="210"/>
      <c r="F364" s="210"/>
      <c r="G364" s="211"/>
      <c r="H364" s="210"/>
    </row>
    <row r="365" spans="3:8" ht="12.75" customHeight="1">
      <c r="C365" s="191"/>
      <c r="E365" s="210"/>
      <c r="F365" s="210"/>
      <c r="G365" s="211"/>
      <c r="H365" s="210"/>
    </row>
    <row r="366" spans="3:8" ht="12.75" customHeight="1">
      <c r="C366" s="191"/>
      <c r="E366" s="210"/>
      <c r="F366" s="210"/>
      <c r="G366" s="211"/>
      <c r="H366" s="210"/>
    </row>
    <row r="367" spans="3:8" ht="12.75" customHeight="1">
      <c r="C367" s="191"/>
      <c r="E367" s="210"/>
      <c r="F367" s="210"/>
      <c r="G367" s="211"/>
      <c r="H367" s="210"/>
    </row>
    <row r="368" spans="3:8" ht="12.75" customHeight="1">
      <c r="C368" s="191"/>
      <c r="E368" s="210"/>
      <c r="F368" s="210"/>
      <c r="G368" s="211"/>
      <c r="H368" s="210"/>
    </row>
    <row r="369" spans="3:8" ht="12.75" customHeight="1">
      <c r="C369" s="191"/>
      <c r="E369" s="210"/>
      <c r="F369" s="210"/>
      <c r="G369" s="211"/>
      <c r="H369" s="210"/>
    </row>
    <row r="370" spans="3:8" ht="12.75" customHeight="1">
      <c r="C370" s="191"/>
      <c r="E370" s="210"/>
      <c r="F370" s="210"/>
      <c r="G370" s="211"/>
      <c r="H370" s="210"/>
    </row>
    <row r="371" spans="3:8" ht="12.75" customHeight="1">
      <c r="C371" s="191"/>
      <c r="E371" s="210"/>
      <c r="F371" s="210"/>
      <c r="G371" s="211"/>
      <c r="H371" s="210"/>
    </row>
    <row r="372" spans="3:8" ht="12.75" customHeight="1">
      <c r="C372" s="191"/>
      <c r="E372" s="210"/>
      <c r="F372" s="210"/>
      <c r="G372" s="211"/>
      <c r="H372" s="210"/>
    </row>
    <row r="373" spans="3:8" ht="12.75" customHeight="1">
      <c r="C373" s="191"/>
      <c r="E373" s="210"/>
      <c r="F373" s="210"/>
      <c r="G373" s="211"/>
      <c r="H373" s="210"/>
    </row>
    <row r="374" spans="3:8" ht="12.75" customHeight="1">
      <c r="C374" s="191"/>
      <c r="E374" s="210"/>
      <c r="F374" s="210"/>
      <c r="G374" s="211"/>
      <c r="H374" s="210"/>
    </row>
    <row r="375" spans="3:8" ht="12.75" customHeight="1">
      <c r="C375" s="191"/>
      <c r="E375" s="210"/>
      <c r="F375" s="210"/>
      <c r="G375" s="211"/>
      <c r="H375" s="210"/>
    </row>
    <row r="376" spans="3:8" ht="12.75" customHeight="1">
      <c r="C376" s="191"/>
      <c r="E376" s="210"/>
      <c r="F376" s="210"/>
      <c r="G376" s="211"/>
      <c r="H376" s="210"/>
    </row>
    <row r="377" spans="3:8" ht="12.75" customHeight="1">
      <c r="C377" s="191"/>
      <c r="E377" s="210"/>
      <c r="F377" s="210"/>
      <c r="G377" s="211"/>
      <c r="H377" s="210"/>
    </row>
    <row r="378" spans="3:8" ht="12.75" customHeight="1">
      <c r="C378" s="191"/>
      <c r="E378" s="210"/>
      <c r="F378" s="210"/>
      <c r="G378" s="211"/>
      <c r="H378" s="210"/>
    </row>
    <row r="379" spans="3:8" ht="12.75" customHeight="1">
      <c r="C379" s="191"/>
      <c r="E379" s="210"/>
      <c r="F379" s="210"/>
      <c r="G379" s="211"/>
      <c r="H379" s="210"/>
    </row>
    <row r="380" spans="3:8" ht="12.75" customHeight="1">
      <c r="C380" s="191"/>
      <c r="E380" s="210"/>
      <c r="F380" s="210"/>
      <c r="G380" s="211"/>
      <c r="H380" s="210"/>
    </row>
    <row r="381" spans="3:8" ht="12.75" customHeight="1">
      <c r="C381" s="191"/>
      <c r="E381" s="210"/>
      <c r="F381" s="210"/>
      <c r="G381" s="211"/>
      <c r="H381" s="210"/>
    </row>
    <row r="382" spans="3:8" ht="12.75" customHeight="1">
      <c r="C382" s="191"/>
      <c r="E382" s="210"/>
      <c r="F382" s="210"/>
      <c r="G382" s="211"/>
      <c r="H382" s="210"/>
    </row>
    <row r="383" spans="3:8" ht="12.75" customHeight="1">
      <c r="C383" s="191"/>
      <c r="E383" s="210"/>
      <c r="F383" s="210"/>
      <c r="G383" s="211"/>
      <c r="H383" s="210"/>
    </row>
    <row r="384" spans="3:8" ht="12.75" customHeight="1">
      <c r="C384" s="191"/>
      <c r="E384" s="210"/>
      <c r="F384" s="210"/>
      <c r="G384" s="211"/>
      <c r="H384" s="210"/>
    </row>
    <row r="385" spans="3:8" ht="12.75" customHeight="1">
      <c r="C385" s="191"/>
      <c r="E385" s="210"/>
      <c r="F385" s="210"/>
      <c r="G385" s="211"/>
      <c r="H385" s="210"/>
    </row>
    <row r="386" spans="3:8" ht="12.75" customHeight="1">
      <c r="C386" s="191"/>
      <c r="E386" s="210"/>
      <c r="F386" s="210"/>
      <c r="G386" s="211"/>
      <c r="H386" s="210"/>
    </row>
    <row r="387" spans="3:8" ht="12.75" customHeight="1">
      <c r="C387" s="191"/>
      <c r="E387" s="210"/>
      <c r="F387" s="210"/>
      <c r="G387" s="211"/>
      <c r="H387" s="210"/>
    </row>
    <row r="388" spans="3:8" ht="12.75" customHeight="1">
      <c r="C388" s="191"/>
      <c r="E388" s="210"/>
      <c r="F388" s="210"/>
      <c r="G388" s="211"/>
      <c r="H388" s="210"/>
    </row>
    <row r="389" spans="3:8" ht="12.75" customHeight="1">
      <c r="C389" s="191"/>
      <c r="E389" s="210"/>
      <c r="F389" s="210"/>
      <c r="G389" s="211"/>
      <c r="H389" s="210"/>
    </row>
    <row r="390" spans="3:8" ht="12.75" customHeight="1">
      <c r="C390" s="191"/>
      <c r="E390" s="210"/>
      <c r="F390" s="210"/>
      <c r="G390" s="211"/>
      <c r="H390" s="210"/>
    </row>
    <row r="391" spans="3:8" ht="12.75" customHeight="1">
      <c r="C391" s="191"/>
      <c r="E391" s="210"/>
      <c r="F391" s="210"/>
      <c r="G391" s="211"/>
      <c r="H391" s="210"/>
    </row>
    <row r="392" spans="3:8" ht="12.75" customHeight="1">
      <c r="C392" s="191"/>
      <c r="E392" s="210"/>
      <c r="F392" s="210"/>
      <c r="G392" s="211"/>
      <c r="H392" s="210"/>
    </row>
    <row r="393" spans="3:8" ht="12.75" customHeight="1">
      <c r="C393" s="191"/>
      <c r="E393" s="210"/>
      <c r="F393" s="210"/>
      <c r="G393" s="211"/>
      <c r="H393" s="210"/>
    </row>
    <row r="394" spans="3:8" ht="12.75" customHeight="1">
      <c r="C394" s="191"/>
      <c r="E394" s="210"/>
      <c r="F394" s="210"/>
      <c r="G394" s="211"/>
      <c r="H394" s="210"/>
    </row>
    <row r="395" spans="3:8" ht="12.75" customHeight="1">
      <c r="C395" s="191"/>
      <c r="E395" s="210"/>
      <c r="F395" s="210"/>
      <c r="G395" s="211"/>
      <c r="H395" s="210"/>
    </row>
    <row r="396" spans="3:8" ht="12.75" customHeight="1">
      <c r="C396" s="191"/>
      <c r="E396" s="210"/>
      <c r="F396" s="210"/>
      <c r="G396" s="211"/>
      <c r="H396" s="210"/>
    </row>
    <row r="397" spans="3:8" ht="12.75" customHeight="1">
      <c r="C397" s="191"/>
      <c r="E397" s="210"/>
      <c r="F397" s="210"/>
      <c r="G397" s="211"/>
      <c r="H397" s="210"/>
    </row>
    <row r="398" spans="3:8" ht="12.75" customHeight="1">
      <c r="C398" s="191"/>
      <c r="E398" s="210"/>
      <c r="F398" s="210"/>
      <c r="G398" s="211"/>
      <c r="H398" s="210"/>
    </row>
    <row r="399" spans="3:8" ht="12.75" customHeight="1">
      <c r="C399" s="191"/>
      <c r="E399" s="210"/>
      <c r="F399" s="210"/>
      <c r="G399" s="211"/>
      <c r="H399" s="210"/>
    </row>
    <row r="400" spans="3:8" ht="12.75" customHeight="1">
      <c r="C400" s="191"/>
      <c r="E400" s="210"/>
      <c r="F400" s="210"/>
      <c r="G400" s="211"/>
      <c r="H400" s="210"/>
    </row>
    <row r="401" spans="3:8" ht="12.75" customHeight="1">
      <c r="C401" s="191"/>
      <c r="E401" s="210"/>
      <c r="F401" s="210"/>
      <c r="G401" s="211"/>
      <c r="H401" s="210"/>
    </row>
    <row r="402" spans="3:8" ht="12.75" customHeight="1">
      <c r="C402" s="191"/>
      <c r="E402" s="210"/>
      <c r="F402" s="210"/>
      <c r="G402" s="211"/>
      <c r="H402" s="210"/>
    </row>
    <row r="403" spans="3:8" ht="12.75" customHeight="1">
      <c r="C403" s="191"/>
      <c r="E403" s="210"/>
      <c r="F403" s="210"/>
      <c r="G403" s="211"/>
      <c r="H403" s="210"/>
    </row>
    <row r="404" spans="3:8" ht="12.75" customHeight="1">
      <c r="C404" s="191"/>
      <c r="E404" s="210"/>
      <c r="F404" s="210"/>
      <c r="G404" s="211"/>
      <c r="H404" s="210"/>
    </row>
    <row r="405" spans="3:8" ht="12.75" customHeight="1">
      <c r="C405" s="191"/>
      <c r="E405" s="210"/>
      <c r="F405" s="210"/>
      <c r="G405" s="211"/>
      <c r="H405" s="210"/>
    </row>
    <row r="406" spans="3:8" ht="12.75" customHeight="1">
      <c r="C406" s="191"/>
      <c r="E406" s="210"/>
      <c r="F406" s="210"/>
      <c r="G406" s="211"/>
      <c r="H406" s="210"/>
    </row>
    <row r="407" spans="3:8" ht="12.75" customHeight="1">
      <c r="C407" s="191"/>
      <c r="E407" s="210"/>
      <c r="F407" s="210"/>
      <c r="G407" s="211"/>
      <c r="H407" s="210"/>
    </row>
    <row r="408" spans="3:8" ht="12.75" customHeight="1">
      <c r="C408" s="191"/>
      <c r="E408" s="210"/>
      <c r="F408" s="210"/>
      <c r="G408" s="211"/>
      <c r="H408" s="210"/>
    </row>
    <row r="409" spans="3:8" ht="12.75" customHeight="1">
      <c r="C409" s="191"/>
      <c r="E409" s="210"/>
      <c r="F409" s="210"/>
      <c r="G409" s="211"/>
      <c r="H409" s="210"/>
    </row>
    <row r="410" spans="3:8" ht="12.75" customHeight="1">
      <c r="C410" s="191"/>
      <c r="E410" s="210"/>
      <c r="F410" s="210"/>
      <c r="G410" s="211"/>
      <c r="H410" s="210"/>
    </row>
    <row r="411" spans="3:8" ht="12.75" customHeight="1">
      <c r="C411" s="191"/>
      <c r="E411" s="210"/>
      <c r="F411" s="210"/>
      <c r="G411" s="211"/>
      <c r="H411" s="210"/>
    </row>
    <row r="412" spans="3:8" ht="12.75" customHeight="1">
      <c r="C412" s="191"/>
      <c r="E412" s="210"/>
      <c r="F412" s="210"/>
      <c r="G412" s="211"/>
      <c r="H412" s="210"/>
    </row>
    <row r="413" spans="3:8" ht="12.75" customHeight="1">
      <c r="C413" s="191"/>
      <c r="E413" s="210"/>
      <c r="F413" s="210"/>
      <c r="G413" s="211"/>
      <c r="H413" s="210"/>
    </row>
    <row r="414" spans="3:8" ht="12.75" customHeight="1">
      <c r="C414" s="191"/>
      <c r="E414" s="210"/>
      <c r="F414" s="210"/>
      <c r="G414" s="211"/>
      <c r="H414" s="210"/>
    </row>
    <row r="415" spans="3:8" ht="12.75" customHeight="1">
      <c r="C415" s="191"/>
      <c r="E415" s="210"/>
      <c r="F415" s="210"/>
      <c r="G415" s="211"/>
      <c r="H415" s="210"/>
    </row>
    <row r="416" spans="3:8" ht="12.75" customHeight="1">
      <c r="C416" s="191"/>
      <c r="E416" s="210"/>
      <c r="F416" s="210"/>
      <c r="G416" s="211"/>
      <c r="H416" s="210"/>
    </row>
    <row r="417" spans="3:8" ht="12.75" customHeight="1">
      <c r="C417" s="191"/>
      <c r="E417" s="210"/>
      <c r="F417" s="210"/>
      <c r="G417" s="211"/>
      <c r="H417" s="210"/>
    </row>
    <row r="418" spans="3:8" ht="12.75" customHeight="1">
      <c r="C418" s="191"/>
      <c r="E418" s="210"/>
      <c r="F418" s="210"/>
      <c r="G418" s="211"/>
      <c r="H418" s="210"/>
    </row>
    <row r="419" spans="3:8" ht="12.75" customHeight="1">
      <c r="C419" s="191"/>
      <c r="E419" s="210"/>
      <c r="F419" s="210"/>
      <c r="G419" s="211"/>
      <c r="H419" s="210"/>
    </row>
    <row r="420" spans="3:8" ht="12.75" customHeight="1">
      <c r="C420" s="191"/>
      <c r="E420" s="210"/>
      <c r="F420" s="210"/>
      <c r="G420" s="211"/>
      <c r="H420" s="210"/>
    </row>
    <row r="421" spans="3:8" ht="12.75" customHeight="1">
      <c r="C421" s="191"/>
      <c r="E421" s="210"/>
      <c r="F421" s="210"/>
      <c r="G421" s="211"/>
      <c r="H421" s="210"/>
    </row>
    <row r="422" spans="3:8" ht="12.75" customHeight="1">
      <c r="C422" s="191"/>
      <c r="E422" s="210"/>
      <c r="F422" s="210"/>
      <c r="G422" s="211"/>
      <c r="H422" s="210"/>
    </row>
    <row r="423" spans="3:8" ht="12.75" customHeight="1">
      <c r="C423" s="191"/>
      <c r="E423" s="210"/>
      <c r="F423" s="210"/>
      <c r="G423" s="211"/>
      <c r="H423" s="210"/>
    </row>
    <row r="424" spans="3:8" ht="12.75" customHeight="1">
      <c r="C424" s="191"/>
      <c r="E424" s="210"/>
      <c r="F424" s="210"/>
      <c r="G424" s="211"/>
      <c r="H424" s="210"/>
    </row>
    <row r="425" spans="3:8" ht="12.75" customHeight="1">
      <c r="C425" s="191"/>
      <c r="E425" s="210"/>
      <c r="F425" s="210"/>
      <c r="G425" s="211"/>
      <c r="H425" s="210"/>
    </row>
    <row r="426" spans="3:8" ht="12.75" customHeight="1">
      <c r="C426" s="191"/>
      <c r="E426" s="210"/>
      <c r="F426" s="210"/>
      <c r="G426" s="211"/>
      <c r="H426" s="210"/>
    </row>
    <row r="427" spans="3:8" ht="12.75" customHeight="1">
      <c r="C427" s="191"/>
      <c r="E427" s="210"/>
      <c r="F427" s="210"/>
      <c r="G427" s="211"/>
      <c r="H427" s="210"/>
    </row>
    <row r="428" spans="3:8" ht="12.75" customHeight="1">
      <c r="C428" s="191"/>
      <c r="E428" s="210"/>
      <c r="F428" s="210"/>
      <c r="G428" s="211"/>
      <c r="H428" s="210"/>
    </row>
    <row r="429" spans="3:8" ht="12.75" customHeight="1">
      <c r="C429" s="191"/>
      <c r="E429" s="210"/>
      <c r="F429" s="210"/>
      <c r="G429" s="211"/>
      <c r="H429" s="210"/>
    </row>
    <row r="430" spans="3:8" ht="12.75" customHeight="1">
      <c r="C430" s="191"/>
      <c r="E430" s="210"/>
      <c r="F430" s="210"/>
      <c r="G430" s="211"/>
      <c r="H430" s="210"/>
    </row>
    <row r="431" spans="3:8" ht="12.75" customHeight="1">
      <c r="C431" s="191"/>
      <c r="E431" s="210"/>
      <c r="F431" s="210"/>
      <c r="G431" s="211"/>
      <c r="H431" s="210"/>
    </row>
    <row r="432" spans="3:8" ht="12.75" customHeight="1">
      <c r="C432" s="191"/>
      <c r="E432" s="210"/>
      <c r="F432" s="210"/>
      <c r="G432" s="211"/>
      <c r="H432" s="210"/>
    </row>
    <row r="433" spans="3:8" ht="12.75" customHeight="1">
      <c r="C433" s="191"/>
      <c r="E433" s="210"/>
      <c r="F433" s="210"/>
      <c r="G433" s="211"/>
      <c r="H433" s="210"/>
    </row>
    <row r="434" spans="3:8" ht="12.75" customHeight="1">
      <c r="C434" s="191"/>
      <c r="E434" s="210"/>
      <c r="F434" s="210"/>
      <c r="G434" s="211"/>
      <c r="H434" s="210"/>
    </row>
    <row r="435" spans="3:8" ht="12.75" customHeight="1">
      <c r="C435" s="191"/>
      <c r="E435" s="210"/>
      <c r="F435" s="210"/>
      <c r="G435" s="211"/>
      <c r="H435" s="210"/>
    </row>
    <row r="436" spans="3:8" ht="12.75" customHeight="1">
      <c r="C436" s="191"/>
      <c r="E436" s="210"/>
      <c r="F436" s="210"/>
      <c r="G436" s="211"/>
      <c r="H436" s="210"/>
    </row>
    <row r="437" spans="3:8" ht="12.75" customHeight="1">
      <c r="C437" s="191"/>
      <c r="E437" s="210"/>
      <c r="F437" s="210"/>
      <c r="G437" s="211"/>
      <c r="H437" s="210"/>
    </row>
    <row r="438" spans="3:8" ht="12.75" customHeight="1">
      <c r="C438" s="191"/>
      <c r="E438" s="210"/>
      <c r="F438" s="210"/>
      <c r="G438" s="211"/>
      <c r="H438" s="210"/>
    </row>
    <row r="439" spans="3:8" ht="12.75" customHeight="1">
      <c r="C439" s="191"/>
      <c r="E439" s="210"/>
      <c r="F439" s="210"/>
      <c r="G439" s="211"/>
      <c r="H439" s="210"/>
    </row>
    <row r="440" spans="3:8" ht="12.75" customHeight="1">
      <c r="C440" s="191"/>
      <c r="E440" s="210"/>
      <c r="F440" s="210"/>
      <c r="G440" s="211"/>
      <c r="H440" s="210"/>
    </row>
    <row r="441" spans="3:8" ht="12.75" customHeight="1">
      <c r="C441" s="191"/>
      <c r="E441" s="210"/>
      <c r="F441" s="210"/>
      <c r="G441" s="211"/>
      <c r="H441" s="210"/>
    </row>
    <row r="442" spans="3:8" ht="12.75" customHeight="1">
      <c r="C442" s="191"/>
      <c r="E442" s="210"/>
      <c r="F442" s="210"/>
      <c r="G442" s="211"/>
      <c r="H442" s="210"/>
    </row>
    <row r="443" spans="3:8" ht="12.75" customHeight="1">
      <c r="C443" s="191"/>
      <c r="E443" s="210"/>
      <c r="F443" s="210"/>
      <c r="G443" s="211"/>
      <c r="H443" s="210"/>
    </row>
    <row r="444" spans="3:8" ht="12.75" customHeight="1">
      <c r="C444" s="191"/>
      <c r="E444" s="210"/>
      <c r="F444" s="210"/>
      <c r="G444" s="211"/>
      <c r="H444" s="210"/>
    </row>
    <row r="445" spans="3:8" ht="12.75" customHeight="1">
      <c r="C445" s="191"/>
      <c r="E445" s="210"/>
      <c r="F445" s="210"/>
      <c r="G445" s="211"/>
      <c r="H445" s="210"/>
    </row>
    <row r="446" spans="3:8" ht="12.75" customHeight="1">
      <c r="C446" s="191"/>
      <c r="E446" s="210"/>
      <c r="F446" s="210"/>
      <c r="G446" s="211"/>
      <c r="H446" s="210"/>
    </row>
    <row r="447" spans="3:8" ht="12.75" customHeight="1">
      <c r="C447" s="191"/>
      <c r="E447" s="210"/>
      <c r="F447" s="210"/>
      <c r="G447" s="211"/>
      <c r="H447" s="210"/>
    </row>
    <row r="448" spans="3:8" ht="12.75" customHeight="1">
      <c r="C448" s="191"/>
      <c r="E448" s="210"/>
      <c r="F448" s="210"/>
      <c r="G448" s="211"/>
      <c r="H448" s="210"/>
    </row>
    <row r="449" spans="3:8" ht="12.75" customHeight="1">
      <c r="C449" s="191"/>
      <c r="E449" s="210"/>
      <c r="F449" s="210"/>
      <c r="G449" s="211"/>
      <c r="H449" s="210"/>
    </row>
    <row r="450" spans="3:8" ht="12.75" customHeight="1">
      <c r="C450" s="191"/>
      <c r="E450" s="210"/>
      <c r="F450" s="210"/>
      <c r="G450" s="211"/>
      <c r="H450" s="210"/>
    </row>
    <row r="451" spans="3:8" ht="12.75" customHeight="1">
      <c r="C451" s="191"/>
      <c r="E451" s="210"/>
      <c r="F451" s="210"/>
      <c r="G451" s="211"/>
      <c r="H451" s="210"/>
    </row>
    <row r="452" spans="3:8" ht="12.75" customHeight="1">
      <c r="C452" s="191"/>
      <c r="E452" s="210"/>
      <c r="F452" s="210"/>
      <c r="G452" s="211"/>
      <c r="H452" s="210"/>
    </row>
    <row r="453" spans="3:8" ht="12.75" customHeight="1">
      <c r="C453" s="191"/>
      <c r="E453" s="210"/>
      <c r="F453" s="210"/>
      <c r="G453" s="211"/>
      <c r="H453" s="210"/>
    </row>
    <row r="454" spans="3:8" ht="12.75" customHeight="1">
      <c r="C454" s="191"/>
      <c r="E454" s="210"/>
      <c r="F454" s="210"/>
      <c r="G454" s="211"/>
      <c r="H454" s="210"/>
    </row>
    <row r="455" spans="3:8" ht="12.75" customHeight="1">
      <c r="C455" s="191"/>
      <c r="E455" s="210"/>
      <c r="F455" s="210"/>
      <c r="G455" s="211"/>
      <c r="H455" s="210"/>
    </row>
    <row r="456" spans="3:8" ht="12.75" customHeight="1">
      <c r="C456" s="191"/>
      <c r="E456" s="210"/>
      <c r="F456" s="210"/>
      <c r="G456" s="211"/>
      <c r="H456" s="210"/>
    </row>
    <row r="457" spans="3:8" ht="12.75" customHeight="1">
      <c r="C457" s="191"/>
      <c r="E457" s="210"/>
      <c r="F457" s="210"/>
      <c r="G457" s="211"/>
      <c r="H457" s="210"/>
    </row>
    <row r="458" spans="3:8" ht="12.75" customHeight="1">
      <c r="C458" s="191"/>
      <c r="E458" s="210"/>
      <c r="F458" s="210"/>
      <c r="G458" s="211"/>
      <c r="H458" s="210"/>
    </row>
    <row r="459" spans="3:8" ht="12.75" customHeight="1">
      <c r="C459" s="191"/>
      <c r="E459" s="210"/>
      <c r="F459" s="210"/>
      <c r="G459" s="211"/>
      <c r="H459" s="210"/>
    </row>
    <row r="460" spans="3:8" ht="12.75" customHeight="1">
      <c r="C460" s="191"/>
      <c r="E460" s="210"/>
      <c r="F460" s="210"/>
      <c r="G460" s="211"/>
      <c r="H460" s="210"/>
    </row>
    <row r="461" spans="3:8" ht="12.75" customHeight="1">
      <c r="C461" s="191"/>
      <c r="E461" s="210"/>
      <c r="F461" s="210"/>
      <c r="G461" s="211"/>
      <c r="H461" s="210"/>
    </row>
    <row r="462" spans="3:8" ht="12.75" customHeight="1">
      <c r="C462" s="191"/>
      <c r="E462" s="210"/>
      <c r="F462" s="210"/>
      <c r="G462" s="211"/>
      <c r="H462" s="210"/>
    </row>
    <row r="463" spans="3:8" ht="12.75" customHeight="1">
      <c r="C463" s="191"/>
      <c r="E463" s="210"/>
      <c r="F463" s="210"/>
      <c r="G463" s="211"/>
      <c r="H463" s="210"/>
    </row>
    <row r="464" spans="3:8" ht="12.75" customHeight="1">
      <c r="C464" s="191"/>
      <c r="E464" s="210"/>
      <c r="F464" s="210"/>
      <c r="G464" s="211"/>
      <c r="H464" s="210"/>
    </row>
    <row r="465" spans="3:8" ht="12.75" customHeight="1">
      <c r="C465" s="191"/>
      <c r="E465" s="210"/>
      <c r="F465" s="210"/>
      <c r="G465" s="211"/>
      <c r="H465" s="210"/>
    </row>
    <row r="466" spans="3:8" ht="12.75" customHeight="1">
      <c r="C466" s="191"/>
      <c r="E466" s="210"/>
      <c r="F466" s="210"/>
      <c r="G466" s="211"/>
      <c r="H466" s="210"/>
    </row>
    <row r="467" spans="3:8" ht="12.75" customHeight="1">
      <c r="C467" s="191"/>
      <c r="E467" s="210"/>
      <c r="F467" s="210"/>
      <c r="G467" s="211"/>
      <c r="H467" s="210"/>
    </row>
    <row r="468" spans="3:8" ht="12.75" customHeight="1">
      <c r="C468" s="191"/>
      <c r="E468" s="210"/>
      <c r="F468" s="210"/>
      <c r="G468" s="211"/>
      <c r="H468" s="210"/>
    </row>
    <row r="469" spans="3:8" ht="12.75" customHeight="1">
      <c r="C469" s="191"/>
      <c r="E469" s="210"/>
      <c r="F469" s="210"/>
      <c r="G469" s="211"/>
      <c r="H469" s="210"/>
    </row>
    <row r="470" spans="3:8" ht="12.75" customHeight="1">
      <c r="C470" s="191"/>
      <c r="E470" s="210"/>
      <c r="F470" s="210"/>
      <c r="G470" s="211"/>
      <c r="H470" s="210"/>
    </row>
    <row r="471" spans="3:8" ht="12.75" customHeight="1">
      <c r="C471" s="191"/>
      <c r="E471" s="210"/>
      <c r="F471" s="210"/>
      <c r="G471" s="211"/>
      <c r="H471" s="210"/>
    </row>
    <row r="472" spans="3:8" ht="12.75" customHeight="1">
      <c r="C472" s="191"/>
      <c r="E472" s="210"/>
      <c r="F472" s="210"/>
      <c r="G472" s="211"/>
      <c r="H472" s="210"/>
    </row>
    <row r="473" spans="3:8" ht="12.75" customHeight="1">
      <c r="C473" s="191"/>
      <c r="E473" s="210"/>
      <c r="F473" s="210"/>
      <c r="G473" s="211"/>
      <c r="H473" s="210"/>
    </row>
    <row r="474" spans="3:8" ht="12.75" customHeight="1">
      <c r="C474" s="191"/>
      <c r="E474" s="210"/>
      <c r="F474" s="210"/>
      <c r="G474" s="211"/>
      <c r="H474" s="210"/>
    </row>
    <row r="475" spans="3:8" ht="12.75" customHeight="1">
      <c r="C475" s="191"/>
      <c r="E475" s="210"/>
      <c r="F475" s="210"/>
      <c r="G475" s="211"/>
      <c r="H475" s="210"/>
    </row>
    <row r="476" spans="3:8" ht="12.75" customHeight="1">
      <c r="C476" s="191"/>
      <c r="E476" s="210"/>
      <c r="F476" s="210"/>
      <c r="G476" s="211"/>
      <c r="H476" s="210"/>
    </row>
    <row r="477" spans="3:8" ht="12.75" customHeight="1">
      <c r="C477" s="191"/>
      <c r="E477" s="210"/>
      <c r="F477" s="210"/>
      <c r="G477" s="211"/>
      <c r="H477" s="210"/>
    </row>
    <row r="478" spans="3:8" ht="12.75" customHeight="1">
      <c r="C478" s="191"/>
      <c r="E478" s="210"/>
      <c r="F478" s="210"/>
      <c r="G478" s="211"/>
      <c r="H478" s="210"/>
    </row>
    <row r="479" spans="3:8" ht="12.75" customHeight="1">
      <c r="C479" s="191"/>
      <c r="E479" s="210"/>
      <c r="F479" s="210"/>
      <c r="G479" s="211"/>
      <c r="H479" s="210"/>
    </row>
    <row r="480" spans="3:8" ht="12.75" customHeight="1">
      <c r="C480" s="191"/>
      <c r="E480" s="210"/>
      <c r="F480" s="210"/>
      <c r="G480" s="211"/>
      <c r="H480" s="210"/>
    </row>
    <row r="481" spans="3:8" ht="12.75" customHeight="1">
      <c r="C481" s="191"/>
      <c r="E481" s="210"/>
      <c r="F481" s="210"/>
      <c r="G481" s="211"/>
      <c r="H481" s="210"/>
    </row>
    <row r="482" spans="3:8" ht="12.75" customHeight="1">
      <c r="C482" s="191"/>
      <c r="E482" s="210"/>
      <c r="F482" s="210"/>
      <c r="G482" s="211"/>
      <c r="H482" s="210"/>
    </row>
    <row r="483" spans="3:8" ht="12.75" customHeight="1">
      <c r="C483" s="191"/>
      <c r="E483" s="210"/>
      <c r="F483" s="210"/>
      <c r="G483" s="211"/>
      <c r="H483" s="210"/>
    </row>
    <row r="484" spans="3:8" ht="12.75" customHeight="1">
      <c r="C484" s="191"/>
      <c r="E484" s="210"/>
      <c r="F484" s="210"/>
      <c r="G484" s="211"/>
      <c r="H484" s="210"/>
    </row>
    <row r="485" spans="3:8" ht="12.75" customHeight="1">
      <c r="C485" s="191"/>
      <c r="E485" s="210"/>
      <c r="F485" s="210"/>
      <c r="G485" s="211"/>
      <c r="H485" s="210"/>
    </row>
    <row r="486" spans="3:8" ht="12.75" customHeight="1">
      <c r="C486" s="191"/>
      <c r="E486" s="210"/>
      <c r="F486" s="210"/>
      <c r="G486" s="211"/>
      <c r="H486" s="210"/>
    </row>
    <row r="487" spans="3:8" ht="12.75" customHeight="1">
      <c r="C487" s="191"/>
      <c r="E487" s="210"/>
      <c r="F487" s="210"/>
      <c r="G487" s="211"/>
      <c r="H487" s="210"/>
    </row>
    <row r="488" spans="3:8" ht="12.75" customHeight="1">
      <c r="C488" s="191"/>
      <c r="E488" s="210"/>
      <c r="F488" s="210"/>
      <c r="G488" s="211"/>
      <c r="H488" s="210"/>
    </row>
    <row r="489" spans="3:8" ht="12.75" customHeight="1">
      <c r="C489" s="191"/>
      <c r="E489" s="210"/>
      <c r="F489" s="210"/>
      <c r="G489" s="211"/>
      <c r="H489" s="210"/>
    </row>
    <row r="490" spans="3:8" ht="12.75" customHeight="1">
      <c r="C490" s="191"/>
      <c r="E490" s="210"/>
      <c r="F490" s="210"/>
      <c r="G490" s="211"/>
      <c r="H490" s="210"/>
    </row>
    <row r="491" spans="3:8" ht="12.75" customHeight="1">
      <c r="C491" s="191"/>
      <c r="E491" s="210"/>
      <c r="F491" s="210"/>
      <c r="G491" s="211"/>
      <c r="H491" s="210"/>
    </row>
    <row r="492" spans="3:8" ht="12.75" customHeight="1">
      <c r="C492" s="191"/>
      <c r="E492" s="210"/>
      <c r="F492" s="210"/>
      <c r="G492" s="211"/>
      <c r="H492" s="210"/>
    </row>
    <row r="493" spans="3:8" ht="12.75" customHeight="1">
      <c r="C493" s="191"/>
      <c r="E493" s="210"/>
      <c r="F493" s="210"/>
      <c r="G493" s="211"/>
      <c r="H493" s="210"/>
    </row>
    <row r="494" spans="3:8" ht="12.75" customHeight="1">
      <c r="C494" s="191"/>
      <c r="E494" s="210"/>
      <c r="F494" s="210"/>
      <c r="G494" s="211"/>
      <c r="H494" s="210"/>
    </row>
    <row r="495" spans="3:8" ht="12.75" customHeight="1">
      <c r="C495" s="191"/>
      <c r="E495" s="210"/>
      <c r="F495" s="210"/>
      <c r="G495" s="211"/>
      <c r="H495" s="210"/>
    </row>
    <row r="496" spans="3:8" ht="12.75" customHeight="1">
      <c r="C496" s="191"/>
      <c r="E496" s="210"/>
      <c r="F496" s="210"/>
      <c r="G496" s="211"/>
      <c r="H496" s="210"/>
    </row>
    <row r="497" spans="3:8" ht="12.75" customHeight="1">
      <c r="C497" s="191"/>
      <c r="E497" s="210"/>
      <c r="F497" s="210"/>
      <c r="G497" s="211"/>
      <c r="H497" s="210"/>
    </row>
    <row r="498" spans="3:8" ht="12.75" customHeight="1">
      <c r="C498" s="191"/>
      <c r="E498" s="210"/>
      <c r="F498" s="210"/>
      <c r="G498" s="211"/>
      <c r="H498" s="210"/>
    </row>
    <row r="499" spans="3:8" ht="12.75" customHeight="1">
      <c r="C499" s="191"/>
      <c r="E499" s="210"/>
      <c r="F499" s="210"/>
      <c r="G499" s="211"/>
      <c r="H499" s="210"/>
    </row>
    <row r="500" spans="3:8" ht="12.75" customHeight="1">
      <c r="C500" s="191"/>
      <c r="E500" s="210"/>
      <c r="F500" s="210"/>
      <c r="G500" s="211"/>
      <c r="H500" s="210"/>
    </row>
    <row r="501" spans="3:8" ht="12.75" customHeight="1">
      <c r="C501" s="191"/>
      <c r="E501" s="210"/>
      <c r="F501" s="210"/>
      <c r="G501" s="211"/>
      <c r="H501" s="210"/>
    </row>
    <row r="502" spans="3:8" ht="12.75" customHeight="1">
      <c r="C502" s="191"/>
      <c r="E502" s="210"/>
      <c r="F502" s="210"/>
      <c r="G502" s="211"/>
      <c r="H502" s="210"/>
    </row>
    <row r="503" spans="3:8" ht="12.75" customHeight="1">
      <c r="C503" s="191"/>
      <c r="E503" s="210"/>
      <c r="F503" s="210"/>
      <c r="G503" s="211"/>
      <c r="H503" s="210"/>
    </row>
    <row r="504" spans="3:8" ht="12.75" customHeight="1">
      <c r="C504" s="191"/>
      <c r="E504" s="210"/>
      <c r="F504" s="210"/>
      <c r="G504" s="211"/>
      <c r="H504" s="210"/>
    </row>
    <row r="505" spans="3:8" ht="12.75" customHeight="1">
      <c r="C505" s="191"/>
      <c r="E505" s="210"/>
      <c r="F505" s="210"/>
      <c r="G505" s="211"/>
      <c r="H505" s="210"/>
    </row>
    <row r="506" spans="3:8" ht="12.75" customHeight="1">
      <c r="C506" s="191"/>
      <c r="E506" s="210"/>
      <c r="F506" s="210"/>
      <c r="G506" s="211"/>
      <c r="H506" s="210"/>
    </row>
    <row r="507" spans="3:8" ht="12.75" customHeight="1">
      <c r="C507" s="191"/>
      <c r="E507" s="210"/>
      <c r="F507" s="210"/>
      <c r="G507" s="211"/>
      <c r="H507" s="210"/>
    </row>
    <row r="508" spans="3:8" ht="12.75" customHeight="1">
      <c r="C508" s="191"/>
      <c r="E508" s="210"/>
      <c r="F508" s="210"/>
      <c r="G508" s="211"/>
      <c r="H508" s="210"/>
    </row>
    <row r="509" spans="3:8" ht="12.75" customHeight="1">
      <c r="C509" s="191"/>
      <c r="E509" s="210"/>
      <c r="F509" s="210"/>
      <c r="G509" s="211"/>
      <c r="H509" s="210"/>
    </row>
    <row r="510" spans="3:8" ht="12.75" customHeight="1">
      <c r="C510" s="191"/>
      <c r="E510" s="210"/>
      <c r="F510" s="210"/>
      <c r="G510" s="211"/>
      <c r="H510" s="210"/>
    </row>
    <row r="511" spans="3:8" ht="12.75" customHeight="1">
      <c r="C511" s="191"/>
      <c r="E511" s="210"/>
      <c r="F511" s="210"/>
      <c r="G511" s="211"/>
      <c r="H511" s="210"/>
    </row>
    <row r="512" spans="3:8" ht="12.75" customHeight="1">
      <c r="C512" s="191"/>
      <c r="E512" s="210"/>
      <c r="F512" s="210"/>
      <c r="G512" s="211"/>
      <c r="H512" s="210"/>
    </row>
    <row r="513" spans="3:8" ht="12.75" customHeight="1">
      <c r="C513" s="191"/>
      <c r="E513" s="210"/>
      <c r="F513" s="210"/>
      <c r="G513" s="211"/>
      <c r="H513" s="210"/>
    </row>
    <row r="514" spans="3:8" ht="12.75" customHeight="1">
      <c r="C514" s="191"/>
      <c r="E514" s="210"/>
      <c r="F514" s="210"/>
      <c r="G514" s="211"/>
      <c r="H514" s="210"/>
    </row>
    <row r="515" spans="3:8" ht="12.75" customHeight="1">
      <c r="C515" s="191"/>
      <c r="E515" s="210"/>
      <c r="F515" s="210"/>
      <c r="G515" s="211"/>
      <c r="H515" s="210"/>
    </row>
    <row r="516" spans="3:8" ht="12.75" customHeight="1">
      <c r="C516" s="191"/>
      <c r="E516" s="210"/>
      <c r="F516" s="210"/>
      <c r="G516" s="211"/>
      <c r="H516" s="210"/>
    </row>
    <row r="517" spans="3:8" ht="12.75" customHeight="1">
      <c r="C517" s="191"/>
      <c r="E517" s="210"/>
      <c r="F517" s="210"/>
      <c r="G517" s="211"/>
      <c r="H517" s="210"/>
    </row>
    <row r="518" spans="3:8" ht="12.75" customHeight="1">
      <c r="C518" s="191"/>
      <c r="E518" s="210"/>
      <c r="F518" s="210"/>
      <c r="G518" s="211"/>
      <c r="H518" s="210"/>
    </row>
    <row r="519" spans="3:8" ht="12.75" customHeight="1">
      <c r="C519" s="191"/>
      <c r="E519" s="210"/>
      <c r="F519" s="210"/>
      <c r="G519" s="211"/>
      <c r="H519" s="210"/>
    </row>
    <row r="520" spans="3:8" ht="12.75" customHeight="1">
      <c r="C520" s="191"/>
      <c r="E520" s="210"/>
      <c r="F520" s="210"/>
      <c r="G520" s="211"/>
      <c r="H520" s="210"/>
    </row>
    <row r="521" spans="3:8" ht="12.75" customHeight="1">
      <c r="C521" s="191"/>
      <c r="E521" s="210"/>
      <c r="F521" s="210"/>
      <c r="G521" s="211"/>
      <c r="H521" s="210"/>
    </row>
    <row r="522" spans="3:8" ht="12.75" customHeight="1">
      <c r="C522" s="191"/>
      <c r="E522" s="210"/>
      <c r="F522" s="210"/>
      <c r="G522" s="211"/>
      <c r="H522" s="210"/>
    </row>
    <row r="523" spans="3:8" ht="12.75" customHeight="1">
      <c r="C523" s="191"/>
      <c r="E523" s="210"/>
      <c r="F523" s="210"/>
      <c r="G523" s="211"/>
      <c r="H523" s="210"/>
    </row>
    <row r="524" spans="3:8" ht="12.75" customHeight="1">
      <c r="C524" s="191"/>
      <c r="E524" s="210"/>
      <c r="F524" s="210"/>
      <c r="G524" s="211"/>
      <c r="H524" s="210"/>
    </row>
    <row r="525" spans="3:8" ht="12.75" customHeight="1">
      <c r="C525" s="191"/>
      <c r="E525" s="210"/>
      <c r="F525" s="210"/>
      <c r="G525" s="211"/>
      <c r="H525" s="210"/>
    </row>
    <row r="526" spans="3:8" ht="12.75" customHeight="1">
      <c r="C526" s="191"/>
      <c r="E526" s="210"/>
      <c r="F526" s="210"/>
      <c r="G526" s="211"/>
      <c r="H526" s="210"/>
    </row>
    <row r="527" spans="3:8" ht="12.75" customHeight="1">
      <c r="C527" s="191"/>
      <c r="E527" s="210"/>
      <c r="F527" s="210"/>
      <c r="G527" s="211"/>
      <c r="H527" s="210"/>
    </row>
    <row r="528" spans="3:8" ht="12.75" customHeight="1">
      <c r="C528" s="191"/>
      <c r="E528" s="210"/>
      <c r="F528" s="210"/>
      <c r="G528" s="211"/>
      <c r="H528" s="210"/>
    </row>
    <row r="529" spans="3:8" ht="12.75" customHeight="1">
      <c r="C529" s="191"/>
      <c r="E529" s="210"/>
      <c r="F529" s="210"/>
      <c r="G529" s="211"/>
      <c r="H529" s="210"/>
    </row>
    <row r="530" spans="3:8" ht="12.75" customHeight="1">
      <c r="C530" s="191"/>
      <c r="E530" s="210"/>
      <c r="F530" s="210"/>
      <c r="G530" s="211"/>
      <c r="H530" s="210"/>
    </row>
    <row r="531" spans="3:8" ht="12.75" customHeight="1">
      <c r="C531" s="191"/>
      <c r="E531" s="210"/>
      <c r="F531" s="210"/>
      <c r="G531" s="211"/>
      <c r="H531" s="210"/>
    </row>
    <row r="532" spans="3:8" ht="12.75" customHeight="1">
      <c r="C532" s="191"/>
      <c r="E532" s="210"/>
      <c r="F532" s="210"/>
      <c r="G532" s="211"/>
      <c r="H532" s="210"/>
    </row>
    <row r="533" spans="3:8" ht="12.75" customHeight="1">
      <c r="C533" s="191"/>
      <c r="E533" s="210"/>
      <c r="F533" s="210"/>
      <c r="G533" s="211"/>
      <c r="H533" s="210"/>
    </row>
    <row r="534" spans="3:8" ht="12.75" customHeight="1">
      <c r="C534" s="191"/>
      <c r="E534" s="210"/>
      <c r="F534" s="210"/>
      <c r="G534" s="211"/>
      <c r="H534" s="210"/>
    </row>
    <row r="535" spans="3:8" ht="12.75" customHeight="1">
      <c r="C535" s="191"/>
      <c r="E535" s="210"/>
      <c r="F535" s="210"/>
      <c r="G535" s="211"/>
      <c r="H535" s="210"/>
    </row>
    <row r="536" spans="3:8" ht="12.75" customHeight="1">
      <c r="C536" s="191"/>
      <c r="E536" s="210"/>
      <c r="F536" s="210"/>
      <c r="G536" s="211"/>
      <c r="H536" s="210"/>
    </row>
    <row r="537" spans="3:8" ht="12.75" customHeight="1">
      <c r="C537" s="191"/>
      <c r="E537" s="210"/>
      <c r="F537" s="210"/>
      <c r="G537" s="211"/>
      <c r="H537" s="210"/>
    </row>
    <row r="538" spans="3:8" ht="12.75" customHeight="1">
      <c r="C538" s="191"/>
      <c r="E538" s="210"/>
      <c r="F538" s="210"/>
      <c r="G538" s="211"/>
      <c r="H538" s="210"/>
    </row>
    <row r="539" spans="3:8" ht="12.75" customHeight="1">
      <c r="C539" s="191"/>
      <c r="E539" s="210"/>
      <c r="F539" s="210"/>
      <c r="G539" s="211"/>
      <c r="H539" s="210"/>
    </row>
    <row r="540" spans="3:8" ht="12.75" customHeight="1">
      <c r="C540" s="191"/>
      <c r="E540" s="210"/>
      <c r="F540" s="210"/>
      <c r="G540" s="211"/>
      <c r="H540" s="210"/>
    </row>
    <row r="541" spans="3:8" ht="12.75" customHeight="1">
      <c r="C541" s="191"/>
      <c r="E541" s="210"/>
      <c r="F541" s="210"/>
      <c r="G541" s="211"/>
      <c r="H541" s="210"/>
    </row>
    <row r="542" spans="3:8" ht="12.75" customHeight="1">
      <c r="C542" s="191"/>
      <c r="E542" s="210"/>
      <c r="F542" s="210"/>
      <c r="G542" s="211"/>
      <c r="H542" s="210"/>
    </row>
    <row r="543" spans="3:8" ht="12.75" customHeight="1">
      <c r="C543" s="191"/>
      <c r="E543" s="210"/>
      <c r="F543" s="210"/>
      <c r="G543" s="211"/>
      <c r="H543" s="210"/>
    </row>
    <row r="544" spans="3:8" ht="12.75" customHeight="1">
      <c r="C544" s="191"/>
      <c r="E544" s="210"/>
      <c r="F544" s="210"/>
      <c r="G544" s="211"/>
      <c r="H544" s="210"/>
    </row>
    <row r="545" spans="3:8" ht="12.75" customHeight="1">
      <c r="C545" s="191"/>
      <c r="E545" s="210"/>
      <c r="F545" s="210"/>
      <c r="G545" s="211"/>
      <c r="H545" s="210"/>
    </row>
    <row r="546" spans="3:8" ht="12.75" customHeight="1">
      <c r="C546" s="191"/>
      <c r="E546" s="210"/>
      <c r="F546" s="210"/>
      <c r="G546" s="211"/>
      <c r="H546" s="210"/>
    </row>
    <row r="547" spans="3:8" ht="12.75" customHeight="1">
      <c r="C547" s="191"/>
      <c r="E547" s="210"/>
      <c r="F547" s="210"/>
      <c r="G547" s="211"/>
      <c r="H547" s="210"/>
    </row>
    <row r="548" spans="3:8" ht="12.75" customHeight="1">
      <c r="C548" s="191"/>
      <c r="E548" s="210"/>
      <c r="F548" s="210"/>
      <c r="G548" s="211"/>
      <c r="H548" s="210"/>
    </row>
    <row r="549" spans="3:8" ht="12.75" customHeight="1">
      <c r="C549" s="191"/>
      <c r="E549" s="210"/>
      <c r="F549" s="210"/>
      <c r="G549" s="211"/>
      <c r="H549" s="210"/>
    </row>
    <row r="550" spans="3:8" ht="12.75" customHeight="1">
      <c r="C550" s="191"/>
      <c r="E550" s="210"/>
      <c r="F550" s="210"/>
      <c r="G550" s="211"/>
      <c r="H550" s="210"/>
    </row>
    <row r="551" spans="3:8" ht="12.75" customHeight="1">
      <c r="C551" s="191"/>
      <c r="E551" s="210"/>
      <c r="F551" s="210"/>
      <c r="G551" s="211"/>
      <c r="H551" s="210"/>
    </row>
    <row r="552" spans="3:8" ht="12.75" customHeight="1">
      <c r="C552" s="191"/>
      <c r="E552" s="210"/>
      <c r="F552" s="210"/>
      <c r="G552" s="211"/>
      <c r="H552" s="210"/>
    </row>
    <row r="553" spans="3:8" ht="12.75" customHeight="1">
      <c r="C553" s="191"/>
      <c r="E553" s="210"/>
      <c r="F553" s="210"/>
      <c r="G553" s="211"/>
      <c r="H553" s="210"/>
    </row>
    <row r="554" spans="3:8" ht="12.75" customHeight="1">
      <c r="C554" s="191"/>
      <c r="E554" s="210"/>
      <c r="F554" s="210"/>
      <c r="G554" s="211"/>
      <c r="H554" s="210"/>
    </row>
    <row r="555" spans="3:8" ht="12.75" customHeight="1">
      <c r="C555" s="191"/>
      <c r="E555" s="210"/>
      <c r="F555" s="210"/>
      <c r="G555" s="211"/>
      <c r="H555" s="210"/>
    </row>
    <row r="556" spans="3:8" ht="12.75" customHeight="1">
      <c r="C556" s="191"/>
      <c r="E556" s="210"/>
      <c r="F556" s="210"/>
      <c r="G556" s="211"/>
      <c r="H556" s="210"/>
    </row>
    <row r="557" spans="3:8" ht="12.75" customHeight="1">
      <c r="C557" s="191"/>
      <c r="E557" s="210"/>
      <c r="F557" s="210"/>
      <c r="G557" s="211"/>
      <c r="H557" s="210"/>
    </row>
    <row r="558" spans="3:8" ht="12.75" customHeight="1">
      <c r="C558" s="191"/>
      <c r="E558" s="210"/>
      <c r="F558" s="210"/>
      <c r="G558" s="211"/>
      <c r="H558" s="210"/>
    </row>
    <row r="559" spans="3:8" ht="12.75" customHeight="1">
      <c r="C559" s="191"/>
      <c r="E559" s="210"/>
      <c r="F559" s="210"/>
      <c r="G559" s="211"/>
      <c r="H559" s="210"/>
    </row>
    <row r="560" spans="3:8" ht="12.75" customHeight="1">
      <c r="C560" s="191"/>
      <c r="E560" s="210"/>
      <c r="F560" s="210"/>
      <c r="G560" s="211"/>
      <c r="H560" s="210"/>
    </row>
    <row r="561" spans="3:8" ht="12.75" customHeight="1">
      <c r="C561" s="191"/>
      <c r="E561" s="210"/>
      <c r="F561" s="210"/>
      <c r="G561" s="211"/>
      <c r="H561" s="210"/>
    </row>
    <row r="562" spans="3:8" ht="12.75" customHeight="1">
      <c r="C562" s="191"/>
      <c r="E562" s="210"/>
      <c r="F562" s="210"/>
      <c r="G562" s="211"/>
      <c r="H562" s="210"/>
    </row>
    <row r="563" spans="3:8" ht="12.75" customHeight="1">
      <c r="C563" s="191"/>
      <c r="E563" s="210"/>
      <c r="F563" s="210"/>
      <c r="G563" s="211"/>
      <c r="H563" s="210"/>
    </row>
    <row r="564" spans="3:8" ht="12.75" customHeight="1">
      <c r="C564" s="191"/>
      <c r="E564" s="210"/>
      <c r="F564" s="210"/>
      <c r="G564" s="211"/>
      <c r="H564" s="210"/>
    </row>
    <row r="565" spans="3:8" ht="12.75" customHeight="1">
      <c r="C565" s="191"/>
      <c r="E565" s="210"/>
      <c r="F565" s="210"/>
      <c r="G565" s="211"/>
      <c r="H565" s="210"/>
    </row>
    <row r="566" spans="3:8" ht="12.75" customHeight="1">
      <c r="C566" s="191"/>
      <c r="E566" s="210"/>
      <c r="F566" s="210"/>
      <c r="G566" s="211"/>
      <c r="H566" s="210"/>
    </row>
    <row r="567" spans="3:8" ht="12.75" customHeight="1">
      <c r="C567" s="191"/>
      <c r="E567" s="210"/>
      <c r="F567" s="210"/>
      <c r="G567" s="211"/>
      <c r="H567" s="210"/>
    </row>
    <row r="568" spans="3:8" ht="12.75" customHeight="1">
      <c r="C568" s="191"/>
      <c r="E568" s="210"/>
      <c r="F568" s="210"/>
      <c r="G568" s="211"/>
      <c r="H568" s="210"/>
    </row>
    <row r="569" spans="3:8" ht="12.75" customHeight="1">
      <c r="C569" s="191"/>
      <c r="E569" s="210"/>
      <c r="F569" s="210"/>
      <c r="G569" s="211"/>
      <c r="H569" s="210"/>
    </row>
    <row r="570" spans="3:8" ht="12.75" customHeight="1">
      <c r="C570" s="191"/>
      <c r="E570" s="210"/>
      <c r="F570" s="210"/>
      <c r="G570" s="211"/>
      <c r="H570" s="210"/>
    </row>
    <row r="571" spans="3:8" ht="12.75" customHeight="1">
      <c r="C571" s="191"/>
      <c r="E571" s="210"/>
      <c r="F571" s="210"/>
      <c r="G571" s="211"/>
      <c r="H571" s="210"/>
    </row>
    <row r="572" spans="3:8" ht="12.75" customHeight="1">
      <c r="C572" s="191"/>
      <c r="E572" s="210"/>
      <c r="F572" s="210"/>
      <c r="G572" s="211"/>
      <c r="H572" s="210"/>
    </row>
    <row r="573" spans="3:8" ht="12.75" customHeight="1">
      <c r="C573" s="191"/>
      <c r="E573" s="210"/>
      <c r="F573" s="210"/>
      <c r="G573" s="211"/>
      <c r="H573" s="210"/>
    </row>
    <row r="574" spans="3:8" ht="12.75" customHeight="1">
      <c r="C574" s="191"/>
      <c r="E574" s="210"/>
      <c r="F574" s="210"/>
      <c r="G574" s="211"/>
      <c r="H574" s="210"/>
    </row>
    <row r="575" spans="3:8" ht="12.75" customHeight="1">
      <c r="C575" s="191"/>
      <c r="E575" s="210"/>
      <c r="F575" s="210"/>
      <c r="G575" s="211"/>
      <c r="H575" s="210"/>
    </row>
    <row r="576" spans="3:8" ht="12.75" customHeight="1">
      <c r="C576" s="191"/>
      <c r="E576" s="210"/>
      <c r="F576" s="210"/>
      <c r="G576" s="211"/>
      <c r="H576" s="210"/>
    </row>
    <row r="577" spans="3:8" ht="12.75" customHeight="1">
      <c r="C577" s="191"/>
      <c r="E577" s="210"/>
      <c r="F577" s="210"/>
      <c r="G577" s="211"/>
      <c r="H577" s="210"/>
    </row>
    <row r="578" spans="3:8" ht="12.75" customHeight="1">
      <c r="C578" s="191"/>
      <c r="E578" s="210"/>
      <c r="F578" s="210"/>
      <c r="G578" s="211"/>
      <c r="H578" s="210"/>
    </row>
    <row r="579" spans="3:8" ht="12.75" customHeight="1">
      <c r="C579" s="191"/>
      <c r="E579" s="210"/>
      <c r="F579" s="210"/>
      <c r="G579" s="211"/>
      <c r="H579" s="210"/>
    </row>
    <row r="580" spans="3:8" ht="12.75" customHeight="1">
      <c r="C580" s="191"/>
      <c r="E580" s="210"/>
      <c r="F580" s="210"/>
      <c r="G580" s="211"/>
      <c r="H580" s="210"/>
    </row>
    <row r="581" spans="3:8" ht="12.75" customHeight="1">
      <c r="C581" s="191"/>
      <c r="E581" s="210"/>
      <c r="F581" s="210"/>
      <c r="G581" s="211"/>
      <c r="H581" s="210"/>
    </row>
    <row r="582" spans="3:8" ht="12.75" customHeight="1">
      <c r="C582" s="191"/>
      <c r="E582" s="210"/>
      <c r="F582" s="210"/>
      <c r="G582" s="211"/>
      <c r="H582" s="210"/>
    </row>
    <row r="583" spans="3:8" ht="12.75" customHeight="1">
      <c r="C583" s="191"/>
      <c r="E583" s="210"/>
      <c r="F583" s="210"/>
      <c r="G583" s="211"/>
      <c r="H583" s="210"/>
    </row>
    <row r="584" spans="3:8" ht="12.75" customHeight="1">
      <c r="C584" s="191"/>
      <c r="E584" s="210"/>
      <c r="F584" s="210"/>
      <c r="G584" s="211"/>
      <c r="H584" s="210"/>
    </row>
    <row r="585" spans="3:8" ht="12.75" customHeight="1">
      <c r="C585" s="191"/>
      <c r="E585" s="210"/>
      <c r="F585" s="210"/>
      <c r="G585" s="211"/>
      <c r="H585" s="210"/>
    </row>
    <row r="586" spans="3:8" ht="12.75" customHeight="1">
      <c r="C586" s="191"/>
      <c r="E586" s="210"/>
      <c r="F586" s="210"/>
      <c r="G586" s="211"/>
      <c r="H586" s="210"/>
    </row>
    <row r="587" spans="3:8" ht="12.75" customHeight="1">
      <c r="C587" s="191"/>
      <c r="E587" s="210"/>
      <c r="F587" s="210"/>
      <c r="G587" s="211"/>
      <c r="H587" s="210"/>
    </row>
    <row r="588" spans="3:8" ht="12.75" customHeight="1">
      <c r="C588" s="191"/>
      <c r="E588" s="210"/>
      <c r="F588" s="210"/>
      <c r="G588" s="211"/>
      <c r="H588" s="210"/>
    </row>
    <row r="589" spans="3:8" ht="12.75" customHeight="1">
      <c r="C589" s="191"/>
      <c r="E589" s="210"/>
      <c r="F589" s="210"/>
      <c r="G589" s="211"/>
      <c r="H589" s="210"/>
    </row>
    <row r="590" spans="3:8" ht="12.75" customHeight="1">
      <c r="C590" s="191"/>
      <c r="E590" s="210"/>
      <c r="F590" s="210"/>
      <c r="G590" s="211"/>
      <c r="H590" s="210"/>
    </row>
    <row r="591" spans="3:8" ht="12.75" customHeight="1">
      <c r="C591" s="191"/>
      <c r="E591" s="210"/>
      <c r="F591" s="210"/>
      <c r="G591" s="211"/>
      <c r="H591" s="210"/>
    </row>
    <row r="592" spans="3:8" ht="12.75" customHeight="1">
      <c r="C592" s="191"/>
      <c r="E592" s="210"/>
      <c r="F592" s="210"/>
      <c r="G592" s="211"/>
      <c r="H592" s="210"/>
    </row>
    <row r="593" spans="3:8" ht="12.75" customHeight="1">
      <c r="C593" s="191"/>
      <c r="E593" s="210"/>
      <c r="F593" s="210"/>
      <c r="G593" s="211"/>
      <c r="H593" s="210"/>
    </row>
    <row r="594" spans="3:8" ht="12.75" customHeight="1">
      <c r="C594" s="191"/>
      <c r="E594" s="210"/>
      <c r="F594" s="210"/>
      <c r="G594" s="211"/>
      <c r="H594" s="210"/>
    </row>
    <row r="595" spans="3:8" ht="12.75" customHeight="1">
      <c r="C595" s="191"/>
      <c r="E595" s="210"/>
      <c r="F595" s="210"/>
      <c r="G595" s="211"/>
      <c r="H595" s="210"/>
    </row>
    <row r="596" spans="3:8" ht="12.75" customHeight="1">
      <c r="C596" s="191"/>
      <c r="E596" s="210"/>
      <c r="F596" s="210"/>
      <c r="G596" s="211"/>
      <c r="H596" s="210"/>
    </row>
    <row r="597" spans="3:8" ht="12.75" customHeight="1">
      <c r="C597" s="191"/>
      <c r="E597" s="210"/>
      <c r="F597" s="210"/>
      <c r="G597" s="211"/>
      <c r="H597" s="210"/>
    </row>
    <row r="598" spans="3:8" ht="12.75" customHeight="1">
      <c r="C598" s="191"/>
      <c r="E598" s="210"/>
      <c r="F598" s="210"/>
      <c r="G598" s="211"/>
      <c r="H598" s="210"/>
    </row>
    <row r="599" spans="3:8" ht="12.75" customHeight="1">
      <c r="C599" s="191"/>
      <c r="E599" s="210"/>
      <c r="F599" s="210"/>
      <c r="G599" s="211"/>
      <c r="H599" s="210"/>
    </row>
    <row r="600" spans="3:8" ht="12.75" customHeight="1">
      <c r="C600" s="191"/>
      <c r="E600" s="210"/>
      <c r="F600" s="210"/>
      <c r="G600" s="211"/>
      <c r="H600" s="210"/>
    </row>
    <row r="601" spans="3:8" ht="12.75" customHeight="1">
      <c r="C601" s="191"/>
      <c r="E601" s="210"/>
      <c r="F601" s="210"/>
      <c r="G601" s="211"/>
      <c r="H601" s="210"/>
    </row>
    <row r="602" spans="3:8" ht="12.75" customHeight="1">
      <c r="C602" s="191"/>
      <c r="E602" s="210"/>
      <c r="F602" s="210"/>
      <c r="G602" s="211"/>
      <c r="H602" s="210"/>
    </row>
    <row r="603" spans="3:8" ht="12.75" customHeight="1">
      <c r="C603" s="191"/>
      <c r="E603" s="210"/>
      <c r="F603" s="210"/>
      <c r="G603" s="211"/>
      <c r="H603" s="210"/>
    </row>
    <row r="604" spans="3:8" ht="12.75" customHeight="1">
      <c r="C604" s="191"/>
      <c r="E604" s="210"/>
      <c r="F604" s="210"/>
      <c r="G604" s="211"/>
      <c r="H604" s="210"/>
    </row>
    <row r="605" spans="3:8" ht="12.75" customHeight="1">
      <c r="C605" s="191"/>
      <c r="E605" s="210"/>
      <c r="F605" s="210"/>
      <c r="G605" s="211"/>
      <c r="H605" s="210"/>
    </row>
    <row r="606" spans="3:8" ht="12.75" customHeight="1">
      <c r="C606" s="191"/>
      <c r="E606" s="210"/>
      <c r="F606" s="210"/>
      <c r="G606" s="211"/>
      <c r="H606" s="210"/>
    </row>
    <row r="607" spans="3:8" ht="12.75" customHeight="1">
      <c r="C607" s="191"/>
      <c r="E607" s="210"/>
      <c r="F607" s="210"/>
      <c r="G607" s="211"/>
      <c r="H607" s="210"/>
    </row>
    <row r="608" spans="3:8" ht="12.75" customHeight="1">
      <c r="C608" s="191"/>
      <c r="E608" s="210"/>
      <c r="F608" s="210"/>
      <c r="G608" s="211"/>
      <c r="H608" s="210"/>
    </row>
    <row r="609" spans="3:8" ht="12.75" customHeight="1">
      <c r="C609" s="191"/>
      <c r="E609" s="210"/>
      <c r="F609" s="210"/>
      <c r="G609" s="211"/>
      <c r="H609" s="210"/>
    </row>
    <row r="610" spans="3:8" ht="12.75" customHeight="1">
      <c r="C610" s="191"/>
      <c r="E610" s="210"/>
      <c r="F610" s="210"/>
      <c r="G610" s="211"/>
      <c r="H610" s="210"/>
    </row>
    <row r="611" spans="3:8" ht="12.75" customHeight="1">
      <c r="C611" s="191"/>
      <c r="E611" s="210"/>
      <c r="F611" s="210"/>
      <c r="G611" s="211"/>
      <c r="H611" s="210"/>
    </row>
    <row r="612" spans="3:8" ht="12.75" customHeight="1">
      <c r="C612" s="191"/>
      <c r="E612" s="210"/>
      <c r="F612" s="210"/>
      <c r="G612" s="211"/>
      <c r="H612" s="210"/>
    </row>
    <row r="613" spans="3:8" ht="12.75" customHeight="1">
      <c r="C613" s="191"/>
      <c r="E613" s="210"/>
      <c r="F613" s="210"/>
      <c r="G613" s="211"/>
      <c r="H613" s="210"/>
    </row>
    <row r="614" spans="3:8" ht="12.75" customHeight="1">
      <c r="C614" s="191"/>
      <c r="E614" s="210"/>
      <c r="F614" s="210"/>
      <c r="G614" s="211"/>
      <c r="H614" s="210"/>
    </row>
    <row r="615" spans="3:8" ht="12.75" customHeight="1">
      <c r="C615" s="191"/>
      <c r="E615" s="210"/>
      <c r="F615" s="210"/>
      <c r="G615" s="211"/>
      <c r="H615" s="210"/>
    </row>
    <row r="616" spans="3:8" ht="12.75" customHeight="1">
      <c r="C616" s="191"/>
      <c r="E616" s="210"/>
      <c r="F616" s="210"/>
      <c r="G616" s="211"/>
      <c r="H616" s="210"/>
    </row>
    <row r="617" spans="3:8" ht="12.75" customHeight="1">
      <c r="C617" s="191"/>
      <c r="E617" s="210"/>
      <c r="F617" s="210"/>
      <c r="G617" s="211"/>
      <c r="H617" s="210"/>
    </row>
    <row r="618" spans="3:8" ht="12.75" customHeight="1">
      <c r="C618" s="191"/>
      <c r="E618" s="210"/>
      <c r="F618" s="210"/>
      <c r="G618" s="211"/>
      <c r="H618" s="210"/>
    </row>
    <row r="619" spans="3:8" ht="12.75" customHeight="1">
      <c r="C619" s="191"/>
      <c r="E619" s="210"/>
      <c r="F619" s="210"/>
      <c r="G619" s="211"/>
      <c r="H619" s="210"/>
    </row>
    <row r="620" spans="3:8" ht="12.75" customHeight="1">
      <c r="C620" s="191"/>
      <c r="E620" s="210"/>
      <c r="F620" s="210"/>
      <c r="G620" s="211"/>
      <c r="H620" s="210"/>
    </row>
    <row r="621" spans="3:8" ht="12.75" customHeight="1">
      <c r="C621" s="191"/>
      <c r="E621" s="210"/>
      <c r="F621" s="210"/>
      <c r="G621" s="211"/>
      <c r="H621" s="210"/>
    </row>
    <row r="622" spans="3:8" ht="12.75" customHeight="1">
      <c r="C622" s="191"/>
      <c r="E622" s="210"/>
      <c r="F622" s="210"/>
      <c r="G622" s="211"/>
      <c r="H622" s="210"/>
    </row>
    <row r="623" spans="3:8" ht="12.75" customHeight="1">
      <c r="C623" s="191"/>
      <c r="E623" s="210"/>
      <c r="F623" s="210"/>
      <c r="G623" s="211"/>
      <c r="H623" s="210"/>
    </row>
    <row r="624" spans="3:8" ht="12.75" customHeight="1">
      <c r="C624" s="191"/>
      <c r="E624" s="210"/>
      <c r="F624" s="210"/>
      <c r="G624" s="211"/>
      <c r="H624" s="210"/>
    </row>
    <row r="625" spans="3:8" ht="12.75" customHeight="1">
      <c r="C625" s="191"/>
      <c r="E625" s="210"/>
      <c r="F625" s="210"/>
      <c r="G625" s="211"/>
      <c r="H625" s="210"/>
    </row>
    <row r="626" spans="3:8" ht="12.75" customHeight="1">
      <c r="C626" s="191"/>
      <c r="E626" s="210"/>
      <c r="F626" s="210"/>
      <c r="G626" s="211"/>
      <c r="H626" s="210"/>
    </row>
    <row r="627" spans="3:8" ht="12.75" customHeight="1">
      <c r="C627" s="191"/>
      <c r="E627" s="210"/>
      <c r="F627" s="210"/>
      <c r="G627" s="211"/>
      <c r="H627" s="210"/>
    </row>
    <row r="628" spans="3:8" ht="12.75" customHeight="1">
      <c r="C628" s="191"/>
      <c r="E628" s="210"/>
      <c r="F628" s="210"/>
      <c r="G628" s="211"/>
      <c r="H628" s="210"/>
    </row>
    <row r="629" spans="3:8" ht="12.75" customHeight="1">
      <c r="C629" s="191"/>
      <c r="E629" s="210"/>
      <c r="F629" s="210"/>
      <c r="G629" s="211"/>
      <c r="H629" s="210"/>
    </row>
    <row r="630" spans="3:8" ht="12.75" customHeight="1">
      <c r="C630" s="191"/>
      <c r="E630" s="210"/>
      <c r="F630" s="210"/>
      <c r="G630" s="211"/>
      <c r="H630" s="210"/>
    </row>
    <row r="631" spans="3:8" ht="12.75" customHeight="1">
      <c r="C631" s="191"/>
      <c r="E631" s="210"/>
      <c r="F631" s="210"/>
      <c r="G631" s="211"/>
      <c r="H631" s="210"/>
    </row>
    <row r="632" spans="3:8" ht="12.75" customHeight="1">
      <c r="C632" s="191"/>
      <c r="E632" s="210"/>
      <c r="F632" s="210"/>
      <c r="G632" s="211"/>
      <c r="H632" s="210"/>
    </row>
    <row r="633" spans="3:8" ht="12.75" customHeight="1">
      <c r="C633" s="191"/>
      <c r="E633" s="210"/>
      <c r="F633" s="210"/>
      <c r="G633" s="211"/>
      <c r="H633" s="210"/>
    </row>
    <row r="634" spans="3:8" ht="12.75" customHeight="1">
      <c r="C634" s="191"/>
      <c r="E634" s="210"/>
      <c r="F634" s="210"/>
      <c r="G634" s="211"/>
      <c r="H634" s="210"/>
    </row>
    <row r="635" spans="3:8" ht="12.75" customHeight="1">
      <c r="C635" s="191"/>
      <c r="E635" s="210"/>
      <c r="F635" s="210"/>
      <c r="G635" s="211"/>
      <c r="H635" s="210"/>
    </row>
    <row r="636" spans="3:8" ht="12.75" customHeight="1">
      <c r="C636" s="191"/>
      <c r="E636" s="210"/>
      <c r="F636" s="210"/>
      <c r="G636" s="211"/>
      <c r="H636" s="210"/>
    </row>
    <row r="637" spans="3:8" ht="12.75" customHeight="1">
      <c r="C637" s="191"/>
      <c r="E637" s="210"/>
      <c r="F637" s="210"/>
      <c r="G637" s="211"/>
      <c r="H637" s="210"/>
    </row>
    <row r="638" spans="3:8" ht="12.75" customHeight="1">
      <c r="C638" s="191"/>
      <c r="E638" s="210"/>
      <c r="F638" s="210"/>
      <c r="G638" s="211"/>
      <c r="H638" s="210"/>
    </row>
    <row r="639" spans="3:8" ht="12.75" customHeight="1">
      <c r="C639" s="191"/>
      <c r="E639" s="210"/>
      <c r="F639" s="210"/>
      <c r="G639" s="211"/>
      <c r="H639" s="210"/>
    </row>
    <row r="640" spans="3:8" ht="12.75" customHeight="1">
      <c r="C640" s="191"/>
      <c r="E640" s="210"/>
      <c r="F640" s="210"/>
      <c r="G640" s="211"/>
      <c r="H640" s="210"/>
    </row>
    <row r="641" spans="3:8" ht="12.75" customHeight="1">
      <c r="C641" s="191"/>
      <c r="E641" s="210"/>
      <c r="F641" s="210"/>
      <c r="G641" s="211"/>
      <c r="H641" s="210"/>
    </row>
    <row r="642" spans="3:8" ht="12.75" customHeight="1">
      <c r="C642" s="191"/>
      <c r="E642" s="210"/>
      <c r="F642" s="210"/>
      <c r="G642" s="211"/>
      <c r="H642" s="210"/>
    </row>
    <row r="643" spans="3:8" ht="12.75" customHeight="1">
      <c r="C643" s="191"/>
      <c r="E643" s="210"/>
      <c r="F643" s="210"/>
      <c r="G643" s="211"/>
      <c r="H643" s="210"/>
    </row>
    <row r="644" spans="3:8" ht="12.75" customHeight="1">
      <c r="C644" s="191"/>
      <c r="E644" s="210"/>
      <c r="F644" s="210"/>
      <c r="G644" s="211"/>
      <c r="H644" s="210"/>
    </row>
    <row r="645" spans="3:8" ht="12.75" customHeight="1">
      <c r="C645" s="191"/>
      <c r="E645" s="210"/>
      <c r="F645" s="210"/>
      <c r="G645" s="211"/>
      <c r="H645" s="210"/>
    </row>
    <row r="646" spans="3:8" ht="12.75" customHeight="1">
      <c r="C646" s="191"/>
      <c r="E646" s="210"/>
      <c r="F646" s="210"/>
      <c r="G646" s="211"/>
      <c r="H646" s="210"/>
    </row>
    <row r="647" spans="3:8" ht="12.75" customHeight="1">
      <c r="C647" s="191"/>
      <c r="E647" s="210"/>
      <c r="F647" s="210"/>
      <c r="G647" s="211"/>
      <c r="H647" s="210"/>
    </row>
    <row r="648" spans="3:8" ht="12.75" customHeight="1">
      <c r="C648" s="191"/>
      <c r="E648" s="210"/>
      <c r="F648" s="210"/>
      <c r="G648" s="211"/>
      <c r="H648" s="210"/>
    </row>
    <row r="649" spans="3:8" ht="12.75" customHeight="1">
      <c r="C649" s="191"/>
      <c r="E649" s="210"/>
      <c r="F649" s="210"/>
      <c r="G649" s="211"/>
      <c r="H649" s="210"/>
    </row>
    <row r="650" spans="3:8" ht="12.75" customHeight="1">
      <c r="C650" s="191"/>
      <c r="E650" s="210"/>
      <c r="F650" s="210"/>
      <c r="G650" s="211"/>
      <c r="H650" s="210"/>
    </row>
    <row r="651" spans="3:8" ht="12.75" customHeight="1">
      <c r="C651" s="191"/>
      <c r="E651" s="210"/>
      <c r="F651" s="210"/>
      <c r="G651" s="211"/>
      <c r="H651" s="210"/>
    </row>
    <row r="652" spans="3:8" ht="12.75" customHeight="1">
      <c r="C652" s="191"/>
      <c r="E652" s="210"/>
      <c r="F652" s="210"/>
      <c r="G652" s="211"/>
      <c r="H652" s="210"/>
    </row>
    <row r="653" spans="3:8" ht="12.75" customHeight="1">
      <c r="C653" s="191"/>
      <c r="E653" s="210"/>
      <c r="F653" s="210"/>
      <c r="G653" s="211"/>
      <c r="H653" s="210"/>
    </row>
    <row r="654" spans="3:8" ht="12.75" customHeight="1">
      <c r="C654" s="191"/>
      <c r="E654" s="210"/>
      <c r="F654" s="210"/>
      <c r="G654" s="211"/>
      <c r="H654" s="210"/>
    </row>
    <row r="655" spans="3:8" ht="12.75" customHeight="1">
      <c r="C655" s="191"/>
      <c r="E655" s="210"/>
      <c r="F655" s="210"/>
      <c r="G655" s="211"/>
      <c r="H655" s="210"/>
    </row>
    <row r="656" spans="3:8" ht="12.75" customHeight="1">
      <c r="C656" s="191"/>
      <c r="E656" s="210"/>
      <c r="F656" s="210"/>
      <c r="G656" s="211"/>
      <c r="H656" s="210"/>
    </row>
    <row r="657" spans="3:8" ht="12.75" customHeight="1">
      <c r="C657" s="191"/>
      <c r="E657" s="210"/>
      <c r="F657" s="210"/>
      <c r="G657" s="211"/>
      <c r="H657" s="210"/>
    </row>
    <row r="658" spans="3:8" ht="12.75" customHeight="1">
      <c r="C658" s="191"/>
      <c r="E658" s="210"/>
      <c r="F658" s="210"/>
      <c r="G658" s="211"/>
      <c r="H658" s="210"/>
    </row>
    <row r="659" spans="3:8" ht="12.75" customHeight="1">
      <c r="C659" s="191"/>
      <c r="E659" s="210"/>
      <c r="F659" s="210"/>
      <c r="G659" s="211"/>
      <c r="H659" s="210"/>
    </row>
    <row r="660" spans="3:8" ht="12.75" customHeight="1">
      <c r="C660" s="191"/>
      <c r="E660" s="210"/>
      <c r="F660" s="210"/>
      <c r="G660" s="211"/>
      <c r="H660" s="210"/>
    </row>
    <row r="661" spans="3:8" ht="12.75" customHeight="1">
      <c r="C661" s="191"/>
      <c r="E661" s="210"/>
      <c r="F661" s="210"/>
      <c r="G661" s="211"/>
      <c r="H661" s="210"/>
    </row>
    <row r="662" spans="3:8" ht="12.75" customHeight="1">
      <c r="C662" s="191"/>
      <c r="E662" s="210"/>
      <c r="F662" s="210"/>
      <c r="G662" s="211"/>
      <c r="H662" s="210"/>
    </row>
    <row r="663" spans="3:8" ht="12.75" customHeight="1">
      <c r="C663" s="191"/>
      <c r="E663" s="210"/>
      <c r="F663" s="210"/>
      <c r="G663" s="211"/>
      <c r="H663" s="210"/>
    </row>
    <row r="664" spans="3:8" ht="12.75" customHeight="1">
      <c r="C664" s="191"/>
      <c r="E664" s="210"/>
      <c r="F664" s="210"/>
      <c r="G664" s="211"/>
      <c r="H664" s="210"/>
    </row>
    <row r="665" spans="3:8" ht="12.75" customHeight="1">
      <c r="C665" s="191"/>
      <c r="E665" s="210"/>
      <c r="F665" s="210"/>
      <c r="G665" s="211"/>
      <c r="H665" s="210"/>
    </row>
    <row r="666" spans="3:8" ht="12.75" customHeight="1">
      <c r="C666" s="191"/>
      <c r="E666" s="210"/>
      <c r="F666" s="210"/>
      <c r="G666" s="211"/>
      <c r="H666" s="210"/>
    </row>
    <row r="667" spans="3:8" ht="12.75" customHeight="1">
      <c r="C667" s="191"/>
      <c r="E667" s="210"/>
      <c r="F667" s="210"/>
      <c r="G667" s="211"/>
      <c r="H667" s="210"/>
    </row>
    <row r="668" spans="3:8" ht="12.75" customHeight="1">
      <c r="C668" s="191"/>
      <c r="E668" s="210"/>
      <c r="F668" s="210"/>
      <c r="G668" s="211"/>
      <c r="H668" s="210"/>
    </row>
    <row r="669" spans="3:8" ht="12.75" customHeight="1">
      <c r="C669" s="191"/>
      <c r="E669" s="210"/>
      <c r="F669" s="210"/>
      <c r="G669" s="211"/>
      <c r="H669" s="210"/>
    </row>
    <row r="670" spans="3:8" ht="12.75" customHeight="1">
      <c r="C670" s="191"/>
      <c r="E670" s="210"/>
      <c r="F670" s="210"/>
      <c r="G670" s="211"/>
      <c r="H670" s="210"/>
    </row>
    <row r="671" spans="3:8" ht="12.75" customHeight="1">
      <c r="C671" s="191"/>
      <c r="E671" s="210"/>
      <c r="F671" s="210"/>
      <c r="G671" s="211"/>
      <c r="H671" s="210"/>
    </row>
    <row r="672" spans="3:8" ht="12.75" customHeight="1">
      <c r="C672" s="191"/>
      <c r="E672" s="210"/>
      <c r="F672" s="210"/>
      <c r="G672" s="211"/>
      <c r="H672" s="210"/>
    </row>
    <row r="673" spans="3:8" ht="12.75" customHeight="1">
      <c r="C673" s="191"/>
      <c r="E673" s="210"/>
      <c r="F673" s="210"/>
      <c r="G673" s="211"/>
      <c r="H673" s="210"/>
    </row>
    <row r="674" spans="3:8" ht="12.75" customHeight="1">
      <c r="C674" s="191"/>
      <c r="E674" s="210"/>
      <c r="F674" s="210"/>
      <c r="G674" s="211"/>
      <c r="H674" s="210"/>
    </row>
    <row r="675" spans="3:8" ht="12.75" customHeight="1">
      <c r="C675" s="191"/>
      <c r="E675" s="210"/>
      <c r="F675" s="210"/>
      <c r="G675" s="211"/>
      <c r="H675" s="210"/>
    </row>
    <row r="676" spans="3:8" ht="12.75" customHeight="1">
      <c r="C676" s="191"/>
      <c r="E676" s="210"/>
      <c r="F676" s="210"/>
      <c r="G676" s="211"/>
      <c r="H676" s="210"/>
    </row>
    <row r="677" spans="3:8" ht="12.75" customHeight="1">
      <c r="C677" s="191"/>
      <c r="E677" s="210"/>
      <c r="F677" s="210"/>
      <c r="G677" s="211"/>
      <c r="H677" s="210"/>
    </row>
    <row r="678" spans="3:8" ht="12.75" customHeight="1">
      <c r="C678" s="191"/>
      <c r="E678" s="210"/>
      <c r="F678" s="210"/>
      <c r="G678" s="211"/>
      <c r="H678" s="210"/>
    </row>
    <row r="679" spans="3:8" ht="12.75" customHeight="1">
      <c r="C679" s="191"/>
      <c r="E679" s="210"/>
      <c r="F679" s="210"/>
      <c r="G679" s="211"/>
      <c r="H679" s="210"/>
    </row>
    <row r="680" spans="3:8" ht="12.75" customHeight="1">
      <c r="C680" s="191"/>
      <c r="E680" s="210"/>
      <c r="F680" s="210"/>
      <c r="G680" s="211"/>
      <c r="H680" s="210"/>
    </row>
    <row r="681" spans="3:8" ht="12.75" customHeight="1">
      <c r="C681" s="191"/>
      <c r="E681" s="210"/>
      <c r="F681" s="210"/>
      <c r="G681" s="211"/>
      <c r="H681" s="210"/>
    </row>
    <row r="682" spans="3:8" ht="12.75" customHeight="1">
      <c r="C682" s="191"/>
      <c r="E682" s="210"/>
      <c r="F682" s="210"/>
      <c r="G682" s="211"/>
      <c r="H682" s="210"/>
    </row>
    <row r="683" spans="3:8" ht="12.75" customHeight="1">
      <c r="C683" s="191"/>
      <c r="E683" s="210"/>
      <c r="F683" s="210"/>
      <c r="G683" s="211"/>
      <c r="H683" s="210"/>
    </row>
    <row r="684" spans="3:8" ht="12.75" customHeight="1">
      <c r="C684" s="191"/>
      <c r="E684" s="210"/>
      <c r="F684" s="210"/>
      <c r="G684" s="211"/>
      <c r="H684" s="210"/>
    </row>
    <row r="685" spans="3:8" ht="12.75" customHeight="1">
      <c r="C685" s="191"/>
      <c r="E685" s="210"/>
      <c r="F685" s="210"/>
      <c r="G685" s="211"/>
      <c r="H685" s="210"/>
    </row>
    <row r="686" spans="3:8" ht="12.75" customHeight="1">
      <c r="C686" s="191"/>
      <c r="E686" s="210"/>
      <c r="F686" s="210"/>
      <c r="G686" s="211"/>
      <c r="H686" s="210"/>
    </row>
    <row r="687" spans="3:8" ht="12.75" customHeight="1">
      <c r="C687" s="191"/>
      <c r="E687" s="210"/>
      <c r="F687" s="210"/>
      <c r="G687" s="211"/>
      <c r="H687" s="210"/>
    </row>
    <row r="688" spans="3:8" ht="12.75" customHeight="1">
      <c r="C688" s="191"/>
      <c r="E688" s="210"/>
      <c r="F688" s="210"/>
      <c r="G688" s="211"/>
      <c r="H688" s="210"/>
    </row>
    <row r="689" spans="3:8" ht="12.75" customHeight="1">
      <c r="C689" s="191"/>
      <c r="E689" s="210"/>
      <c r="F689" s="210"/>
      <c r="G689" s="211"/>
      <c r="H689" s="210"/>
    </row>
    <row r="690" spans="3:8" ht="12.75" customHeight="1">
      <c r="C690" s="191"/>
      <c r="E690" s="210"/>
      <c r="F690" s="210"/>
      <c r="G690" s="211"/>
      <c r="H690" s="210"/>
    </row>
    <row r="691" spans="3:8" ht="12.75" customHeight="1">
      <c r="C691" s="191"/>
      <c r="E691" s="210"/>
      <c r="F691" s="210"/>
      <c r="G691" s="211"/>
      <c r="H691" s="210"/>
    </row>
    <row r="692" spans="3:8" ht="12.75" customHeight="1">
      <c r="C692" s="191"/>
      <c r="E692" s="210"/>
      <c r="F692" s="210"/>
      <c r="G692" s="211"/>
      <c r="H692" s="210"/>
    </row>
    <row r="693" spans="3:8" ht="12.75" customHeight="1">
      <c r="C693" s="191"/>
      <c r="E693" s="210"/>
      <c r="F693" s="210"/>
      <c r="G693" s="211"/>
      <c r="H693" s="210"/>
    </row>
    <row r="694" spans="3:8" ht="12.75" customHeight="1">
      <c r="C694" s="191"/>
      <c r="E694" s="210"/>
      <c r="F694" s="210"/>
      <c r="G694" s="211"/>
      <c r="H694" s="210"/>
    </row>
    <row r="695" spans="3:8" ht="12.75" customHeight="1">
      <c r="C695" s="191"/>
      <c r="E695" s="210"/>
      <c r="F695" s="210"/>
      <c r="G695" s="211"/>
      <c r="H695" s="210"/>
    </row>
    <row r="696" spans="3:8" ht="12.75" customHeight="1">
      <c r="C696" s="191"/>
      <c r="E696" s="210"/>
      <c r="F696" s="210"/>
      <c r="G696" s="211"/>
      <c r="H696" s="210"/>
    </row>
    <row r="697" spans="3:8" ht="12.75" customHeight="1">
      <c r="C697" s="191"/>
      <c r="E697" s="210"/>
      <c r="F697" s="210"/>
      <c r="G697" s="211"/>
      <c r="H697" s="210"/>
    </row>
    <row r="698" spans="3:8" ht="12.75" customHeight="1">
      <c r="C698" s="191"/>
      <c r="E698" s="210"/>
      <c r="F698" s="210"/>
      <c r="G698" s="211"/>
      <c r="H698" s="210"/>
    </row>
    <row r="699" spans="3:8" ht="12.75" customHeight="1">
      <c r="C699" s="191"/>
      <c r="E699" s="210"/>
      <c r="F699" s="210"/>
      <c r="G699" s="211"/>
      <c r="H699" s="210"/>
    </row>
    <row r="700" spans="3:8" ht="12.75" customHeight="1">
      <c r="C700" s="191"/>
      <c r="E700" s="210"/>
      <c r="F700" s="210"/>
      <c r="G700" s="211"/>
      <c r="H700" s="210"/>
    </row>
    <row r="701" spans="3:8" ht="12.75" customHeight="1">
      <c r="C701" s="191"/>
      <c r="E701" s="210"/>
      <c r="F701" s="210"/>
      <c r="G701" s="211"/>
      <c r="H701" s="210"/>
    </row>
    <row r="702" spans="3:8" ht="12.75" customHeight="1">
      <c r="C702" s="191"/>
      <c r="E702" s="210"/>
      <c r="F702" s="210"/>
      <c r="G702" s="211"/>
      <c r="H702" s="210"/>
    </row>
    <row r="703" spans="3:8" ht="12.75" customHeight="1">
      <c r="C703" s="191"/>
      <c r="E703" s="210"/>
      <c r="F703" s="210"/>
      <c r="G703" s="211"/>
      <c r="H703" s="210"/>
    </row>
    <row r="704" spans="3:8" ht="12.75" customHeight="1">
      <c r="C704" s="191"/>
      <c r="E704" s="210"/>
      <c r="F704" s="210"/>
      <c r="G704" s="211"/>
      <c r="H704" s="210"/>
    </row>
    <row r="705" spans="3:8" ht="12.75" customHeight="1">
      <c r="C705" s="191"/>
      <c r="E705" s="210"/>
      <c r="F705" s="210"/>
      <c r="G705" s="211"/>
      <c r="H705" s="210"/>
    </row>
    <row r="706" spans="3:8" ht="12.75" customHeight="1">
      <c r="C706" s="191"/>
      <c r="E706" s="210"/>
      <c r="F706" s="210"/>
      <c r="G706" s="211"/>
      <c r="H706" s="210"/>
    </row>
    <row r="707" spans="3:8" ht="12.75" customHeight="1">
      <c r="C707" s="191"/>
      <c r="E707" s="210"/>
      <c r="F707" s="210"/>
      <c r="G707" s="211"/>
      <c r="H707" s="210"/>
    </row>
    <row r="708" spans="3:8" ht="12.75" customHeight="1">
      <c r="C708" s="191"/>
      <c r="E708" s="210"/>
      <c r="F708" s="210"/>
      <c r="G708" s="211"/>
      <c r="H708" s="210"/>
    </row>
    <row r="709" spans="3:8" ht="12.75" customHeight="1">
      <c r="C709" s="191"/>
      <c r="E709" s="210"/>
      <c r="F709" s="210"/>
      <c r="G709" s="211"/>
      <c r="H709" s="210"/>
    </row>
    <row r="710" spans="3:8" ht="12.75" customHeight="1">
      <c r="C710" s="191"/>
      <c r="E710" s="210"/>
      <c r="F710" s="210"/>
      <c r="G710" s="211"/>
      <c r="H710" s="210"/>
    </row>
    <row r="711" spans="3:8" ht="12.75" customHeight="1">
      <c r="C711" s="191"/>
      <c r="E711" s="210"/>
      <c r="F711" s="210"/>
      <c r="G711" s="211"/>
      <c r="H711" s="210"/>
    </row>
    <row r="712" spans="3:8" ht="12.75" customHeight="1">
      <c r="C712" s="191"/>
      <c r="E712" s="210"/>
      <c r="F712" s="210"/>
      <c r="G712" s="211"/>
      <c r="H712" s="210"/>
    </row>
    <row r="713" spans="3:8" ht="12.75" customHeight="1">
      <c r="C713" s="191"/>
      <c r="E713" s="210"/>
      <c r="F713" s="210"/>
      <c r="G713" s="211"/>
      <c r="H713" s="210"/>
    </row>
    <row r="714" spans="3:8" ht="12.75" customHeight="1">
      <c r="C714" s="191"/>
      <c r="E714" s="210"/>
      <c r="F714" s="210"/>
      <c r="G714" s="211"/>
      <c r="H714" s="210"/>
    </row>
    <row r="715" spans="3:8" ht="12.75" customHeight="1">
      <c r="C715" s="191"/>
      <c r="E715" s="210"/>
      <c r="F715" s="210"/>
      <c r="G715" s="211"/>
      <c r="H715" s="210"/>
    </row>
    <row r="716" spans="3:8" ht="12.75" customHeight="1">
      <c r="C716" s="191"/>
      <c r="E716" s="210"/>
      <c r="F716" s="210"/>
      <c r="G716" s="211"/>
      <c r="H716" s="210"/>
    </row>
    <row r="717" spans="3:8" ht="12.75" customHeight="1">
      <c r="C717" s="191"/>
      <c r="E717" s="210"/>
      <c r="F717" s="210"/>
      <c r="G717" s="211"/>
      <c r="H717" s="210"/>
    </row>
    <row r="718" spans="3:8" ht="12.75" customHeight="1">
      <c r="C718" s="191"/>
      <c r="E718" s="210"/>
      <c r="F718" s="210"/>
      <c r="G718" s="211"/>
      <c r="H718" s="210"/>
    </row>
    <row r="719" spans="3:8" ht="12.75" customHeight="1">
      <c r="C719" s="191"/>
      <c r="E719" s="210"/>
      <c r="F719" s="210"/>
      <c r="G719" s="211"/>
      <c r="H719" s="210"/>
    </row>
    <row r="720" spans="3:8" ht="12.75" customHeight="1">
      <c r="C720" s="191"/>
      <c r="E720" s="210"/>
      <c r="F720" s="210"/>
      <c r="G720" s="211"/>
      <c r="H720" s="210"/>
    </row>
    <row r="721" spans="3:8" ht="12.75" customHeight="1">
      <c r="C721" s="191"/>
      <c r="E721" s="210"/>
      <c r="F721" s="210"/>
      <c r="G721" s="211"/>
      <c r="H721" s="210"/>
    </row>
    <row r="722" spans="3:8" ht="12.75" customHeight="1">
      <c r="C722" s="191"/>
      <c r="E722" s="210"/>
      <c r="F722" s="210"/>
      <c r="G722" s="211"/>
      <c r="H722" s="210"/>
    </row>
    <row r="723" spans="3:8" ht="12.75" customHeight="1">
      <c r="C723" s="191"/>
      <c r="E723" s="210"/>
      <c r="F723" s="210"/>
      <c r="G723" s="211"/>
      <c r="H723" s="210"/>
    </row>
    <row r="724" spans="3:8" ht="12.75" customHeight="1">
      <c r="C724" s="191"/>
      <c r="E724" s="210"/>
      <c r="F724" s="210"/>
      <c r="G724" s="211"/>
      <c r="H724" s="210"/>
    </row>
    <row r="725" spans="3:8" ht="12.75" customHeight="1">
      <c r="C725" s="191"/>
      <c r="E725" s="210"/>
      <c r="F725" s="210"/>
      <c r="G725" s="211"/>
      <c r="H725" s="210"/>
    </row>
    <row r="726" spans="3:8" ht="12.75" customHeight="1">
      <c r="C726" s="191"/>
      <c r="E726" s="210"/>
      <c r="F726" s="210"/>
      <c r="G726" s="211"/>
      <c r="H726" s="210"/>
    </row>
    <row r="727" spans="3:8" ht="12.75" customHeight="1">
      <c r="C727" s="191"/>
      <c r="E727" s="210"/>
      <c r="F727" s="210"/>
      <c r="G727" s="211"/>
      <c r="H727" s="210"/>
    </row>
    <row r="728" spans="3:8" ht="12.75" customHeight="1">
      <c r="C728" s="191"/>
      <c r="E728" s="210"/>
      <c r="F728" s="210"/>
      <c r="G728" s="211"/>
      <c r="H728" s="210"/>
    </row>
    <row r="729" spans="3:8" ht="12.75" customHeight="1">
      <c r="C729" s="191"/>
      <c r="E729" s="210"/>
      <c r="F729" s="210"/>
      <c r="G729" s="211"/>
      <c r="H729" s="210"/>
    </row>
    <row r="730" spans="3:8" ht="12.75" customHeight="1">
      <c r="C730" s="191"/>
      <c r="E730" s="210"/>
      <c r="F730" s="210"/>
      <c r="G730" s="211"/>
      <c r="H730" s="210"/>
    </row>
    <row r="731" spans="3:8" ht="12.75" customHeight="1">
      <c r="C731" s="191"/>
      <c r="E731" s="210"/>
      <c r="F731" s="210"/>
      <c r="G731" s="211"/>
      <c r="H731" s="210"/>
    </row>
    <row r="732" spans="3:8" ht="12.75" customHeight="1">
      <c r="C732" s="191"/>
      <c r="E732" s="210"/>
      <c r="F732" s="210"/>
      <c r="G732" s="211"/>
      <c r="H732" s="210"/>
    </row>
    <row r="733" spans="3:8" ht="12.75" customHeight="1">
      <c r="C733" s="191"/>
      <c r="E733" s="210"/>
      <c r="F733" s="210"/>
      <c r="G733" s="211"/>
      <c r="H733" s="210"/>
    </row>
    <row r="734" spans="3:8" ht="12.75" customHeight="1">
      <c r="C734" s="191"/>
      <c r="E734" s="210"/>
      <c r="F734" s="210"/>
      <c r="G734" s="211"/>
      <c r="H734" s="210"/>
    </row>
    <row r="735" spans="3:8" ht="12.75" customHeight="1">
      <c r="C735" s="191"/>
      <c r="E735" s="210"/>
      <c r="F735" s="210"/>
      <c r="G735" s="211"/>
      <c r="H735" s="210"/>
    </row>
    <row r="736" spans="3:8" ht="12.75" customHeight="1">
      <c r="C736" s="191"/>
      <c r="E736" s="210"/>
      <c r="F736" s="210"/>
      <c r="G736" s="211"/>
      <c r="H736" s="210"/>
    </row>
    <row r="737" spans="3:8" ht="12.75" customHeight="1">
      <c r="C737" s="191"/>
      <c r="E737" s="210"/>
      <c r="F737" s="210"/>
      <c r="G737" s="211"/>
      <c r="H737" s="210"/>
    </row>
    <row r="738" spans="3:8" ht="12.75" customHeight="1">
      <c r="C738" s="191"/>
      <c r="E738" s="210"/>
      <c r="F738" s="210"/>
      <c r="G738" s="211"/>
      <c r="H738" s="210"/>
    </row>
    <row r="739" spans="3:8" ht="12.75" customHeight="1">
      <c r="C739" s="191"/>
      <c r="E739" s="210"/>
      <c r="F739" s="210"/>
      <c r="G739" s="211"/>
      <c r="H739" s="210"/>
    </row>
    <row r="740" spans="3:8" ht="12.75" customHeight="1">
      <c r="C740" s="191"/>
      <c r="E740" s="210"/>
      <c r="F740" s="210"/>
      <c r="G740" s="211"/>
      <c r="H740" s="210"/>
    </row>
    <row r="741" spans="3:8" ht="12.75" customHeight="1">
      <c r="C741" s="191"/>
      <c r="E741" s="210"/>
      <c r="F741" s="210"/>
      <c r="G741" s="211"/>
      <c r="H741" s="210"/>
    </row>
    <row r="742" spans="3:8" ht="12.75" customHeight="1">
      <c r="C742" s="191"/>
      <c r="E742" s="210"/>
      <c r="F742" s="210"/>
      <c r="G742" s="211"/>
      <c r="H742" s="210"/>
    </row>
    <row r="743" spans="3:8" ht="12.75" customHeight="1">
      <c r="C743" s="191"/>
      <c r="E743" s="210"/>
      <c r="F743" s="210"/>
      <c r="G743" s="211"/>
      <c r="H743" s="210"/>
    </row>
    <row r="744" spans="3:8" ht="12.75" customHeight="1">
      <c r="C744" s="191"/>
      <c r="E744" s="210"/>
      <c r="F744" s="210"/>
      <c r="G744" s="211"/>
      <c r="H744" s="210"/>
    </row>
    <row r="745" spans="3:8" ht="12.75" customHeight="1">
      <c r="C745" s="191"/>
      <c r="E745" s="210"/>
      <c r="F745" s="210"/>
      <c r="G745" s="211"/>
      <c r="H745" s="210"/>
    </row>
    <row r="746" spans="3:8" ht="12.75" customHeight="1">
      <c r="C746" s="191"/>
      <c r="E746" s="210"/>
      <c r="F746" s="210"/>
      <c r="G746" s="211"/>
      <c r="H746" s="210"/>
    </row>
    <row r="747" spans="3:8" ht="12.75" customHeight="1">
      <c r="C747" s="191"/>
      <c r="E747" s="210"/>
      <c r="F747" s="210"/>
      <c r="G747" s="211"/>
      <c r="H747" s="210"/>
    </row>
    <row r="748" spans="3:8" ht="12.75" customHeight="1">
      <c r="C748" s="191"/>
      <c r="E748" s="210"/>
      <c r="F748" s="210"/>
      <c r="G748" s="211"/>
      <c r="H748" s="210"/>
    </row>
    <row r="749" spans="3:8" ht="12.75" customHeight="1">
      <c r="C749" s="191"/>
      <c r="E749" s="210"/>
      <c r="F749" s="210"/>
      <c r="G749" s="211"/>
      <c r="H749" s="210"/>
    </row>
    <row r="750" spans="3:8" ht="12.75" customHeight="1">
      <c r="C750" s="191"/>
      <c r="E750" s="210"/>
      <c r="F750" s="210"/>
      <c r="G750" s="211"/>
      <c r="H750" s="210"/>
    </row>
    <row r="751" spans="3:8" ht="12.75" customHeight="1">
      <c r="C751" s="191"/>
      <c r="E751" s="210"/>
      <c r="F751" s="210"/>
      <c r="G751" s="211"/>
      <c r="H751" s="210"/>
    </row>
    <row r="752" spans="3:8" ht="12.75" customHeight="1">
      <c r="C752" s="191"/>
      <c r="E752" s="210"/>
      <c r="F752" s="210"/>
      <c r="G752" s="211"/>
      <c r="H752" s="210"/>
    </row>
    <row r="753" spans="3:8" ht="12.75" customHeight="1">
      <c r="C753" s="191"/>
      <c r="E753" s="210"/>
      <c r="F753" s="210"/>
      <c r="G753" s="211"/>
      <c r="H753" s="210"/>
    </row>
    <row r="754" spans="3:8" ht="12.75" customHeight="1">
      <c r="C754" s="191"/>
      <c r="E754" s="210"/>
      <c r="F754" s="210"/>
      <c r="G754" s="211"/>
      <c r="H754" s="210"/>
    </row>
    <row r="755" spans="3:8" ht="12.75" customHeight="1">
      <c r="C755" s="191"/>
      <c r="E755" s="210"/>
      <c r="F755" s="210"/>
      <c r="G755" s="211"/>
      <c r="H755" s="210"/>
    </row>
    <row r="756" spans="3:8" ht="12.75" customHeight="1">
      <c r="C756" s="191"/>
      <c r="E756" s="210"/>
      <c r="F756" s="210"/>
      <c r="G756" s="211"/>
      <c r="H756" s="210"/>
    </row>
    <row r="757" spans="3:8" ht="12.75" customHeight="1">
      <c r="C757" s="191"/>
      <c r="E757" s="210"/>
      <c r="F757" s="210"/>
      <c r="G757" s="211"/>
      <c r="H757" s="210"/>
    </row>
    <row r="758" spans="3:8" ht="12.75" customHeight="1">
      <c r="C758" s="191"/>
      <c r="E758" s="210"/>
      <c r="F758" s="210"/>
      <c r="G758" s="211"/>
      <c r="H758" s="210"/>
    </row>
    <row r="759" spans="3:8" ht="12.75" customHeight="1">
      <c r="C759" s="191"/>
      <c r="E759" s="210"/>
      <c r="F759" s="210"/>
      <c r="G759" s="211"/>
      <c r="H759" s="210"/>
    </row>
    <row r="760" spans="3:8" ht="12.75" customHeight="1">
      <c r="C760" s="191"/>
      <c r="E760" s="210"/>
      <c r="F760" s="210"/>
      <c r="G760" s="211"/>
      <c r="H760" s="210"/>
    </row>
    <row r="761" spans="3:8" ht="12.75" customHeight="1">
      <c r="C761" s="191"/>
      <c r="E761" s="210"/>
      <c r="F761" s="210"/>
      <c r="G761" s="211"/>
      <c r="H761" s="210"/>
    </row>
    <row r="762" spans="3:8" ht="12.75" customHeight="1">
      <c r="C762" s="191"/>
      <c r="E762" s="210"/>
      <c r="F762" s="210"/>
      <c r="G762" s="211"/>
      <c r="H762" s="210"/>
    </row>
    <row r="763" spans="3:8" ht="12.75" customHeight="1">
      <c r="C763" s="191"/>
      <c r="E763" s="210"/>
      <c r="F763" s="210"/>
      <c r="G763" s="211"/>
      <c r="H763" s="210"/>
    </row>
    <row r="764" spans="3:8" ht="12.75" customHeight="1">
      <c r="C764" s="191"/>
      <c r="E764" s="210"/>
      <c r="F764" s="210"/>
      <c r="G764" s="211"/>
      <c r="H764" s="210"/>
    </row>
    <row r="765" spans="3:8" ht="12.75" customHeight="1">
      <c r="C765" s="191"/>
      <c r="E765" s="210"/>
      <c r="F765" s="210"/>
      <c r="G765" s="211"/>
      <c r="H765" s="210"/>
    </row>
    <row r="766" spans="3:8" ht="12.75" customHeight="1">
      <c r="C766" s="191"/>
      <c r="E766" s="210"/>
      <c r="F766" s="210"/>
      <c r="G766" s="211"/>
      <c r="H766" s="210"/>
    </row>
    <row r="767" spans="3:8" ht="12.75" customHeight="1">
      <c r="C767" s="191"/>
      <c r="E767" s="210"/>
      <c r="F767" s="210"/>
      <c r="G767" s="211"/>
      <c r="H767" s="210"/>
    </row>
    <row r="768" spans="3:8" ht="12.75" customHeight="1">
      <c r="C768" s="191"/>
      <c r="E768" s="210"/>
      <c r="F768" s="210"/>
      <c r="G768" s="211"/>
      <c r="H768" s="210"/>
    </row>
    <row r="769" spans="3:8" ht="12.75" customHeight="1">
      <c r="C769" s="191"/>
      <c r="E769" s="210"/>
      <c r="F769" s="210"/>
      <c r="G769" s="211"/>
      <c r="H769" s="210"/>
    </row>
    <row r="770" spans="3:8" ht="12.75" customHeight="1">
      <c r="C770" s="191"/>
      <c r="E770" s="210"/>
      <c r="F770" s="210"/>
      <c r="G770" s="211"/>
      <c r="H770" s="210"/>
    </row>
    <row r="771" spans="3:8" ht="12.75" customHeight="1">
      <c r="C771" s="191"/>
      <c r="E771" s="210"/>
      <c r="F771" s="210"/>
      <c r="G771" s="211"/>
      <c r="H771" s="210"/>
    </row>
    <row r="772" spans="3:8" ht="12.75" customHeight="1">
      <c r="C772" s="191"/>
      <c r="E772" s="210"/>
      <c r="F772" s="210"/>
      <c r="G772" s="211"/>
      <c r="H772" s="210"/>
    </row>
    <row r="773" spans="3:8" ht="12.75" customHeight="1">
      <c r="C773" s="191"/>
      <c r="E773" s="210"/>
      <c r="F773" s="210"/>
      <c r="G773" s="211"/>
      <c r="H773" s="210"/>
    </row>
    <row r="774" spans="3:8" ht="12.75" customHeight="1">
      <c r="C774" s="191"/>
      <c r="E774" s="210"/>
      <c r="F774" s="210"/>
      <c r="G774" s="211"/>
      <c r="H774" s="210"/>
    </row>
    <row r="775" spans="3:8" ht="12.75" customHeight="1">
      <c r="C775" s="191"/>
      <c r="E775" s="210"/>
      <c r="F775" s="210"/>
      <c r="G775" s="211"/>
      <c r="H775" s="210"/>
    </row>
    <row r="776" spans="3:8" ht="12.75" customHeight="1">
      <c r="C776" s="191"/>
      <c r="E776" s="210"/>
      <c r="F776" s="210"/>
      <c r="G776" s="211"/>
      <c r="H776" s="210"/>
    </row>
    <row r="777" spans="3:8" ht="12.75" customHeight="1">
      <c r="C777" s="191"/>
      <c r="E777" s="210"/>
      <c r="F777" s="210"/>
      <c r="G777" s="211"/>
      <c r="H777" s="210"/>
    </row>
    <row r="778" spans="3:8" ht="12.75" customHeight="1">
      <c r="C778" s="191"/>
      <c r="E778" s="210"/>
      <c r="F778" s="210"/>
      <c r="G778" s="211"/>
      <c r="H778" s="210"/>
    </row>
    <row r="779" spans="3:8" ht="12.75" customHeight="1">
      <c r="C779" s="191"/>
      <c r="E779" s="210"/>
      <c r="F779" s="210"/>
      <c r="G779" s="211"/>
      <c r="H779" s="210"/>
    </row>
    <row r="780" spans="3:8" ht="12.75" customHeight="1">
      <c r="C780" s="191"/>
      <c r="E780" s="210"/>
      <c r="F780" s="210"/>
      <c r="G780" s="211"/>
      <c r="H780" s="210"/>
    </row>
    <row r="781" spans="3:8" ht="12.75" customHeight="1">
      <c r="C781" s="191"/>
      <c r="E781" s="210"/>
      <c r="F781" s="210"/>
      <c r="G781" s="211"/>
      <c r="H781" s="210"/>
    </row>
    <row r="782" spans="3:8" ht="12.75" customHeight="1">
      <c r="C782" s="191"/>
      <c r="E782" s="210"/>
      <c r="F782" s="210"/>
      <c r="G782" s="211"/>
      <c r="H782" s="210"/>
    </row>
    <row r="783" spans="3:8" ht="12.75" customHeight="1">
      <c r="C783" s="191"/>
      <c r="E783" s="210"/>
      <c r="F783" s="210"/>
      <c r="G783" s="211"/>
      <c r="H783" s="210"/>
    </row>
    <row r="784" spans="3:8" ht="12.75" customHeight="1">
      <c r="C784" s="191"/>
      <c r="E784" s="210"/>
      <c r="F784" s="210"/>
      <c r="G784" s="211"/>
      <c r="H784" s="210"/>
    </row>
    <row r="785" spans="3:8" ht="12.75" customHeight="1">
      <c r="C785" s="191"/>
      <c r="E785" s="210"/>
      <c r="F785" s="210"/>
      <c r="G785" s="211"/>
      <c r="H785" s="210"/>
    </row>
    <row r="786" spans="3:8" ht="12.75" customHeight="1">
      <c r="C786" s="191"/>
      <c r="E786" s="210"/>
      <c r="F786" s="210"/>
      <c r="G786" s="211"/>
      <c r="H786" s="210"/>
    </row>
    <row r="787" spans="3:8" ht="12.75" customHeight="1">
      <c r="C787" s="191"/>
      <c r="E787" s="210"/>
      <c r="F787" s="210"/>
      <c r="G787" s="211"/>
      <c r="H787" s="210"/>
    </row>
    <row r="788" spans="3:8" ht="12.75" customHeight="1">
      <c r="C788" s="191"/>
      <c r="E788" s="210"/>
      <c r="F788" s="210"/>
      <c r="G788" s="211"/>
      <c r="H788" s="210"/>
    </row>
    <row r="789" spans="3:8" ht="12.75" customHeight="1">
      <c r="C789" s="191"/>
      <c r="E789" s="210"/>
      <c r="F789" s="210"/>
      <c r="G789" s="211"/>
      <c r="H789" s="210"/>
    </row>
    <row r="790" spans="3:8" ht="12.75" customHeight="1">
      <c r="C790" s="191"/>
      <c r="E790" s="210"/>
      <c r="F790" s="210"/>
      <c r="G790" s="211"/>
      <c r="H790" s="210"/>
    </row>
    <row r="791" spans="3:8" ht="12.75" customHeight="1">
      <c r="C791" s="191"/>
      <c r="E791" s="210"/>
      <c r="F791" s="210"/>
      <c r="G791" s="211"/>
      <c r="H791" s="210"/>
    </row>
    <row r="792" spans="3:8" ht="12.75" customHeight="1">
      <c r="C792" s="191"/>
      <c r="E792" s="210"/>
      <c r="F792" s="210"/>
      <c r="G792" s="211"/>
      <c r="H792" s="210"/>
    </row>
    <row r="793" spans="3:8" ht="12.75" customHeight="1">
      <c r="C793" s="191"/>
      <c r="E793" s="210"/>
      <c r="F793" s="210"/>
      <c r="G793" s="211"/>
      <c r="H793" s="210"/>
    </row>
    <row r="794" spans="3:8" ht="12.75" customHeight="1">
      <c r="C794" s="191"/>
      <c r="E794" s="210"/>
      <c r="F794" s="210"/>
      <c r="G794" s="211"/>
      <c r="H794" s="210"/>
    </row>
    <row r="795" spans="3:8" ht="12.75" customHeight="1">
      <c r="C795" s="191"/>
      <c r="E795" s="210"/>
      <c r="F795" s="210"/>
      <c r="G795" s="211"/>
      <c r="H795" s="210"/>
    </row>
    <row r="796" spans="3:8" ht="12.75" customHeight="1">
      <c r="C796" s="191"/>
      <c r="E796" s="210"/>
      <c r="F796" s="210"/>
      <c r="G796" s="211"/>
      <c r="H796" s="210"/>
    </row>
    <row r="797" spans="3:8" ht="12.75" customHeight="1">
      <c r="C797" s="191"/>
      <c r="E797" s="210"/>
      <c r="F797" s="210"/>
      <c r="G797" s="211"/>
      <c r="H797" s="210"/>
    </row>
    <row r="798" spans="3:8" ht="12.75" customHeight="1">
      <c r="C798" s="191"/>
      <c r="E798" s="210"/>
      <c r="F798" s="210"/>
      <c r="G798" s="211"/>
      <c r="H798" s="210"/>
    </row>
    <row r="799" spans="3:8" ht="12.75" customHeight="1">
      <c r="C799" s="191"/>
      <c r="E799" s="210"/>
      <c r="F799" s="210"/>
      <c r="G799" s="211"/>
      <c r="H799" s="210"/>
    </row>
    <row r="800" spans="3:8" ht="12.75" customHeight="1">
      <c r="C800" s="191"/>
      <c r="E800" s="210"/>
      <c r="F800" s="210"/>
      <c r="G800" s="211"/>
      <c r="H800" s="210"/>
    </row>
    <row r="801" spans="3:8" ht="12.75" customHeight="1">
      <c r="C801" s="191"/>
      <c r="E801" s="210"/>
      <c r="F801" s="210"/>
      <c r="G801" s="211"/>
      <c r="H801" s="210"/>
    </row>
    <row r="802" spans="3:8" ht="12.75" customHeight="1">
      <c r="C802" s="191"/>
      <c r="E802" s="210"/>
      <c r="F802" s="210"/>
      <c r="G802" s="211"/>
      <c r="H802" s="210"/>
    </row>
    <row r="803" spans="3:8" ht="12.75" customHeight="1">
      <c r="C803" s="191"/>
      <c r="E803" s="210"/>
      <c r="F803" s="210"/>
      <c r="G803" s="211"/>
      <c r="H803" s="210"/>
    </row>
    <row r="804" spans="3:8" ht="12.75" customHeight="1">
      <c r="C804" s="191"/>
      <c r="E804" s="210"/>
      <c r="F804" s="210"/>
      <c r="G804" s="211"/>
      <c r="H804" s="210"/>
    </row>
    <row r="805" spans="3:8" ht="12.75" customHeight="1">
      <c r="C805" s="191"/>
      <c r="E805" s="210"/>
      <c r="F805" s="210"/>
      <c r="G805" s="211"/>
      <c r="H805" s="210"/>
    </row>
    <row r="806" spans="3:8" ht="12.75" customHeight="1">
      <c r="C806" s="191"/>
      <c r="E806" s="210"/>
      <c r="F806" s="210"/>
      <c r="G806" s="211"/>
      <c r="H806" s="210"/>
    </row>
    <row r="807" spans="3:8" ht="12.75" customHeight="1">
      <c r="C807" s="191"/>
      <c r="E807" s="210"/>
      <c r="F807" s="210"/>
      <c r="G807" s="211"/>
      <c r="H807" s="210"/>
    </row>
    <row r="808" spans="3:8" ht="12.75" customHeight="1">
      <c r="C808" s="191"/>
      <c r="E808" s="210"/>
      <c r="F808" s="210"/>
      <c r="G808" s="211"/>
      <c r="H808" s="210"/>
    </row>
    <row r="809" spans="3:8" ht="12.75" customHeight="1">
      <c r="C809" s="191"/>
      <c r="E809" s="210"/>
      <c r="F809" s="210"/>
      <c r="G809" s="211"/>
      <c r="H809" s="210"/>
    </row>
    <row r="810" spans="3:8" ht="12.75" customHeight="1">
      <c r="C810" s="191"/>
      <c r="E810" s="210"/>
      <c r="F810" s="210"/>
      <c r="G810" s="211"/>
      <c r="H810" s="210"/>
    </row>
    <row r="811" spans="3:8" ht="12.75" customHeight="1">
      <c r="C811" s="191"/>
      <c r="E811" s="210"/>
      <c r="F811" s="210"/>
      <c r="G811" s="211"/>
      <c r="H811" s="210"/>
    </row>
    <row r="812" spans="3:8" ht="12.75" customHeight="1">
      <c r="C812" s="191"/>
      <c r="E812" s="210"/>
      <c r="F812" s="210"/>
      <c r="G812" s="211"/>
      <c r="H812" s="210"/>
    </row>
    <row r="813" spans="3:8" ht="12.75" customHeight="1">
      <c r="C813" s="191"/>
      <c r="E813" s="210"/>
      <c r="F813" s="210"/>
      <c r="G813" s="211"/>
      <c r="H813" s="210"/>
    </row>
    <row r="814" spans="3:8" ht="12.75" customHeight="1">
      <c r="C814" s="191"/>
      <c r="E814" s="210"/>
      <c r="F814" s="210"/>
      <c r="G814" s="211"/>
      <c r="H814" s="210"/>
    </row>
    <row r="815" spans="3:8" ht="12.75" customHeight="1">
      <c r="C815" s="191"/>
      <c r="E815" s="210"/>
      <c r="F815" s="210"/>
      <c r="G815" s="211"/>
      <c r="H815" s="210"/>
    </row>
    <row r="816" spans="3:8" ht="12.75" customHeight="1">
      <c r="C816" s="191"/>
      <c r="E816" s="210"/>
      <c r="F816" s="210"/>
      <c r="G816" s="211"/>
      <c r="H816" s="210"/>
    </row>
    <row r="817" spans="3:8" ht="12.75" customHeight="1">
      <c r="C817" s="191"/>
      <c r="E817" s="210"/>
      <c r="F817" s="210"/>
      <c r="G817" s="211"/>
      <c r="H817" s="210"/>
    </row>
    <row r="818" spans="3:8" ht="12.75" customHeight="1">
      <c r="C818" s="191"/>
      <c r="E818" s="210"/>
      <c r="F818" s="210"/>
      <c r="G818" s="211"/>
      <c r="H818" s="210"/>
    </row>
    <row r="819" spans="3:8" ht="12.75" customHeight="1">
      <c r="C819" s="191"/>
      <c r="E819" s="210"/>
      <c r="F819" s="210"/>
      <c r="G819" s="211"/>
      <c r="H819" s="210"/>
    </row>
    <row r="820" spans="3:8" ht="12.75" customHeight="1">
      <c r="C820" s="191"/>
      <c r="E820" s="210"/>
      <c r="F820" s="210"/>
      <c r="G820" s="211"/>
      <c r="H820" s="210"/>
    </row>
    <row r="821" spans="3:8" ht="12.75" customHeight="1">
      <c r="C821" s="191"/>
      <c r="E821" s="210"/>
      <c r="F821" s="210"/>
      <c r="G821" s="211"/>
      <c r="H821" s="210"/>
    </row>
    <row r="822" spans="3:8" ht="12.75" customHeight="1">
      <c r="C822" s="191"/>
      <c r="E822" s="210"/>
      <c r="F822" s="210"/>
      <c r="G822" s="211"/>
      <c r="H822" s="210"/>
    </row>
    <row r="823" spans="3:8" ht="12.75" customHeight="1">
      <c r="C823" s="191"/>
      <c r="E823" s="210"/>
      <c r="F823" s="210"/>
      <c r="G823" s="211"/>
      <c r="H823" s="210"/>
    </row>
    <row r="824" spans="3:8" ht="12.75" customHeight="1">
      <c r="C824" s="191"/>
      <c r="E824" s="210"/>
      <c r="F824" s="210"/>
      <c r="G824" s="211"/>
      <c r="H824" s="210"/>
    </row>
    <row r="825" spans="3:8" ht="12.75" customHeight="1">
      <c r="C825" s="191"/>
      <c r="E825" s="210"/>
      <c r="F825" s="210"/>
      <c r="G825" s="211"/>
      <c r="H825" s="210"/>
    </row>
    <row r="826" spans="3:8" ht="12.75" customHeight="1">
      <c r="C826" s="191"/>
      <c r="E826" s="210"/>
      <c r="F826" s="210"/>
      <c r="G826" s="211"/>
      <c r="H826" s="210"/>
    </row>
    <row r="827" spans="3:8" ht="12.75" customHeight="1">
      <c r="C827" s="191"/>
      <c r="E827" s="210"/>
      <c r="F827" s="210"/>
      <c r="G827" s="211"/>
      <c r="H827" s="210"/>
    </row>
    <row r="828" spans="3:8" ht="12.75" customHeight="1">
      <c r="C828" s="191"/>
      <c r="E828" s="210"/>
      <c r="F828" s="210"/>
      <c r="G828" s="211"/>
      <c r="H828" s="210"/>
    </row>
    <row r="829" spans="3:8" ht="12.75" customHeight="1">
      <c r="C829" s="191"/>
      <c r="E829" s="210"/>
      <c r="F829" s="210"/>
      <c r="G829" s="211"/>
      <c r="H829" s="210"/>
    </row>
    <row r="830" spans="3:8" ht="12.75" customHeight="1">
      <c r="C830" s="191"/>
      <c r="E830" s="210"/>
      <c r="F830" s="210"/>
      <c r="G830" s="211"/>
      <c r="H830" s="210"/>
    </row>
    <row r="831" spans="3:8" ht="12.75" customHeight="1">
      <c r="C831" s="191"/>
      <c r="E831" s="210"/>
      <c r="F831" s="210"/>
      <c r="G831" s="211"/>
      <c r="H831" s="210"/>
    </row>
    <row r="832" spans="3:8" ht="12.75" customHeight="1">
      <c r="C832" s="191"/>
      <c r="E832" s="210"/>
      <c r="F832" s="210"/>
      <c r="G832" s="211"/>
      <c r="H832" s="210"/>
    </row>
    <row r="833" spans="3:8" ht="12.75" customHeight="1">
      <c r="C833" s="191"/>
      <c r="E833" s="210"/>
      <c r="F833" s="210"/>
      <c r="G833" s="211"/>
      <c r="H833" s="210"/>
    </row>
    <row r="834" spans="3:8" ht="12.75" customHeight="1">
      <c r="C834" s="191"/>
      <c r="E834" s="210"/>
      <c r="F834" s="210"/>
      <c r="G834" s="211"/>
      <c r="H834" s="210"/>
    </row>
    <row r="835" spans="3:8" ht="12.75" customHeight="1">
      <c r="C835" s="191"/>
      <c r="E835" s="210"/>
      <c r="F835" s="210"/>
      <c r="G835" s="211"/>
      <c r="H835" s="210"/>
    </row>
    <row r="836" spans="3:8" ht="12.75" customHeight="1">
      <c r="C836" s="191"/>
      <c r="E836" s="210"/>
      <c r="F836" s="210"/>
      <c r="G836" s="211"/>
      <c r="H836" s="210"/>
    </row>
    <row r="837" spans="3:8" ht="12.75" customHeight="1">
      <c r="C837" s="191"/>
      <c r="E837" s="210"/>
      <c r="F837" s="210"/>
      <c r="G837" s="211"/>
      <c r="H837" s="210"/>
    </row>
    <row r="838" spans="3:8" ht="12.75" customHeight="1">
      <c r="C838" s="191"/>
      <c r="E838" s="210"/>
      <c r="F838" s="210"/>
      <c r="G838" s="211"/>
      <c r="H838" s="210"/>
    </row>
    <row r="839" spans="3:8" ht="12.75" customHeight="1">
      <c r="C839" s="191"/>
      <c r="E839" s="210"/>
      <c r="F839" s="210"/>
      <c r="G839" s="211"/>
      <c r="H839" s="210"/>
    </row>
    <row r="840" spans="3:8" ht="12.75" customHeight="1">
      <c r="C840" s="191"/>
      <c r="E840" s="210"/>
      <c r="F840" s="210"/>
      <c r="G840" s="211"/>
      <c r="H840" s="210"/>
    </row>
    <row r="841" spans="3:8" ht="12.75" customHeight="1">
      <c r="C841" s="191"/>
      <c r="E841" s="210"/>
      <c r="F841" s="210"/>
      <c r="G841" s="211"/>
      <c r="H841" s="210"/>
    </row>
    <row r="842" spans="3:8" ht="12.75" customHeight="1">
      <c r="C842" s="191"/>
      <c r="E842" s="210"/>
      <c r="F842" s="210"/>
      <c r="G842" s="211"/>
      <c r="H842" s="210"/>
    </row>
    <row r="843" spans="3:8" ht="12.75" customHeight="1">
      <c r="C843" s="191"/>
      <c r="E843" s="210"/>
      <c r="F843" s="210"/>
      <c r="G843" s="211"/>
      <c r="H843" s="210"/>
    </row>
    <row r="844" spans="3:8" ht="12.75" customHeight="1">
      <c r="C844" s="191"/>
      <c r="E844" s="210"/>
      <c r="F844" s="210"/>
      <c r="G844" s="211"/>
      <c r="H844" s="210"/>
    </row>
    <row r="845" spans="3:8" ht="12.75" customHeight="1">
      <c r="C845" s="191"/>
      <c r="E845" s="210"/>
      <c r="F845" s="210"/>
      <c r="G845" s="211"/>
      <c r="H845" s="210"/>
    </row>
    <row r="846" spans="3:8" ht="12.75" customHeight="1">
      <c r="C846" s="191"/>
      <c r="E846" s="210"/>
      <c r="F846" s="210"/>
      <c r="G846" s="211"/>
      <c r="H846" s="210"/>
    </row>
    <row r="847" spans="3:8" ht="12.75" customHeight="1">
      <c r="C847" s="191"/>
      <c r="E847" s="210"/>
      <c r="F847" s="210"/>
      <c r="G847" s="211"/>
      <c r="H847" s="210"/>
    </row>
    <row r="848" spans="3:8" ht="12.75" customHeight="1">
      <c r="C848" s="191"/>
      <c r="E848" s="210"/>
      <c r="F848" s="210"/>
      <c r="G848" s="211"/>
      <c r="H848" s="210"/>
    </row>
    <row r="849" spans="3:8" ht="12.75" customHeight="1">
      <c r="C849" s="191"/>
      <c r="E849" s="210"/>
      <c r="F849" s="210"/>
      <c r="G849" s="211"/>
      <c r="H849" s="210"/>
    </row>
    <row r="850" spans="3:8" ht="12.75" customHeight="1">
      <c r="C850" s="191"/>
      <c r="E850" s="210"/>
      <c r="F850" s="210"/>
      <c r="G850" s="211"/>
      <c r="H850" s="210"/>
    </row>
    <row r="851" spans="3:8" ht="12.75" customHeight="1">
      <c r="C851" s="191"/>
      <c r="E851" s="210"/>
      <c r="F851" s="210"/>
      <c r="G851" s="211"/>
      <c r="H851" s="210"/>
    </row>
    <row r="852" spans="3:8" ht="12.75" customHeight="1">
      <c r="C852" s="191"/>
      <c r="E852" s="210"/>
      <c r="F852" s="210"/>
      <c r="G852" s="211"/>
      <c r="H852" s="210"/>
    </row>
    <row r="853" spans="3:8" ht="12.75" customHeight="1">
      <c r="C853" s="191"/>
      <c r="E853" s="210"/>
      <c r="F853" s="210"/>
      <c r="G853" s="211"/>
      <c r="H853" s="210"/>
    </row>
    <row r="854" spans="3:8" ht="12.75" customHeight="1">
      <c r="C854" s="191"/>
      <c r="E854" s="210"/>
      <c r="F854" s="210"/>
      <c r="G854" s="211"/>
      <c r="H854" s="210"/>
    </row>
    <row r="855" spans="3:8" ht="12.75" customHeight="1">
      <c r="C855" s="191"/>
      <c r="E855" s="210"/>
      <c r="F855" s="210"/>
      <c r="G855" s="211"/>
      <c r="H855" s="210"/>
    </row>
    <row r="856" spans="3:8" ht="12.75" customHeight="1">
      <c r="C856" s="191"/>
      <c r="E856" s="210"/>
      <c r="F856" s="210"/>
      <c r="G856" s="211"/>
      <c r="H856" s="210"/>
    </row>
    <row r="857" spans="3:8" ht="12.75" customHeight="1">
      <c r="C857" s="191"/>
      <c r="E857" s="210"/>
      <c r="F857" s="210"/>
      <c r="G857" s="211"/>
      <c r="H857" s="210"/>
    </row>
    <row r="858" spans="3:8" ht="12.75" customHeight="1">
      <c r="C858" s="191"/>
      <c r="E858" s="210"/>
      <c r="F858" s="210"/>
      <c r="G858" s="211"/>
      <c r="H858" s="210"/>
    </row>
    <row r="859" spans="3:8" ht="12.75" customHeight="1">
      <c r="C859" s="191"/>
      <c r="E859" s="210"/>
      <c r="F859" s="210"/>
      <c r="G859" s="211"/>
      <c r="H859" s="210"/>
    </row>
    <row r="860" spans="3:8" ht="12.75" customHeight="1">
      <c r="C860" s="191"/>
      <c r="E860" s="210"/>
      <c r="F860" s="210"/>
      <c r="G860" s="211"/>
      <c r="H860" s="210"/>
    </row>
    <row r="861" spans="3:8" ht="12.75" customHeight="1">
      <c r="C861" s="191"/>
      <c r="E861" s="210"/>
      <c r="F861" s="210"/>
      <c r="G861" s="211"/>
      <c r="H861" s="210"/>
    </row>
    <row r="862" spans="3:8" ht="12.75" customHeight="1">
      <c r="C862" s="191"/>
      <c r="E862" s="210"/>
      <c r="F862" s="210"/>
      <c r="G862" s="211"/>
      <c r="H862" s="210"/>
    </row>
    <row r="863" spans="3:8" ht="12.75" customHeight="1">
      <c r="C863" s="191"/>
      <c r="E863" s="210"/>
      <c r="F863" s="210"/>
      <c r="G863" s="211"/>
      <c r="H863" s="210"/>
    </row>
    <row r="864" spans="3:8" ht="12.75" customHeight="1">
      <c r="C864" s="191"/>
      <c r="E864" s="210"/>
      <c r="F864" s="210"/>
      <c r="G864" s="211"/>
      <c r="H864" s="210"/>
    </row>
    <row r="865" spans="3:8" ht="12.75" customHeight="1">
      <c r="C865" s="191"/>
      <c r="E865" s="210"/>
      <c r="F865" s="210"/>
      <c r="G865" s="211"/>
      <c r="H865" s="210"/>
    </row>
    <row r="866" spans="3:8" ht="12.75" customHeight="1">
      <c r="C866" s="191"/>
      <c r="E866" s="210"/>
      <c r="F866" s="210"/>
      <c r="G866" s="211"/>
      <c r="H866" s="210"/>
    </row>
    <row r="867" spans="3:8" ht="12.75" customHeight="1">
      <c r="C867" s="191"/>
      <c r="E867" s="210"/>
      <c r="F867" s="210"/>
      <c r="G867" s="211"/>
      <c r="H867" s="210"/>
    </row>
    <row r="868" spans="3:8" ht="12.75" customHeight="1">
      <c r="C868" s="191"/>
      <c r="E868" s="210"/>
      <c r="F868" s="210"/>
      <c r="G868" s="211"/>
      <c r="H868" s="210"/>
    </row>
    <row r="869" spans="3:8" ht="12.75" customHeight="1">
      <c r="C869" s="191"/>
      <c r="E869" s="210"/>
      <c r="F869" s="210"/>
      <c r="G869" s="211"/>
      <c r="H869" s="210"/>
    </row>
    <row r="870" spans="3:8" ht="12.75" customHeight="1">
      <c r="C870" s="191"/>
      <c r="E870" s="210"/>
      <c r="F870" s="210"/>
      <c r="G870" s="211"/>
      <c r="H870" s="210"/>
    </row>
    <row r="871" spans="3:8" ht="12.75" customHeight="1">
      <c r="C871" s="191"/>
      <c r="E871" s="210"/>
      <c r="F871" s="210"/>
      <c r="G871" s="211"/>
      <c r="H871" s="210"/>
    </row>
    <row r="872" spans="3:8" ht="12.75" customHeight="1">
      <c r="C872" s="191"/>
      <c r="E872" s="210"/>
      <c r="F872" s="210"/>
      <c r="G872" s="211"/>
      <c r="H872" s="210"/>
    </row>
    <row r="873" spans="3:8" ht="12.75" customHeight="1">
      <c r="C873" s="191"/>
      <c r="E873" s="210"/>
      <c r="F873" s="210"/>
      <c r="G873" s="211"/>
      <c r="H873" s="210"/>
    </row>
    <row r="874" spans="3:8" ht="12.75" customHeight="1">
      <c r="C874" s="191"/>
      <c r="E874" s="210"/>
      <c r="F874" s="210"/>
      <c r="G874" s="211"/>
      <c r="H874" s="210"/>
    </row>
    <row r="875" spans="3:8" ht="12.75" customHeight="1">
      <c r="C875" s="191"/>
      <c r="E875" s="210"/>
      <c r="F875" s="210"/>
      <c r="G875" s="211"/>
      <c r="H875" s="210"/>
    </row>
    <row r="876" spans="3:8" ht="12.75" customHeight="1">
      <c r="C876" s="191"/>
      <c r="E876" s="210"/>
      <c r="F876" s="210"/>
      <c r="G876" s="211"/>
      <c r="H876" s="210"/>
    </row>
    <row r="877" spans="3:8" ht="12.75" customHeight="1">
      <c r="C877" s="191"/>
      <c r="E877" s="210"/>
      <c r="F877" s="210"/>
      <c r="G877" s="211"/>
      <c r="H877" s="210"/>
    </row>
    <row r="878" spans="3:8" ht="12.75" customHeight="1">
      <c r="C878" s="191"/>
      <c r="E878" s="210"/>
      <c r="F878" s="210"/>
      <c r="G878" s="211"/>
      <c r="H878" s="210"/>
    </row>
    <row r="879" spans="3:8" ht="12.75" customHeight="1">
      <c r="C879" s="191"/>
      <c r="E879" s="210"/>
      <c r="F879" s="210"/>
      <c r="G879" s="211"/>
      <c r="H879" s="210"/>
    </row>
    <row r="880" spans="3:8" ht="12.75" customHeight="1">
      <c r="C880" s="191"/>
      <c r="E880" s="210"/>
      <c r="F880" s="210"/>
      <c r="G880" s="211"/>
      <c r="H880" s="210"/>
    </row>
    <row r="881" spans="3:8" ht="12.75" customHeight="1">
      <c r="C881" s="191"/>
      <c r="E881" s="210"/>
      <c r="F881" s="210"/>
      <c r="G881" s="211"/>
      <c r="H881" s="210"/>
    </row>
    <row r="882" spans="3:8" ht="12.75" customHeight="1">
      <c r="C882" s="191"/>
      <c r="E882" s="210"/>
      <c r="F882" s="210"/>
      <c r="G882" s="211"/>
      <c r="H882" s="210"/>
    </row>
    <row r="883" spans="3:8" ht="12.75" customHeight="1">
      <c r="C883" s="191"/>
      <c r="E883" s="210"/>
      <c r="F883" s="210"/>
      <c r="G883" s="211"/>
      <c r="H883" s="210"/>
    </row>
    <row r="884" spans="3:8" ht="12.75" customHeight="1">
      <c r="C884" s="191"/>
      <c r="E884" s="210"/>
      <c r="F884" s="210"/>
      <c r="G884" s="211"/>
      <c r="H884" s="210"/>
    </row>
    <row r="885" spans="3:8" ht="12.75" customHeight="1">
      <c r="C885" s="191"/>
      <c r="E885" s="210"/>
      <c r="F885" s="210"/>
      <c r="G885" s="211"/>
      <c r="H885" s="210"/>
    </row>
    <row r="886" spans="3:8" ht="12.75" customHeight="1">
      <c r="C886" s="191"/>
      <c r="E886" s="210"/>
      <c r="F886" s="210"/>
      <c r="G886" s="211"/>
      <c r="H886" s="210"/>
    </row>
    <row r="887" spans="3:8" ht="12.75" customHeight="1">
      <c r="C887" s="191"/>
      <c r="E887" s="210"/>
      <c r="F887" s="210"/>
      <c r="G887" s="211"/>
      <c r="H887" s="210"/>
    </row>
    <row r="888" spans="3:8" ht="12.75" customHeight="1">
      <c r="C888" s="191"/>
      <c r="E888" s="210"/>
      <c r="F888" s="210"/>
      <c r="G888" s="211"/>
      <c r="H888" s="210"/>
    </row>
    <row r="889" spans="3:8" ht="12.75" customHeight="1">
      <c r="C889" s="191"/>
      <c r="E889" s="210"/>
      <c r="F889" s="210"/>
      <c r="G889" s="211"/>
      <c r="H889" s="210"/>
    </row>
    <row r="890" spans="3:8" ht="12.75" customHeight="1">
      <c r="C890" s="191"/>
      <c r="E890" s="210"/>
      <c r="F890" s="210"/>
      <c r="G890" s="211"/>
      <c r="H890" s="210"/>
    </row>
    <row r="891" spans="3:8" ht="12.75" customHeight="1">
      <c r="C891" s="191"/>
      <c r="E891" s="210"/>
      <c r="F891" s="210"/>
      <c r="G891" s="211"/>
      <c r="H891" s="210"/>
    </row>
    <row r="892" spans="3:8" ht="12.75" customHeight="1">
      <c r="C892" s="191"/>
      <c r="E892" s="210"/>
      <c r="F892" s="210"/>
      <c r="G892" s="211"/>
      <c r="H892" s="210"/>
    </row>
    <row r="893" spans="3:8" ht="12.75" customHeight="1">
      <c r="C893" s="191"/>
      <c r="E893" s="210"/>
      <c r="F893" s="210"/>
      <c r="G893" s="211"/>
      <c r="H893" s="210"/>
    </row>
    <row r="894" spans="3:8" ht="12.75" customHeight="1">
      <c r="C894" s="191"/>
      <c r="E894" s="210"/>
      <c r="F894" s="210"/>
      <c r="G894" s="211"/>
      <c r="H894" s="210"/>
    </row>
    <row r="895" spans="3:8" ht="12.75" customHeight="1">
      <c r="C895" s="191"/>
      <c r="E895" s="210"/>
      <c r="F895" s="210"/>
      <c r="G895" s="211"/>
      <c r="H895" s="210"/>
    </row>
    <row r="896" spans="3:8" ht="12.75" customHeight="1">
      <c r="C896" s="191"/>
      <c r="E896" s="210"/>
      <c r="F896" s="210"/>
      <c r="G896" s="211"/>
      <c r="H896" s="210"/>
    </row>
    <row r="897" spans="3:8" ht="12.75" customHeight="1">
      <c r="C897" s="191"/>
      <c r="E897" s="210"/>
      <c r="F897" s="210"/>
      <c r="G897" s="211"/>
      <c r="H897" s="210"/>
    </row>
    <row r="898" spans="3:8" ht="12.75" customHeight="1">
      <c r="C898" s="191"/>
      <c r="E898" s="210"/>
      <c r="F898" s="210"/>
      <c r="G898" s="211"/>
      <c r="H898" s="210"/>
    </row>
    <row r="899" spans="3:8" ht="12.75" customHeight="1">
      <c r="C899" s="191"/>
      <c r="E899" s="210"/>
      <c r="F899" s="210"/>
      <c r="G899" s="211"/>
      <c r="H899" s="210"/>
    </row>
    <row r="900" spans="3:8" ht="12.75" customHeight="1">
      <c r="C900" s="191"/>
      <c r="E900" s="210"/>
      <c r="F900" s="210"/>
      <c r="G900" s="211"/>
      <c r="H900" s="210"/>
    </row>
    <row r="901" spans="3:8" ht="12.75" customHeight="1">
      <c r="C901" s="191"/>
      <c r="E901" s="210"/>
      <c r="F901" s="210"/>
      <c r="G901" s="211"/>
      <c r="H901" s="210"/>
    </row>
    <row r="902" spans="3:8" ht="12.75" customHeight="1">
      <c r="C902" s="191"/>
      <c r="E902" s="210"/>
      <c r="F902" s="210"/>
      <c r="G902" s="211"/>
      <c r="H902" s="210"/>
    </row>
    <row r="903" spans="3:8" ht="12.75" customHeight="1">
      <c r="C903" s="191"/>
      <c r="E903" s="210"/>
      <c r="F903" s="210"/>
      <c r="G903" s="211"/>
      <c r="H903" s="210"/>
    </row>
    <row r="904" spans="3:8" ht="12.75" customHeight="1">
      <c r="C904" s="191"/>
      <c r="E904" s="210"/>
      <c r="F904" s="210"/>
      <c r="G904" s="211"/>
      <c r="H904" s="210"/>
    </row>
    <row r="905" spans="3:8" ht="12.75" customHeight="1">
      <c r="C905" s="191"/>
      <c r="E905" s="210"/>
      <c r="F905" s="210"/>
      <c r="G905" s="211"/>
      <c r="H905" s="210"/>
    </row>
    <row r="906" spans="3:8" ht="12.75" customHeight="1">
      <c r="C906" s="191"/>
      <c r="E906" s="210"/>
      <c r="F906" s="210"/>
      <c r="G906" s="211"/>
      <c r="H906" s="210"/>
    </row>
    <row r="907" spans="3:8" ht="12.75" customHeight="1">
      <c r="C907" s="191"/>
      <c r="E907" s="210"/>
      <c r="F907" s="210"/>
      <c r="G907" s="211"/>
      <c r="H907" s="210"/>
    </row>
    <row r="908" spans="3:8" ht="12.75" customHeight="1">
      <c r="C908" s="191"/>
      <c r="E908" s="210"/>
      <c r="F908" s="210"/>
      <c r="G908" s="211"/>
      <c r="H908" s="210"/>
    </row>
    <row r="909" spans="3:8" ht="12.75" customHeight="1">
      <c r="C909" s="191"/>
      <c r="E909" s="210"/>
      <c r="F909" s="210"/>
      <c r="G909" s="211"/>
      <c r="H909" s="210"/>
    </row>
    <row r="910" spans="3:8" ht="12.75" customHeight="1">
      <c r="C910" s="191"/>
      <c r="E910" s="210"/>
      <c r="F910" s="210"/>
      <c r="G910" s="211"/>
      <c r="H910" s="210"/>
    </row>
    <row r="911" spans="3:8" ht="12.75" customHeight="1">
      <c r="C911" s="191"/>
      <c r="E911" s="210"/>
      <c r="F911" s="210"/>
      <c r="G911" s="211"/>
      <c r="H911" s="210"/>
    </row>
    <row r="912" spans="3:8" ht="12.75" customHeight="1">
      <c r="C912" s="191"/>
      <c r="E912" s="210"/>
      <c r="F912" s="210"/>
      <c r="G912" s="211"/>
      <c r="H912" s="210"/>
    </row>
    <row r="913" spans="3:8" ht="12.75" customHeight="1">
      <c r="C913" s="191"/>
      <c r="E913" s="210"/>
      <c r="F913" s="210"/>
      <c r="G913" s="211"/>
      <c r="H913" s="210"/>
    </row>
    <row r="914" spans="3:8" ht="12.75" customHeight="1">
      <c r="C914" s="191"/>
      <c r="E914" s="210"/>
      <c r="F914" s="210"/>
      <c r="G914" s="211"/>
      <c r="H914" s="210"/>
    </row>
    <row r="915" spans="3:8" ht="12.75" customHeight="1">
      <c r="C915" s="191"/>
      <c r="E915" s="210"/>
      <c r="F915" s="210"/>
      <c r="G915" s="211"/>
      <c r="H915" s="210"/>
    </row>
    <row r="916" spans="3:8" ht="12.75" customHeight="1">
      <c r="C916" s="191"/>
      <c r="E916" s="210"/>
      <c r="F916" s="210"/>
      <c r="G916" s="211"/>
      <c r="H916" s="210"/>
    </row>
    <row r="917" spans="3:8" ht="12.75" customHeight="1">
      <c r="C917" s="191"/>
      <c r="E917" s="210"/>
      <c r="F917" s="210"/>
      <c r="G917" s="211"/>
      <c r="H917" s="210"/>
    </row>
    <row r="918" spans="3:8" ht="12.75" customHeight="1">
      <c r="C918" s="191"/>
      <c r="E918" s="210"/>
      <c r="F918" s="210"/>
      <c r="G918" s="211"/>
      <c r="H918" s="210"/>
    </row>
    <row r="919" spans="3:8" ht="12.75" customHeight="1">
      <c r="C919" s="191"/>
      <c r="E919" s="210"/>
      <c r="F919" s="210"/>
      <c r="G919" s="211"/>
      <c r="H919" s="210"/>
    </row>
    <row r="920" spans="3:8" ht="12.75" customHeight="1">
      <c r="C920" s="191"/>
      <c r="E920" s="210"/>
      <c r="F920" s="210"/>
      <c r="G920" s="211"/>
      <c r="H920" s="210"/>
    </row>
    <row r="921" spans="3:8" ht="12.75" customHeight="1">
      <c r="C921" s="191"/>
      <c r="E921" s="210"/>
      <c r="F921" s="210"/>
      <c r="G921" s="211"/>
      <c r="H921" s="210"/>
    </row>
    <row r="922" spans="3:8" ht="12.75" customHeight="1">
      <c r="C922" s="191"/>
      <c r="E922" s="210"/>
      <c r="F922" s="210"/>
      <c r="G922" s="211"/>
      <c r="H922" s="210"/>
    </row>
    <row r="923" spans="3:8" ht="12.75" customHeight="1">
      <c r="C923" s="191"/>
      <c r="E923" s="210"/>
      <c r="F923" s="210"/>
      <c r="G923" s="211"/>
      <c r="H923" s="210"/>
    </row>
    <row r="924" spans="3:8" ht="12.75" customHeight="1">
      <c r="C924" s="191"/>
      <c r="E924" s="210"/>
      <c r="F924" s="210"/>
      <c r="G924" s="211"/>
      <c r="H924" s="210"/>
    </row>
    <row r="925" spans="3:8" ht="12.75" customHeight="1">
      <c r="C925" s="191"/>
      <c r="E925" s="210"/>
      <c r="F925" s="210"/>
      <c r="G925" s="211"/>
      <c r="H925" s="210"/>
    </row>
    <row r="926" spans="3:8" ht="12.75" customHeight="1">
      <c r="C926" s="191"/>
      <c r="E926" s="210"/>
      <c r="F926" s="210"/>
      <c r="G926" s="211"/>
      <c r="H926" s="210"/>
    </row>
    <row r="927" spans="3:8" ht="12.75" customHeight="1">
      <c r="C927" s="191"/>
      <c r="E927" s="210"/>
      <c r="F927" s="210"/>
      <c r="G927" s="211"/>
      <c r="H927" s="210"/>
    </row>
    <row r="928" spans="3:8" ht="12.75" customHeight="1">
      <c r="C928" s="191"/>
      <c r="E928" s="210"/>
      <c r="F928" s="210"/>
      <c r="G928" s="211"/>
      <c r="H928" s="210"/>
    </row>
    <row r="929" spans="3:8" ht="12.75" customHeight="1">
      <c r="C929" s="191"/>
      <c r="E929" s="210"/>
      <c r="F929" s="210"/>
      <c r="G929" s="211"/>
      <c r="H929" s="210"/>
    </row>
    <row r="930" spans="3:8" ht="12.75" customHeight="1">
      <c r="C930" s="191"/>
      <c r="E930" s="210"/>
      <c r="F930" s="210"/>
      <c r="G930" s="211"/>
      <c r="H930" s="210"/>
    </row>
    <row r="931" spans="3:8" ht="12.75" customHeight="1">
      <c r="C931" s="191"/>
      <c r="E931" s="210"/>
      <c r="F931" s="210"/>
      <c r="G931" s="211"/>
      <c r="H931" s="210"/>
    </row>
    <row r="932" spans="3:8" ht="12.75" customHeight="1">
      <c r="C932" s="191"/>
      <c r="E932" s="210"/>
      <c r="F932" s="210"/>
      <c r="G932" s="211"/>
      <c r="H932" s="210"/>
    </row>
    <row r="933" spans="3:8" ht="12.75" customHeight="1">
      <c r="C933" s="191"/>
      <c r="E933" s="210"/>
      <c r="F933" s="210"/>
      <c r="G933" s="211"/>
      <c r="H933" s="210"/>
    </row>
    <row r="934" spans="3:8" ht="12.75" customHeight="1">
      <c r="C934" s="191"/>
      <c r="E934" s="210"/>
      <c r="F934" s="210"/>
      <c r="G934" s="211"/>
      <c r="H934" s="210"/>
    </row>
    <row r="935" spans="3:8" ht="12.75" customHeight="1">
      <c r="C935" s="191"/>
      <c r="E935" s="210"/>
      <c r="F935" s="210"/>
      <c r="G935" s="211"/>
      <c r="H935" s="210"/>
    </row>
    <row r="936" spans="3:8" ht="12.75" customHeight="1">
      <c r="C936" s="191"/>
      <c r="E936" s="210"/>
      <c r="F936" s="210"/>
      <c r="G936" s="211"/>
      <c r="H936" s="210"/>
    </row>
    <row r="937" spans="3:8" ht="12.75" customHeight="1">
      <c r="C937" s="191"/>
      <c r="E937" s="210"/>
      <c r="F937" s="210"/>
      <c r="G937" s="211"/>
      <c r="H937" s="210"/>
    </row>
    <row r="938" spans="3:8" ht="12.75" customHeight="1">
      <c r="C938" s="191"/>
      <c r="E938" s="210"/>
      <c r="F938" s="210"/>
      <c r="G938" s="211"/>
      <c r="H938" s="210"/>
    </row>
    <row r="939" spans="3:8" ht="12.75" customHeight="1">
      <c r="C939" s="191"/>
      <c r="E939" s="210"/>
      <c r="F939" s="210"/>
      <c r="G939" s="211"/>
      <c r="H939" s="210"/>
    </row>
    <row r="940" spans="3:8" ht="12.75" customHeight="1">
      <c r="C940" s="191"/>
      <c r="E940" s="210"/>
      <c r="F940" s="210"/>
      <c r="G940" s="211"/>
      <c r="H940" s="210"/>
    </row>
    <row r="941" spans="3:8" ht="12.75" customHeight="1">
      <c r="C941" s="191"/>
      <c r="E941" s="210"/>
      <c r="F941" s="210"/>
      <c r="G941" s="211"/>
      <c r="H941" s="210"/>
    </row>
    <row r="942" spans="3:8" ht="12.75" customHeight="1">
      <c r="C942" s="191"/>
      <c r="E942" s="210"/>
      <c r="F942" s="210"/>
      <c r="G942" s="211"/>
      <c r="H942" s="210"/>
    </row>
    <row r="943" spans="3:8" ht="12.75" customHeight="1">
      <c r="C943" s="191"/>
      <c r="E943" s="210"/>
      <c r="F943" s="210"/>
      <c r="G943" s="211"/>
      <c r="H943" s="210"/>
    </row>
    <row r="944" spans="3:8" ht="12.75" customHeight="1">
      <c r="C944" s="191"/>
      <c r="E944" s="210"/>
      <c r="F944" s="210"/>
      <c r="G944" s="211"/>
      <c r="H944" s="210"/>
    </row>
    <row r="945" spans="3:8" ht="12.75" customHeight="1">
      <c r="C945" s="191"/>
      <c r="E945" s="210"/>
      <c r="F945" s="210"/>
      <c r="G945" s="211"/>
      <c r="H945" s="210"/>
    </row>
    <row r="946" spans="3:8" ht="12.75" customHeight="1">
      <c r="C946" s="191"/>
      <c r="E946" s="210"/>
      <c r="F946" s="210"/>
      <c r="G946" s="211"/>
      <c r="H946" s="210"/>
    </row>
    <row r="947" spans="3:8" ht="12.75" customHeight="1">
      <c r="C947" s="191"/>
      <c r="E947" s="210"/>
      <c r="F947" s="210"/>
      <c r="G947" s="211"/>
      <c r="H947" s="210"/>
    </row>
    <row r="948" spans="3:8" ht="12.75" customHeight="1">
      <c r="C948" s="191"/>
      <c r="E948" s="210"/>
      <c r="F948" s="210"/>
      <c r="G948" s="211"/>
      <c r="H948" s="210"/>
    </row>
    <row r="949" spans="3:8" ht="12.75" customHeight="1">
      <c r="C949" s="191"/>
      <c r="E949" s="210"/>
      <c r="F949" s="210"/>
      <c r="G949" s="211"/>
      <c r="H949" s="210"/>
    </row>
    <row r="950" spans="3:8" ht="12.75" customHeight="1">
      <c r="C950" s="191"/>
      <c r="E950" s="210"/>
      <c r="F950" s="210"/>
      <c r="G950" s="211"/>
      <c r="H950" s="210"/>
    </row>
    <row r="951" spans="3:8" ht="12.75" customHeight="1">
      <c r="C951" s="191"/>
      <c r="E951" s="210"/>
      <c r="F951" s="210"/>
      <c r="G951" s="211"/>
      <c r="H951" s="210"/>
    </row>
    <row r="952" spans="3:8" ht="12.75" customHeight="1">
      <c r="C952" s="191"/>
      <c r="E952" s="210"/>
      <c r="F952" s="210"/>
      <c r="G952" s="211"/>
      <c r="H952" s="210"/>
    </row>
    <row r="953" spans="3:8" ht="12.75" customHeight="1">
      <c r="C953" s="191"/>
      <c r="E953" s="210"/>
      <c r="F953" s="210"/>
      <c r="G953" s="211"/>
      <c r="H953" s="210"/>
    </row>
    <row r="954" spans="3:8" ht="12.75" customHeight="1">
      <c r="C954" s="191"/>
      <c r="E954" s="210"/>
      <c r="F954" s="210"/>
      <c r="G954" s="211"/>
      <c r="H954" s="210"/>
    </row>
    <row r="955" spans="3:8" ht="12.75" customHeight="1">
      <c r="C955" s="191"/>
      <c r="E955" s="210"/>
      <c r="F955" s="210"/>
      <c r="G955" s="211"/>
      <c r="H955" s="210"/>
    </row>
    <row r="956" spans="3:8" ht="12.75" customHeight="1">
      <c r="C956" s="191"/>
      <c r="E956" s="210"/>
      <c r="F956" s="210"/>
      <c r="G956" s="211"/>
      <c r="H956" s="210"/>
    </row>
    <row r="957" spans="3:8" ht="12.75" customHeight="1">
      <c r="C957" s="191"/>
      <c r="E957" s="210"/>
      <c r="F957" s="210"/>
      <c r="G957" s="211"/>
      <c r="H957" s="210"/>
    </row>
    <row r="958" spans="3:8" ht="12.75" customHeight="1">
      <c r="C958" s="191"/>
      <c r="E958" s="210"/>
      <c r="F958" s="210"/>
      <c r="G958" s="211"/>
      <c r="H958" s="210"/>
    </row>
    <row r="959" spans="3:8" ht="12.75" customHeight="1">
      <c r="C959" s="191"/>
      <c r="E959" s="210"/>
      <c r="F959" s="210"/>
      <c r="G959" s="211"/>
      <c r="H959" s="210"/>
    </row>
    <row r="960" spans="3:8" ht="12.75" customHeight="1">
      <c r="C960" s="191"/>
      <c r="E960" s="210"/>
      <c r="F960" s="210"/>
      <c r="G960" s="211"/>
      <c r="H960" s="210"/>
    </row>
    <row r="961" spans="3:8" ht="12.75" customHeight="1">
      <c r="C961" s="191"/>
      <c r="E961" s="210"/>
      <c r="F961" s="210"/>
      <c r="G961" s="211"/>
      <c r="H961" s="210"/>
    </row>
    <row r="962" spans="3:8" ht="12.75" customHeight="1">
      <c r="C962" s="191"/>
      <c r="E962" s="210"/>
      <c r="F962" s="210"/>
      <c r="G962" s="211"/>
      <c r="H962" s="210"/>
    </row>
    <row r="963" spans="3:8" ht="12.75" customHeight="1">
      <c r="C963" s="191"/>
      <c r="E963" s="210"/>
      <c r="F963" s="210"/>
      <c r="G963" s="211"/>
      <c r="H963" s="210"/>
    </row>
    <row r="964" spans="3:8" ht="12.75" customHeight="1">
      <c r="C964" s="191"/>
      <c r="E964" s="210"/>
      <c r="F964" s="210"/>
      <c r="G964" s="211"/>
      <c r="H964" s="210"/>
    </row>
    <row r="965" spans="3:8" ht="12.75" customHeight="1">
      <c r="C965" s="191"/>
      <c r="E965" s="210"/>
      <c r="F965" s="210"/>
      <c r="G965" s="211"/>
      <c r="H965" s="210"/>
    </row>
    <row r="966" spans="3:8" ht="12.75" customHeight="1">
      <c r="C966" s="191"/>
      <c r="E966" s="210"/>
      <c r="F966" s="210"/>
      <c r="G966" s="211"/>
      <c r="H966" s="210"/>
    </row>
    <row r="967" spans="3:8" ht="12.75" customHeight="1">
      <c r="C967" s="191"/>
      <c r="E967" s="210"/>
      <c r="F967" s="210"/>
      <c r="G967" s="211"/>
      <c r="H967" s="210"/>
    </row>
    <row r="968" spans="3:8" ht="12.75" customHeight="1">
      <c r="C968" s="191"/>
      <c r="E968" s="210"/>
      <c r="F968" s="210"/>
      <c r="G968" s="211"/>
      <c r="H968" s="210"/>
    </row>
    <row r="969" spans="3:8" ht="12.75" customHeight="1">
      <c r="C969" s="191"/>
      <c r="E969" s="210"/>
      <c r="F969" s="210"/>
      <c r="G969" s="211"/>
      <c r="H969" s="210"/>
    </row>
    <row r="970" spans="3:8" ht="12.75" customHeight="1">
      <c r="C970" s="191"/>
      <c r="E970" s="210"/>
      <c r="F970" s="210"/>
      <c r="G970" s="211"/>
      <c r="H970" s="210"/>
    </row>
    <row r="971" spans="3:8" ht="12.75" customHeight="1">
      <c r="C971" s="191"/>
      <c r="E971" s="210"/>
      <c r="F971" s="210"/>
      <c r="G971" s="211"/>
      <c r="H971" s="210"/>
    </row>
    <row r="972" spans="3:8" ht="12.75" customHeight="1">
      <c r="C972" s="191"/>
      <c r="E972" s="210"/>
      <c r="F972" s="210"/>
      <c r="G972" s="211"/>
      <c r="H972" s="210"/>
    </row>
    <row r="973" spans="3:8" ht="12.75" customHeight="1">
      <c r="C973" s="191"/>
      <c r="E973" s="210"/>
      <c r="F973" s="210"/>
      <c r="G973" s="211"/>
      <c r="H973" s="210"/>
    </row>
    <row r="974" spans="3:8" ht="12.75" customHeight="1">
      <c r="C974" s="191"/>
      <c r="E974" s="210"/>
      <c r="F974" s="210"/>
      <c r="G974" s="211"/>
      <c r="H974" s="210"/>
    </row>
    <row r="975" spans="3:8" ht="12.75" customHeight="1">
      <c r="C975" s="191"/>
      <c r="E975" s="210"/>
      <c r="F975" s="210"/>
      <c r="G975" s="211"/>
      <c r="H975" s="210"/>
    </row>
    <row r="976" spans="3:8" ht="12.75" customHeight="1">
      <c r="C976" s="191"/>
      <c r="E976" s="210"/>
      <c r="F976" s="210"/>
      <c r="G976" s="211"/>
      <c r="H976" s="210"/>
    </row>
    <row r="977" spans="3:8" ht="12.75" customHeight="1">
      <c r="C977" s="191"/>
      <c r="E977" s="210"/>
      <c r="F977" s="210"/>
      <c r="G977" s="211"/>
      <c r="H977" s="210"/>
    </row>
    <row r="978" spans="3:8" ht="12.75" customHeight="1">
      <c r="C978" s="191"/>
      <c r="E978" s="210"/>
      <c r="F978" s="210"/>
      <c r="G978" s="211"/>
      <c r="H978" s="210"/>
    </row>
    <row r="979" spans="3:8" ht="12.75" customHeight="1">
      <c r="C979" s="191"/>
      <c r="E979" s="210"/>
      <c r="F979" s="210"/>
      <c r="G979" s="211"/>
      <c r="H979" s="210"/>
    </row>
    <row r="980" spans="3:8" ht="12.75" customHeight="1">
      <c r="C980" s="191"/>
      <c r="E980" s="210"/>
      <c r="F980" s="210"/>
      <c r="G980" s="211"/>
      <c r="H980" s="210"/>
    </row>
    <row r="981" spans="3:8" ht="12.75" customHeight="1">
      <c r="C981" s="191"/>
      <c r="E981" s="210"/>
      <c r="F981" s="210"/>
      <c r="G981" s="211"/>
      <c r="H981" s="210"/>
    </row>
    <row r="982" spans="3:8" ht="12.75" customHeight="1">
      <c r="C982" s="191"/>
      <c r="E982" s="210"/>
      <c r="F982" s="210"/>
      <c r="G982" s="211"/>
      <c r="H982" s="210"/>
    </row>
    <row r="983" spans="3:8" ht="12.75" customHeight="1">
      <c r="C983" s="191"/>
      <c r="E983" s="210"/>
      <c r="F983" s="210"/>
      <c r="G983" s="211"/>
      <c r="H983" s="210"/>
    </row>
    <row r="984" spans="3:8" ht="12.75" customHeight="1">
      <c r="C984" s="191"/>
      <c r="E984" s="210"/>
      <c r="F984" s="210"/>
      <c r="G984" s="211"/>
      <c r="H984" s="210"/>
    </row>
    <row r="985" spans="3:8" ht="12.75" customHeight="1">
      <c r="C985" s="191"/>
      <c r="E985" s="210"/>
      <c r="F985" s="210"/>
      <c r="G985" s="211"/>
      <c r="H985" s="210"/>
    </row>
    <row r="986" spans="3:8" ht="12.75" customHeight="1">
      <c r="C986" s="191"/>
      <c r="E986" s="210"/>
      <c r="F986" s="210"/>
      <c r="G986" s="211"/>
      <c r="H986" s="210"/>
    </row>
    <row r="987" spans="3:8" ht="12.75" customHeight="1">
      <c r="C987" s="191"/>
      <c r="E987" s="210"/>
      <c r="F987" s="210"/>
      <c r="G987" s="211"/>
      <c r="H987" s="210"/>
    </row>
    <row r="988" spans="3:8" ht="12.75" customHeight="1">
      <c r="C988" s="191"/>
      <c r="E988" s="210"/>
      <c r="F988" s="210"/>
      <c r="G988" s="211"/>
      <c r="H988" s="210"/>
    </row>
    <row r="989" spans="3:8" ht="12.75" customHeight="1">
      <c r="C989" s="191"/>
      <c r="E989" s="210"/>
      <c r="F989" s="210"/>
      <c r="G989" s="211"/>
      <c r="H989" s="210"/>
    </row>
    <row r="990" spans="3:8" ht="12.75" customHeight="1">
      <c r="C990" s="191"/>
      <c r="E990" s="210"/>
      <c r="F990" s="210"/>
      <c r="G990" s="211"/>
      <c r="H990" s="210"/>
    </row>
    <row r="991" spans="3:8" ht="12.75" customHeight="1">
      <c r="C991" s="191"/>
      <c r="E991" s="210"/>
      <c r="F991" s="210"/>
      <c r="G991" s="211"/>
      <c r="H991" s="210"/>
    </row>
    <row r="992" spans="3:8" ht="12.75" customHeight="1">
      <c r="C992" s="191"/>
      <c r="E992" s="210"/>
      <c r="F992" s="210"/>
      <c r="G992" s="211"/>
      <c r="H992" s="210"/>
    </row>
    <row r="993" spans="3:8" ht="12.75" customHeight="1">
      <c r="C993" s="191"/>
      <c r="E993" s="210"/>
      <c r="F993" s="210"/>
      <c r="G993" s="211"/>
      <c r="H993" s="210"/>
    </row>
    <row r="994" spans="3:8" ht="12.75" customHeight="1">
      <c r="C994" s="191"/>
      <c r="E994" s="210"/>
      <c r="F994" s="210"/>
      <c r="G994" s="211"/>
      <c r="H994" s="210"/>
    </row>
    <row r="995" spans="3:8" ht="12.75" customHeight="1">
      <c r="C995" s="191"/>
      <c r="E995" s="210"/>
      <c r="F995" s="210"/>
      <c r="G995" s="211"/>
      <c r="H995" s="210"/>
    </row>
    <row r="996" spans="3:8" ht="12.75" customHeight="1">
      <c r="C996" s="191"/>
      <c r="E996" s="210"/>
      <c r="F996" s="210"/>
      <c r="G996" s="211"/>
      <c r="H996" s="210"/>
    </row>
    <row r="997" spans="3:8" ht="12.75" customHeight="1">
      <c r="C997" s="191"/>
      <c r="E997" s="210"/>
      <c r="F997" s="210"/>
      <c r="G997" s="211"/>
      <c r="H997" s="210"/>
    </row>
    <row r="998" spans="3:8" ht="12.75" customHeight="1">
      <c r="C998" s="191"/>
      <c r="E998" s="210"/>
      <c r="F998" s="210"/>
      <c r="G998" s="211"/>
      <c r="H998" s="210"/>
    </row>
    <row r="999" spans="3:8" ht="12.75" customHeight="1">
      <c r="C999" s="191"/>
      <c r="E999" s="210"/>
      <c r="F999" s="210"/>
      <c r="G999" s="211"/>
      <c r="H999" s="210"/>
    </row>
    <row r="1000" spans="3:8" ht="12.75" customHeight="1">
      <c r="C1000" s="191"/>
      <c r="E1000" s="210"/>
      <c r="F1000" s="210"/>
      <c r="G1000" s="211"/>
      <c r="H1000" s="210"/>
    </row>
  </sheetData>
  <mergeCells count="4">
    <mergeCell ref="D2:H2"/>
    <mergeCell ref="A5:J5"/>
    <mergeCell ref="A13:J13"/>
    <mergeCell ref="A15:J15"/>
  </mergeCells>
  <hyperlinks>
    <hyperlink ref="D8" r:id="rId1" xr:uid="{00000000-0004-0000-1000-000000000000}"/>
    <hyperlink ref="D9" r:id="rId2" xr:uid="{00000000-0004-0000-1000-000001000000}"/>
    <hyperlink ref="D10" r:id="rId3" xr:uid="{00000000-0004-0000-1000-000002000000}"/>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baseColWidth="10" defaultColWidth="12.6640625" defaultRowHeight="15" customHeight="1"/>
  <cols>
    <col min="1" max="2" width="19.109375" customWidth="1"/>
    <col min="3" max="3" width="24.109375" customWidth="1"/>
    <col min="4" max="4" width="25.88671875" customWidth="1"/>
    <col min="5" max="5" width="20.21875" customWidth="1"/>
    <col min="6" max="6" width="17" customWidth="1"/>
    <col min="7" max="7" width="18" customWidth="1"/>
    <col min="8" max="8" width="17" customWidth="1"/>
    <col min="9" max="9" width="28" customWidth="1"/>
    <col min="10" max="10" width="26.44140625" customWidth="1"/>
    <col min="11" max="26" width="10" customWidth="1"/>
  </cols>
  <sheetData>
    <row r="1" spans="1:26" ht="12.75" customHeight="1">
      <c r="C1" s="191"/>
      <c r="E1" s="210"/>
      <c r="F1" s="210"/>
      <c r="G1" s="210"/>
      <c r="J1" s="147"/>
    </row>
    <row r="2" spans="1:26" ht="27.75" customHeight="1">
      <c r="C2" s="191"/>
      <c r="D2" s="309" t="s">
        <v>116</v>
      </c>
      <c r="E2" s="310"/>
      <c r="F2" s="310"/>
      <c r="G2" s="310"/>
      <c r="H2" s="310"/>
      <c r="J2" s="147"/>
    </row>
    <row r="3" spans="1:26" ht="12.75" customHeight="1">
      <c r="C3" s="191"/>
      <c r="E3" s="210"/>
      <c r="F3" s="210"/>
      <c r="G3" s="210"/>
      <c r="J3" s="147"/>
    </row>
    <row r="4" spans="1:26" ht="12.75" customHeight="1">
      <c r="C4" s="191"/>
      <c r="E4" s="210"/>
      <c r="F4" s="210"/>
      <c r="G4" s="210"/>
      <c r="J4" s="147"/>
    </row>
    <row r="5" spans="1:26" ht="43.5" customHeight="1">
      <c r="A5" s="311" t="s">
        <v>117</v>
      </c>
      <c r="B5" s="297"/>
      <c r="C5" s="297"/>
      <c r="D5" s="297"/>
      <c r="E5" s="297"/>
      <c r="F5" s="297"/>
      <c r="G5" s="297"/>
      <c r="H5" s="297"/>
      <c r="I5" s="297"/>
      <c r="J5" s="298"/>
    </row>
    <row r="6" spans="1:26" ht="15.75" customHeight="1">
      <c r="C6" s="191"/>
      <c r="E6" s="210"/>
      <c r="F6" s="210"/>
      <c r="G6" s="210"/>
      <c r="J6" s="147"/>
    </row>
    <row r="7" spans="1:26" ht="75.75" customHeight="1">
      <c r="A7" s="81" t="s">
        <v>118</v>
      </c>
      <c r="B7" s="106" t="s">
        <v>407</v>
      </c>
      <c r="C7" s="192" t="s">
        <v>408</v>
      </c>
      <c r="D7" s="106" t="s">
        <v>409</v>
      </c>
      <c r="E7" s="164" t="s">
        <v>410</v>
      </c>
      <c r="F7" s="165" t="s">
        <v>411</v>
      </c>
      <c r="G7" s="218" t="s">
        <v>412</v>
      </c>
      <c r="H7" s="106" t="s">
        <v>125</v>
      </c>
      <c r="I7" s="106" t="s">
        <v>413</v>
      </c>
      <c r="J7" s="106" t="s">
        <v>414</v>
      </c>
      <c r="K7" s="85"/>
      <c r="L7" s="85"/>
      <c r="M7" s="85"/>
      <c r="N7" s="85"/>
      <c r="O7" s="85"/>
      <c r="P7" s="85"/>
      <c r="Q7" s="85"/>
      <c r="R7" s="85"/>
      <c r="S7" s="85"/>
      <c r="T7" s="85"/>
      <c r="U7" s="85"/>
      <c r="V7" s="85"/>
      <c r="W7" s="85"/>
      <c r="X7" s="85"/>
      <c r="Y7" s="85"/>
      <c r="Z7" s="85"/>
    </row>
    <row r="8" spans="1:26" ht="139.5" customHeight="1">
      <c r="A8" s="119" t="s">
        <v>128</v>
      </c>
      <c r="B8" s="150" t="s">
        <v>289</v>
      </c>
      <c r="C8" s="199" t="s">
        <v>415</v>
      </c>
      <c r="D8" s="219" t="s">
        <v>416</v>
      </c>
      <c r="E8" s="103">
        <v>687679</v>
      </c>
      <c r="F8" s="103">
        <v>687679</v>
      </c>
      <c r="G8" s="103">
        <v>188.91</v>
      </c>
      <c r="H8" s="213" t="s">
        <v>292</v>
      </c>
      <c r="I8" s="150" t="s">
        <v>293</v>
      </c>
      <c r="J8" s="185" t="s">
        <v>417</v>
      </c>
    </row>
    <row r="9" spans="1:26" ht="120.75" customHeight="1">
      <c r="A9" s="119" t="s">
        <v>135</v>
      </c>
      <c r="B9" s="150" t="s">
        <v>289</v>
      </c>
      <c r="C9" s="199" t="s">
        <v>415</v>
      </c>
      <c r="D9" s="220" t="s">
        <v>418</v>
      </c>
      <c r="E9" s="103">
        <v>800000</v>
      </c>
      <c r="F9" s="103">
        <v>800000</v>
      </c>
      <c r="G9" s="103" t="s">
        <v>419</v>
      </c>
      <c r="H9" s="213" t="s">
        <v>292</v>
      </c>
      <c r="I9" s="150" t="s">
        <v>293</v>
      </c>
      <c r="J9" s="185" t="s">
        <v>417</v>
      </c>
    </row>
    <row r="10" spans="1:26" ht="132.75" customHeight="1">
      <c r="A10" s="119" t="s">
        <v>144</v>
      </c>
      <c r="B10" s="150" t="s">
        <v>312</v>
      </c>
      <c r="C10" s="199" t="s">
        <v>313</v>
      </c>
      <c r="D10" s="187" t="s">
        <v>420</v>
      </c>
      <c r="E10" s="103">
        <v>686622</v>
      </c>
      <c r="F10" s="103">
        <v>686622</v>
      </c>
      <c r="G10" s="103">
        <v>188.54</v>
      </c>
      <c r="H10" s="213" t="s">
        <v>292</v>
      </c>
      <c r="I10" s="150" t="s">
        <v>421</v>
      </c>
      <c r="J10" s="185" t="s">
        <v>422</v>
      </c>
    </row>
    <row r="11" spans="1:26" ht="15" customHeight="1">
      <c r="A11" s="96"/>
      <c r="B11" s="128"/>
      <c r="C11" s="201"/>
      <c r="D11" s="128"/>
      <c r="E11" s="178"/>
      <c r="F11" s="178"/>
      <c r="G11" s="178"/>
      <c r="H11" s="128"/>
      <c r="I11" s="128"/>
      <c r="J11" s="161"/>
    </row>
    <row r="12" spans="1:26" ht="12.75" customHeight="1">
      <c r="C12" s="191"/>
      <c r="E12" s="210"/>
      <c r="F12" s="210"/>
      <c r="G12" s="210"/>
      <c r="J12" s="147"/>
    </row>
    <row r="13" spans="1:26" ht="138.75" customHeight="1">
      <c r="A13" s="312" t="s">
        <v>423</v>
      </c>
      <c r="B13" s="297"/>
      <c r="C13" s="297"/>
      <c r="D13" s="297"/>
      <c r="E13" s="297"/>
      <c r="F13" s="297"/>
      <c r="G13" s="297"/>
      <c r="H13" s="297"/>
      <c r="I13" s="297"/>
      <c r="J13" s="298"/>
    </row>
    <row r="14" spans="1:26" ht="12.75" customHeight="1">
      <c r="C14" s="191"/>
      <c r="E14" s="210"/>
      <c r="F14" s="210"/>
      <c r="G14" s="210"/>
      <c r="J14" s="147"/>
    </row>
    <row r="15" spans="1:26" ht="75" customHeight="1">
      <c r="A15" s="312" t="s">
        <v>424</v>
      </c>
      <c r="B15" s="297"/>
      <c r="C15" s="297"/>
      <c r="D15" s="297"/>
      <c r="E15" s="297"/>
      <c r="F15" s="297"/>
      <c r="G15" s="297"/>
      <c r="H15" s="297"/>
      <c r="I15" s="297"/>
      <c r="J15" s="298"/>
    </row>
    <row r="16" spans="1:26" ht="12.75" customHeight="1">
      <c r="C16" s="191"/>
      <c r="E16" s="210"/>
      <c r="F16" s="210"/>
      <c r="G16" s="210"/>
      <c r="J16" s="147"/>
    </row>
    <row r="17" spans="3:10" ht="12.75" customHeight="1">
      <c r="C17" s="191"/>
      <c r="E17" s="210"/>
      <c r="F17" s="210"/>
      <c r="G17" s="210"/>
      <c r="J17" s="147"/>
    </row>
    <row r="18" spans="3:10" ht="12.75" customHeight="1">
      <c r="C18" s="191"/>
      <c r="E18" s="210"/>
      <c r="F18" s="210"/>
      <c r="G18" s="210"/>
      <c r="J18" s="147"/>
    </row>
    <row r="19" spans="3:10" ht="12.75" customHeight="1">
      <c r="C19" s="191"/>
      <c r="E19" s="210"/>
      <c r="F19" s="210"/>
      <c r="G19" s="210"/>
      <c r="J19" s="147"/>
    </row>
    <row r="20" spans="3:10" ht="12.75" customHeight="1">
      <c r="C20" s="191"/>
      <c r="E20" s="210"/>
      <c r="F20" s="210"/>
      <c r="G20" s="210"/>
      <c r="J20" s="147"/>
    </row>
    <row r="21" spans="3:10" ht="12.75" customHeight="1">
      <c r="C21" s="191"/>
      <c r="E21" s="210"/>
      <c r="F21" s="210"/>
      <c r="G21" s="210"/>
      <c r="J21" s="147"/>
    </row>
    <row r="22" spans="3:10" ht="12.75" customHeight="1">
      <c r="C22" s="191"/>
      <c r="E22" s="210"/>
      <c r="F22" s="210"/>
      <c r="G22" s="210"/>
      <c r="J22" s="147"/>
    </row>
    <row r="23" spans="3:10" ht="12.75" customHeight="1">
      <c r="C23" s="191"/>
      <c r="E23" s="210"/>
      <c r="F23" s="210"/>
      <c r="G23" s="210"/>
      <c r="J23" s="147"/>
    </row>
    <row r="24" spans="3:10" ht="12.75" customHeight="1">
      <c r="C24" s="191"/>
      <c r="E24" s="210"/>
      <c r="F24" s="210"/>
      <c r="G24" s="210"/>
      <c r="J24" s="147"/>
    </row>
    <row r="25" spans="3:10" ht="12.75" customHeight="1">
      <c r="C25" s="191"/>
      <c r="E25" s="210"/>
      <c r="F25" s="210"/>
      <c r="G25" s="210"/>
      <c r="J25" s="147"/>
    </row>
    <row r="26" spans="3:10" ht="12.75" customHeight="1">
      <c r="C26" s="191"/>
      <c r="D26" s="98"/>
      <c r="E26" s="179"/>
      <c r="F26" s="216"/>
      <c r="G26" s="216"/>
      <c r="J26" s="147"/>
    </row>
    <row r="27" spans="3:10" ht="12.75" customHeight="1">
      <c r="C27" s="191"/>
      <c r="E27" s="210"/>
      <c r="F27" s="210"/>
      <c r="G27" s="210"/>
      <c r="J27" s="147"/>
    </row>
    <row r="28" spans="3:10" ht="12.75" customHeight="1">
      <c r="C28" s="191"/>
      <c r="E28" s="210"/>
      <c r="F28" s="210"/>
      <c r="G28" s="210"/>
      <c r="J28" s="147"/>
    </row>
    <row r="29" spans="3:10" ht="12.75" customHeight="1">
      <c r="C29" s="191"/>
      <c r="E29" s="210"/>
      <c r="F29" s="210"/>
      <c r="G29" s="210"/>
      <c r="J29" s="147"/>
    </row>
    <row r="30" spans="3:10" ht="12.75" customHeight="1">
      <c r="C30" s="191"/>
      <c r="E30" s="210"/>
      <c r="F30" s="210"/>
      <c r="G30" s="210"/>
      <c r="J30" s="147"/>
    </row>
    <row r="31" spans="3:10" ht="12.75" customHeight="1">
      <c r="C31" s="191"/>
      <c r="E31" s="210"/>
      <c r="F31" s="210"/>
      <c r="G31" s="210"/>
      <c r="J31" s="147"/>
    </row>
    <row r="32" spans="3:10" ht="12.75" customHeight="1">
      <c r="C32" s="191"/>
      <c r="E32" s="210"/>
      <c r="F32" s="210"/>
      <c r="G32" s="210"/>
      <c r="J32" s="147"/>
    </row>
    <row r="33" spans="3:10" ht="12.75" customHeight="1">
      <c r="C33" s="191"/>
      <c r="E33" s="210"/>
      <c r="F33" s="210"/>
      <c r="G33" s="210"/>
      <c r="J33" s="147"/>
    </row>
    <row r="34" spans="3:10" ht="12.75" customHeight="1">
      <c r="C34" s="191"/>
      <c r="E34" s="210"/>
      <c r="F34" s="210"/>
      <c r="G34" s="210"/>
      <c r="J34" s="147"/>
    </row>
    <row r="35" spans="3:10" ht="12.75" customHeight="1">
      <c r="C35" s="191"/>
      <c r="E35" s="210"/>
      <c r="F35" s="210"/>
      <c r="G35" s="210"/>
      <c r="J35" s="147"/>
    </row>
    <row r="36" spans="3:10" ht="12.75" customHeight="1">
      <c r="C36" s="191"/>
      <c r="E36" s="210"/>
      <c r="F36" s="210"/>
      <c r="G36" s="210"/>
      <c r="J36" s="147"/>
    </row>
    <row r="37" spans="3:10" ht="12.75" customHeight="1">
      <c r="C37" s="191"/>
      <c r="E37" s="210"/>
      <c r="F37" s="210"/>
      <c r="G37" s="210"/>
      <c r="J37" s="147"/>
    </row>
    <row r="38" spans="3:10" ht="12.75" customHeight="1">
      <c r="C38" s="191"/>
      <c r="E38" s="210"/>
      <c r="F38" s="210"/>
      <c r="G38" s="210"/>
      <c r="J38" s="147"/>
    </row>
    <row r="39" spans="3:10" ht="12.75" customHeight="1">
      <c r="C39" s="191"/>
      <c r="E39" s="210"/>
      <c r="F39" s="210"/>
      <c r="G39" s="210"/>
      <c r="J39" s="147"/>
    </row>
    <row r="40" spans="3:10" ht="12.75" customHeight="1">
      <c r="C40" s="191"/>
      <c r="E40" s="210"/>
      <c r="F40" s="210"/>
      <c r="G40" s="210"/>
      <c r="J40" s="147"/>
    </row>
    <row r="41" spans="3:10" ht="12.75" customHeight="1">
      <c r="C41" s="191"/>
      <c r="E41" s="210"/>
      <c r="F41" s="210"/>
      <c r="G41" s="210"/>
      <c r="J41" s="147"/>
    </row>
    <row r="42" spans="3:10" ht="12.75" customHeight="1">
      <c r="C42" s="191"/>
      <c r="E42" s="210"/>
      <c r="F42" s="210"/>
      <c r="G42" s="210"/>
      <c r="J42" s="147"/>
    </row>
    <row r="43" spans="3:10" ht="12.75" customHeight="1">
      <c r="C43" s="191"/>
      <c r="E43" s="210"/>
      <c r="F43" s="210"/>
      <c r="G43" s="210"/>
      <c r="J43" s="147"/>
    </row>
    <row r="44" spans="3:10" ht="12.75" customHeight="1">
      <c r="C44" s="191"/>
      <c r="E44" s="210"/>
      <c r="F44" s="210"/>
      <c r="G44" s="210"/>
      <c r="J44" s="147"/>
    </row>
    <row r="45" spans="3:10" ht="12.75" customHeight="1">
      <c r="C45" s="191"/>
      <c r="E45" s="210"/>
      <c r="F45" s="210"/>
      <c r="G45" s="210"/>
      <c r="J45" s="147"/>
    </row>
    <row r="46" spans="3:10" ht="12.75" customHeight="1">
      <c r="C46" s="191"/>
      <c r="E46" s="210"/>
      <c r="F46" s="210"/>
      <c r="G46" s="210"/>
      <c r="J46" s="147"/>
    </row>
    <row r="47" spans="3:10" ht="12.75" customHeight="1">
      <c r="C47" s="191"/>
      <c r="E47" s="210"/>
      <c r="F47" s="210"/>
      <c r="G47" s="210"/>
      <c r="J47" s="147"/>
    </row>
    <row r="48" spans="3:10" ht="12.75" customHeight="1">
      <c r="C48" s="191"/>
      <c r="E48" s="210"/>
      <c r="F48" s="210"/>
      <c r="G48" s="210"/>
      <c r="J48" s="147"/>
    </row>
    <row r="49" spans="3:10" ht="12.75" customHeight="1">
      <c r="C49" s="191"/>
      <c r="E49" s="210"/>
      <c r="F49" s="210"/>
      <c r="G49" s="210"/>
      <c r="J49" s="147"/>
    </row>
    <row r="50" spans="3:10" ht="12.75" customHeight="1">
      <c r="C50" s="191"/>
      <c r="E50" s="210"/>
      <c r="F50" s="210"/>
      <c r="G50" s="210"/>
      <c r="J50" s="147"/>
    </row>
    <row r="51" spans="3:10" ht="12.75" customHeight="1">
      <c r="C51" s="191"/>
      <c r="E51" s="210"/>
      <c r="F51" s="210"/>
      <c r="G51" s="210"/>
      <c r="J51" s="147"/>
    </row>
    <row r="52" spans="3:10" ht="12.75" customHeight="1">
      <c r="C52" s="191"/>
      <c r="E52" s="210"/>
      <c r="F52" s="210"/>
      <c r="G52" s="210"/>
      <c r="J52" s="147"/>
    </row>
    <row r="53" spans="3:10" ht="12.75" customHeight="1">
      <c r="C53" s="191"/>
      <c r="E53" s="210"/>
      <c r="F53" s="210"/>
      <c r="G53" s="210"/>
      <c r="J53" s="147"/>
    </row>
    <row r="54" spans="3:10" ht="12.75" customHeight="1">
      <c r="C54" s="191"/>
      <c r="E54" s="210"/>
      <c r="F54" s="210"/>
      <c r="G54" s="210"/>
      <c r="J54" s="147"/>
    </row>
    <row r="55" spans="3:10" ht="12.75" customHeight="1">
      <c r="C55" s="191"/>
      <c r="E55" s="210"/>
      <c r="F55" s="210"/>
      <c r="G55" s="210"/>
      <c r="J55" s="147"/>
    </row>
    <row r="56" spans="3:10" ht="12.75" customHeight="1">
      <c r="C56" s="191"/>
      <c r="E56" s="210"/>
      <c r="F56" s="210"/>
      <c r="G56" s="210"/>
      <c r="J56" s="147"/>
    </row>
    <row r="57" spans="3:10" ht="12.75" customHeight="1">
      <c r="C57" s="191"/>
      <c r="E57" s="210"/>
      <c r="F57" s="210"/>
      <c r="G57" s="210"/>
      <c r="J57" s="147"/>
    </row>
    <row r="58" spans="3:10" ht="12.75" customHeight="1">
      <c r="C58" s="191"/>
      <c r="E58" s="210"/>
      <c r="F58" s="210"/>
      <c r="G58" s="210"/>
      <c r="J58" s="147"/>
    </row>
    <row r="59" spans="3:10" ht="12.75" customHeight="1">
      <c r="C59" s="191"/>
      <c r="E59" s="210"/>
      <c r="F59" s="210"/>
      <c r="G59" s="210"/>
      <c r="J59" s="147"/>
    </row>
    <row r="60" spans="3:10" ht="12.75" customHeight="1">
      <c r="C60" s="191"/>
      <c r="E60" s="210"/>
      <c r="F60" s="210"/>
      <c r="G60" s="210"/>
      <c r="J60" s="147"/>
    </row>
    <row r="61" spans="3:10" ht="12.75" customHeight="1">
      <c r="C61" s="191"/>
      <c r="E61" s="210"/>
      <c r="F61" s="210"/>
      <c r="G61" s="210"/>
      <c r="J61" s="147"/>
    </row>
    <row r="62" spans="3:10" ht="12.75" customHeight="1">
      <c r="C62" s="191"/>
      <c r="E62" s="210"/>
      <c r="F62" s="210"/>
      <c r="G62" s="210"/>
      <c r="J62" s="147"/>
    </row>
    <row r="63" spans="3:10" ht="12.75" customHeight="1">
      <c r="C63" s="191"/>
      <c r="E63" s="210"/>
      <c r="F63" s="210"/>
      <c r="G63" s="210"/>
      <c r="J63" s="147"/>
    </row>
    <row r="64" spans="3:10" ht="12.75" customHeight="1">
      <c r="C64" s="191"/>
      <c r="E64" s="210"/>
      <c r="F64" s="210"/>
      <c r="G64" s="210"/>
      <c r="J64" s="147"/>
    </row>
    <row r="65" spans="3:10" ht="12.75" customHeight="1">
      <c r="C65" s="191"/>
      <c r="E65" s="210"/>
      <c r="F65" s="210"/>
      <c r="G65" s="210"/>
      <c r="J65" s="147"/>
    </row>
    <row r="66" spans="3:10" ht="12.75" customHeight="1">
      <c r="C66" s="191"/>
      <c r="E66" s="210"/>
      <c r="F66" s="210"/>
      <c r="G66" s="210"/>
      <c r="J66" s="147"/>
    </row>
    <row r="67" spans="3:10" ht="12.75" customHeight="1">
      <c r="C67" s="191"/>
      <c r="E67" s="210"/>
      <c r="F67" s="210"/>
      <c r="G67" s="210"/>
      <c r="J67" s="147"/>
    </row>
    <row r="68" spans="3:10" ht="12.75" customHeight="1">
      <c r="C68" s="191"/>
      <c r="E68" s="210"/>
      <c r="F68" s="210"/>
      <c r="G68" s="210"/>
      <c r="J68" s="147"/>
    </row>
    <row r="69" spans="3:10" ht="12.75" customHeight="1">
      <c r="C69" s="191"/>
      <c r="E69" s="210"/>
      <c r="F69" s="210"/>
      <c r="G69" s="210"/>
      <c r="J69" s="147"/>
    </row>
    <row r="70" spans="3:10" ht="12.75" customHeight="1">
      <c r="C70" s="191"/>
      <c r="E70" s="210"/>
      <c r="F70" s="210"/>
      <c r="G70" s="210"/>
      <c r="J70" s="147"/>
    </row>
    <row r="71" spans="3:10" ht="12.75" customHeight="1">
      <c r="C71" s="191"/>
      <c r="E71" s="210"/>
      <c r="F71" s="210"/>
      <c r="G71" s="210"/>
      <c r="J71" s="147"/>
    </row>
    <row r="72" spans="3:10" ht="12.75" customHeight="1">
      <c r="C72" s="191"/>
      <c r="E72" s="210"/>
      <c r="F72" s="210"/>
      <c r="G72" s="210"/>
      <c r="J72" s="147"/>
    </row>
    <row r="73" spans="3:10" ht="12.75" customHeight="1">
      <c r="C73" s="191"/>
      <c r="E73" s="210"/>
      <c r="F73" s="210"/>
      <c r="G73" s="210"/>
      <c r="J73" s="147"/>
    </row>
    <row r="74" spans="3:10" ht="12.75" customHeight="1">
      <c r="C74" s="191"/>
      <c r="E74" s="210"/>
      <c r="F74" s="210"/>
      <c r="G74" s="210"/>
      <c r="J74" s="147"/>
    </row>
    <row r="75" spans="3:10" ht="12.75" customHeight="1">
      <c r="C75" s="191"/>
      <c r="E75" s="210"/>
      <c r="F75" s="210"/>
      <c r="G75" s="210"/>
      <c r="J75" s="147"/>
    </row>
    <row r="76" spans="3:10" ht="12.75" customHeight="1">
      <c r="C76" s="191"/>
      <c r="E76" s="210"/>
      <c r="F76" s="210"/>
      <c r="G76" s="210"/>
      <c r="J76" s="147"/>
    </row>
    <row r="77" spans="3:10" ht="12.75" customHeight="1">
      <c r="C77" s="191"/>
      <c r="E77" s="210"/>
      <c r="F77" s="210"/>
      <c r="G77" s="210"/>
      <c r="J77" s="147"/>
    </row>
    <row r="78" spans="3:10" ht="12.75" customHeight="1">
      <c r="C78" s="191"/>
      <c r="E78" s="210"/>
      <c r="F78" s="210"/>
      <c r="G78" s="210"/>
      <c r="J78" s="147"/>
    </row>
    <row r="79" spans="3:10" ht="12.75" customHeight="1">
      <c r="C79" s="191"/>
      <c r="E79" s="210"/>
      <c r="F79" s="210"/>
      <c r="G79" s="210"/>
      <c r="J79" s="147"/>
    </row>
    <row r="80" spans="3:10" ht="12.75" customHeight="1">
      <c r="C80" s="191"/>
      <c r="E80" s="210"/>
      <c r="F80" s="210"/>
      <c r="G80" s="210"/>
      <c r="J80" s="147"/>
    </row>
    <row r="81" spans="3:10" ht="12.75" customHeight="1">
      <c r="C81" s="191"/>
      <c r="E81" s="210"/>
      <c r="F81" s="210"/>
      <c r="G81" s="210"/>
      <c r="J81" s="147"/>
    </row>
    <row r="82" spans="3:10" ht="12.75" customHeight="1">
      <c r="C82" s="191"/>
      <c r="E82" s="210"/>
      <c r="F82" s="210"/>
      <c r="G82" s="210"/>
      <c r="J82" s="147"/>
    </row>
    <row r="83" spans="3:10" ht="12.75" customHeight="1">
      <c r="C83" s="191"/>
      <c r="E83" s="210"/>
      <c r="F83" s="210"/>
      <c r="G83" s="210"/>
      <c r="J83" s="147"/>
    </row>
    <row r="84" spans="3:10" ht="12.75" customHeight="1">
      <c r="C84" s="191"/>
      <c r="E84" s="210"/>
      <c r="F84" s="210"/>
      <c r="G84" s="210"/>
      <c r="J84" s="147"/>
    </row>
    <row r="85" spans="3:10" ht="12.75" customHeight="1">
      <c r="C85" s="191"/>
      <c r="E85" s="210"/>
      <c r="F85" s="210"/>
      <c r="G85" s="210"/>
      <c r="J85" s="147"/>
    </row>
    <row r="86" spans="3:10" ht="12.75" customHeight="1">
      <c r="C86" s="191"/>
      <c r="E86" s="210"/>
      <c r="F86" s="210"/>
      <c r="G86" s="210"/>
      <c r="J86" s="147"/>
    </row>
    <row r="87" spans="3:10" ht="12.75" customHeight="1">
      <c r="C87" s="191"/>
      <c r="E87" s="210"/>
      <c r="F87" s="210"/>
      <c r="G87" s="210"/>
      <c r="J87" s="147"/>
    </row>
    <row r="88" spans="3:10" ht="12.75" customHeight="1">
      <c r="C88" s="191"/>
      <c r="E88" s="210"/>
      <c r="F88" s="210"/>
      <c r="G88" s="210"/>
      <c r="J88" s="147"/>
    </row>
    <row r="89" spans="3:10" ht="12.75" customHeight="1">
      <c r="C89" s="191"/>
      <c r="E89" s="210"/>
      <c r="F89" s="210"/>
      <c r="G89" s="210"/>
      <c r="J89" s="147"/>
    </row>
    <row r="90" spans="3:10" ht="12.75" customHeight="1">
      <c r="C90" s="191"/>
      <c r="E90" s="210"/>
      <c r="F90" s="210"/>
      <c r="G90" s="210"/>
      <c r="J90" s="147"/>
    </row>
    <row r="91" spans="3:10" ht="12.75" customHeight="1">
      <c r="C91" s="191"/>
      <c r="E91" s="210"/>
      <c r="F91" s="210"/>
      <c r="G91" s="210"/>
      <c r="J91" s="147"/>
    </row>
    <row r="92" spans="3:10" ht="12.75" customHeight="1">
      <c r="C92" s="191"/>
      <c r="E92" s="210"/>
      <c r="F92" s="210"/>
      <c r="G92" s="210"/>
      <c r="J92" s="147"/>
    </row>
    <row r="93" spans="3:10" ht="12.75" customHeight="1">
      <c r="C93" s="191"/>
      <c r="E93" s="210"/>
      <c r="F93" s="210"/>
      <c r="G93" s="210"/>
      <c r="J93" s="147"/>
    </row>
    <row r="94" spans="3:10" ht="12.75" customHeight="1">
      <c r="C94" s="191"/>
      <c r="E94" s="210"/>
      <c r="F94" s="210"/>
      <c r="G94" s="210"/>
      <c r="J94" s="147"/>
    </row>
    <row r="95" spans="3:10" ht="12.75" customHeight="1">
      <c r="C95" s="191"/>
      <c r="E95" s="210"/>
      <c r="F95" s="210"/>
      <c r="G95" s="210"/>
      <c r="J95" s="147"/>
    </row>
    <row r="96" spans="3:10" ht="12.75" customHeight="1">
      <c r="C96" s="191"/>
      <c r="E96" s="210"/>
      <c r="F96" s="210"/>
      <c r="G96" s="210"/>
      <c r="J96" s="147"/>
    </row>
    <row r="97" spans="3:10" ht="12.75" customHeight="1">
      <c r="C97" s="191"/>
      <c r="E97" s="210"/>
      <c r="F97" s="210"/>
      <c r="G97" s="210"/>
      <c r="J97" s="147"/>
    </row>
    <row r="98" spans="3:10" ht="12.75" customHeight="1">
      <c r="C98" s="191"/>
      <c r="E98" s="210"/>
      <c r="F98" s="210"/>
      <c r="G98" s="210"/>
      <c r="J98" s="147"/>
    </row>
    <row r="99" spans="3:10" ht="12.75" customHeight="1">
      <c r="C99" s="191"/>
      <c r="E99" s="210"/>
      <c r="F99" s="210"/>
      <c r="G99" s="210"/>
      <c r="J99" s="147"/>
    </row>
    <row r="100" spans="3:10" ht="12.75" customHeight="1">
      <c r="C100" s="191"/>
      <c r="E100" s="210"/>
      <c r="F100" s="210"/>
      <c r="G100" s="210"/>
      <c r="J100" s="147"/>
    </row>
    <row r="101" spans="3:10" ht="12.75" customHeight="1">
      <c r="C101" s="191"/>
      <c r="E101" s="210"/>
      <c r="F101" s="210"/>
      <c r="G101" s="210"/>
      <c r="J101" s="147"/>
    </row>
    <row r="102" spans="3:10" ht="12.75" customHeight="1">
      <c r="C102" s="191"/>
      <c r="E102" s="210"/>
      <c r="F102" s="210"/>
      <c r="G102" s="210"/>
      <c r="J102" s="147"/>
    </row>
    <row r="103" spans="3:10" ht="12.75" customHeight="1">
      <c r="C103" s="191"/>
      <c r="E103" s="210"/>
      <c r="F103" s="210"/>
      <c r="G103" s="210"/>
      <c r="J103" s="147"/>
    </row>
    <row r="104" spans="3:10" ht="12.75" customHeight="1">
      <c r="C104" s="191"/>
      <c r="E104" s="210"/>
      <c r="F104" s="210"/>
      <c r="G104" s="210"/>
      <c r="J104" s="147"/>
    </row>
    <row r="105" spans="3:10" ht="12.75" customHeight="1">
      <c r="C105" s="191"/>
      <c r="E105" s="210"/>
      <c r="F105" s="210"/>
      <c r="G105" s="210"/>
      <c r="J105" s="147"/>
    </row>
    <row r="106" spans="3:10" ht="12.75" customHeight="1">
      <c r="C106" s="191"/>
      <c r="E106" s="210"/>
      <c r="F106" s="210"/>
      <c r="G106" s="210"/>
      <c r="J106" s="147"/>
    </row>
    <row r="107" spans="3:10" ht="12.75" customHeight="1">
      <c r="C107" s="191"/>
      <c r="E107" s="210"/>
      <c r="F107" s="210"/>
      <c r="G107" s="210"/>
      <c r="J107" s="147"/>
    </row>
    <row r="108" spans="3:10" ht="12.75" customHeight="1">
      <c r="C108" s="191"/>
      <c r="E108" s="210"/>
      <c r="F108" s="210"/>
      <c r="G108" s="210"/>
      <c r="J108" s="147"/>
    </row>
    <row r="109" spans="3:10" ht="12.75" customHeight="1">
      <c r="C109" s="191"/>
      <c r="E109" s="210"/>
      <c r="F109" s="210"/>
      <c r="G109" s="210"/>
      <c r="J109" s="147"/>
    </row>
    <row r="110" spans="3:10" ht="12.75" customHeight="1">
      <c r="C110" s="191"/>
      <c r="E110" s="210"/>
      <c r="F110" s="210"/>
      <c r="G110" s="210"/>
      <c r="J110" s="147"/>
    </row>
    <row r="111" spans="3:10" ht="12.75" customHeight="1">
      <c r="C111" s="191"/>
      <c r="E111" s="210"/>
      <c r="F111" s="210"/>
      <c r="G111" s="210"/>
      <c r="J111" s="147"/>
    </row>
    <row r="112" spans="3:10" ht="12.75" customHeight="1">
      <c r="C112" s="191"/>
      <c r="E112" s="210"/>
      <c r="F112" s="210"/>
      <c r="G112" s="210"/>
      <c r="J112" s="147"/>
    </row>
    <row r="113" spans="3:10" ht="12.75" customHeight="1">
      <c r="C113" s="191"/>
      <c r="E113" s="210"/>
      <c r="F113" s="210"/>
      <c r="G113" s="210"/>
      <c r="J113" s="147"/>
    </row>
    <row r="114" spans="3:10" ht="12.75" customHeight="1">
      <c r="C114" s="191"/>
      <c r="E114" s="210"/>
      <c r="F114" s="210"/>
      <c r="G114" s="210"/>
      <c r="J114" s="147"/>
    </row>
    <row r="115" spans="3:10" ht="12.75" customHeight="1">
      <c r="C115" s="191"/>
      <c r="E115" s="210"/>
      <c r="F115" s="210"/>
      <c r="G115" s="210"/>
      <c r="J115" s="147"/>
    </row>
    <row r="116" spans="3:10" ht="12.75" customHeight="1">
      <c r="C116" s="191"/>
      <c r="E116" s="210"/>
      <c r="F116" s="210"/>
      <c r="G116" s="210"/>
      <c r="J116" s="147"/>
    </row>
    <row r="117" spans="3:10" ht="12.75" customHeight="1">
      <c r="C117" s="191"/>
      <c r="E117" s="210"/>
      <c r="F117" s="210"/>
      <c r="G117" s="210"/>
      <c r="J117" s="147"/>
    </row>
    <row r="118" spans="3:10" ht="12.75" customHeight="1">
      <c r="C118" s="191"/>
      <c r="E118" s="210"/>
      <c r="F118" s="210"/>
      <c r="G118" s="210"/>
      <c r="J118" s="147"/>
    </row>
    <row r="119" spans="3:10" ht="12.75" customHeight="1">
      <c r="C119" s="191"/>
      <c r="E119" s="210"/>
      <c r="F119" s="210"/>
      <c r="G119" s="210"/>
      <c r="J119" s="147"/>
    </row>
    <row r="120" spans="3:10" ht="12.75" customHeight="1">
      <c r="C120" s="191"/>
      <c r="E120" s="210"/>
      <c r="F120" s="210"/>
      <c r="G120" s="210"/>
      <c r="J120" s="147"/>
    </row>
    <row r="121" spans="3:10" ht="12.75" customHeight="1">
      <c r="C121" s="191"/>
      <c r="E121" s="210"/>
      <c r="F121" s="210"/>
      <c r="G121" s="210"/>
      <c r="J121" s="147"/>
    </row>
    <row r="122" spans="3:10" ht="12.75" customHeight="1">
      <c r="C122" s="191"/>
      <c r="E122" s="210"/>
      <c r="F122" s="210"/>
      <c r="G122" s="210"/>
      <c r="J122" s="147"/>
    </row>
    <row r="123" spans="3:10" ht="12.75" customHeight="1">
      <c r="C123" s="191"/>
      <c r="E123" s="210"/>
      <c r="F123" s="210"/>
      <c r="G123" s="210"/>
      <c r="J123" s="147"/>
    </row>
    <row r="124" spans="3:10" ht="12.75" customHeight="1">
      <c r="C124" s="191"/>
      <c r="E124" s="210"/>
      <c r="F124" s="210"/>
      <c r="G124" s="210"/>
      <c r="J124" s="147"/>
    </row>
    <row r="125" spans="3:10" ht="12.75" customHeight="1">
      <c r="C125" s="191"/>
      <c r="E125" s="210"/>
      <c r="F125" s="210"/>
      <c r="G125" s="210"/>
      <c r="J125" s="147"/>
    </row>
    <row r="126" spans="3:10" ht="12.75" customHeight="1">
      <c r="C126" s="191"/>
      <c r="E126" s="210"/>
      <c r="F126" s="210"/>
      <c r="G126" s="210"/>
      <c r="J126" s="147"/>
    </row>
    <row r="127" spans="3:10" ht="12.75" customHeight="1">
      <c r="C127" s="191"/>
      <c r="E127" s="210"/>
      <c r="F127" s="210"/>
      <c r="G127" s="210"/>
      <c r="J127" s="147"/>
    </row>
    <row r="128" spans="3:10" ht="12.75" customHeight="1">
      <c r="C128" s="191"/>
      <c r="E128" s="210"/>
      <c r="F128" s="210"/>
      <c r="G128" s="210"/>
      <c r="J128" s="147"/>
    </row>
    <row r="129" spans="3:10" ht="12.75" customHeight="1">
      <c r="C129" s="191"/>
      <c r="E129" s="210"/>
      <c r="F129" s="210"/>
      <c r="G129" s="210"/>
      <c r="J129" s="147"/>
    </row>
    <row r="130" spans="3:10" ht="12.75" customHeight="1">
      <c r="C130" s="191"/>
      <c r="E130" s="210"/>
      <c r="F130" s="210"/>
      <c r="G130" s="210"/>
      <c r="J130" s="147"/>
    </row>
    <row r="131" spans="3:10" ht="12.75" customHeight="1">
      <c r="C131" s="191"/>
      <c r="E131" s="210"/>
      <c r="F131" s="210"/>
      <c r="G131" s="210"/>
      <c r="J131" s="147"/>
    </row>
    <row r="132" spans="3:10" ht="12.75" customHeight="1">
      <c r="C132" s="191"/>
      <c r="E132" s="210"/>
      <c r="F132" s="210"/>
      <c r="G132" s="210"/>
      <c r="J132" s="147"/>
    </row>
    <row r="133" spans="3:10" ht="12.75" customHeight="1">
      <c r="C133" s="191"/>
      <c r="E133" s="210"/>
      <c r="F133" s="210"/>
      <c r="G133" s="210"/>
      <c r="J133" s="147"/>
    </row>
    <row r="134" spans="3:10" ht="12.75" customHeight="1">
      <c r="C134" s="191"/>
      <c r="E134" s="210"/>
      <c r="F134" s="210"/>
      <c r="G134" s="210"/>
      <c r="J134" s="147"/>
    </row>
    <row r="135" spans="3:10" ht="12.75" customHeight="1">
      <c r="C135" s="191"/>
      <c r="E135" s="210"/>
      <c r="F135" s="210"/>
      <c r="G135" s="210"/>
      <c r="J135" s="147"/>
    </row>
    <row r="136" spans="3:10" ht="12.75" customHeight="1">
      <c r="C136" s="191"/>
      <c r="E136" s="210"/>
      <c r="F136" s="210"/>
      <c r="G136" s="210"/>
      <c r="J136" s="147"/>
    </row>
    <row r="137" spans="3:10" ht="12.75" customHeight="1">
      <c r="C137" s="191"/>
      <c r="E137" s="210"/>
      <c r="F137" s="210"/>
      <c r="G137" s="210"/>
      <c r="J137" s="147"/>
    </row>
    <row r="138" spans="3:10" ht="12.75" customHeight="1">
      <c r="C138" s="191"/>
      <c r="E138" s="210"/>
      <c r="F138" s="210"/>
      <c r="G138" s="210"/>
      <c r="J138" s="147"/>
    </row>
    <row r="139" spans="3:10" ht="12.75" customHeight="1">
      <c r="C139" s="191"/>
      <c r="E139" s="210"/>
      <c r="F139" s="210"/>
      <c r="G139" s="210"/>
      <c r="J139" s="147"/>
    </row>
    <row r="140" spans="3:10" ht="12.75" customHeight="1">
      <c r="C140" s="191"/>
      <c r="E140" s="210"/>
      <c r="F140" s="210"/>
      <c r="G140" s="210"/>
      <c r="J140" s="147"/>
    </row>
    <row r="141" spans="3:10" ht="12.75" customHeight="1">
      <c r="C141" s="191"/>
      <c r="E141" s="210"/>
      <c r="F141" s="210"/>
      <c r="G141" s="210"/>
      <c r="J141" s="147"/>
    </row>
    <row r="142" spans="3:10" ht="12.75" customHeight="1">
      <c r="C142" s="191"/>
      <c r="E142" s="210"/>
      <c r="F142" s="210"/>
      <c r="G142" s="210"/>
      <c r="J142" s="147"/>
    </row>
    <row r="143" spans="3:10" ht="12.75" customHeight="1">
      <c r="C143" s="191"/>
      <c r="E143" s="210"/>
      <c r="F143" s="210"/>
      <c r="G143" s="210"/>
      <c r="J143" s="147"/>
    </row>
    <row r="144" spans="3:10" ht="12.75" customHeight="1">
      <c r="C144" s="191"/>
      <c r="E144" s="210"/>
      <c r="F144" s="210"/>
      <c r="G144" s="210"/>
      <c r="J144" s="147"/>
    </row>
    <row r="145" spans="3:10" ht="12.75" customHeight="1">
      <c r="C145" s="191"/>
      <c r="E145" s="210"/>
      <c r="F145" s="210"/>
      <c r="G145" s="210"/>
      <c r="J145" s="147"/>
    </row>
    <row r="146" spans="3:10" ht="12.75" customHeight="1">
      <c r="C146" s="191"/>
      <c r="E146" s="210"/>
      <c r="F146" s="210"/>
      <c r="G146" s="210"/>
      <c r="J146" s="147"/>
    </row>
    <row r="147" spans="3:10" ht="12.75" customHeight="1">
      <c r="C147" s="191"/>
      <c r="E147" s="210"/>
      <c r="F147" s="210"/>
      <c r="G147" s="210"/>
      <c r="J147" s="147"/>
    </row>
    <row r="148" spans="3:10" ht="12.75" customHeight="1">
      <c r="C148" s="191"/>
      <c r="E148" s="210"/>
      <c r="F148" s="210"/>
      <c r="G148" s="210"/>
      <c r="J148" s="147"/>
    </row>
    <row r="149" spans="3:10" ht="12.75" customHeight="1">
      <c r="C149" s="191"/>
      <c r="E149" s="210"/>
      <c r="F149" s="210"/>
      <c r="G149" s="210"/>
      <c r="J149" s="147"/>
    </row>
    <row r="150" spans="3:10" ht="12.75" customHeight="1">
      <c r="C150" s="191"/>
      <c r="E150" s="210"/>
      <c r="F150" s="210"/>
      <c r="G150" s="210"/>
      <c r="J150" s="147"/>
    </row>
    <row r="151" spans="3:10" ht="12.75" customHeight="1">
      <c r="C151" s="191"/>
      <c r="E151" s="210"/>
      <c r="F151" s="210"/>
      <c r="G151" s="210"/>
      <c r="J151" s="147"/>
    </row>
    <row r="152" spans="3:10" ht="12.75" customHeight="1">
      <c r="C152" s="191"/>
      <c r="E152" s="210"/>
      <c r="F152" s="210"/>
      <c r="G152" s="210"/>
      <c r="J152" s="147"/>
    </row>
    <row r="153" spans="3:10" ht="12.75" customHeight="1">
      <c r="C153" s="191"/>
      <c r="E153" s="210"/>
      <c r="F153" s="210"/>
      <c r="G153" s="210"/>
      <c r="J153" s="147"/>
    </row>
    <row r="154" spans="3:10" ht="12.75" customHeight="1">
      <c r="C154" s="191"/>
      <c r="E154" s="210"/>
      <c r="F154" s="210"/>
      <c r="G154" s="210"/>
      <c r="J154" s="147"/>
    </row>
    <row r="155" spans="3:10" ht="12.75" customHeight="1">
      <c r="C155" s="191"/>
      <c r="E155" s="210"/>
      <c r="F155" s="210"/>
      <c r="G155" s="210"/>
      <c r="J155" s="147"/>
    </row>
    <row r="156" spans="3:10" ht="12.75" customHeight="1">
      <c r="C156" s="191"/>
      <c r="E156" s="210"/>
      <c r="F156" s="210"/>
      <c r="G156" s="210"/>
      <c r="J156" s="147"/>
    </row>
    <row r="157" spans="3:10" ht="12.75" customHeight="1">
      <c r="C157" s="191"/>
      <c r="E157" s="210"/>
      <c r="F157" s="210"/>
      <c r="G157" s="210"/>
      <c r="J157" s="147"/>
    </row>
    <row r="158" spans="3:10" ht="12.75" customHeight="1">
      <c r="C158" s="191"/>
      <c r="E158" s="210"/>
      <c r="F158" s="210"/>
      <c r="G158" s="210"/>
      <c r="J158" s="147"/>
    </row>
    <row r="159" spans="3:10" ht="12.75" customHeight="1">
      <c r="C159" s="191"/>
      <c r="E159" s="210"/>
      <c r="F159" s="210"/>
      <c r="G159" s="210"/>
      <c r="J159" s="147"/>
    </row>
    <row r="160" spans="3:10" ht="12.75" customHeight="1">
      <c r="C160" s="191"/>
      <c r="E160" s="210"/>
      <c r="F160" s="210"/>
      <c r="G160" s="210"/>
      <c r="J160" s="147"/>
    </row>
    <row r="161" spans="3:10" ht="12.75" customHeight="1">
      <c r="C161" s="191"/>
      <c r="E161" s="210"/>
      <c r="F161" s="210"/>
      <c r="G161" s="210"/>
      <c r="J161" s="147"/>
    </row>
    <row r="162" spans="3:10" ht="12.75" customHeight="1">
      <c r="C162" s="191"/>
      <c r="E162" s="210"/>
      <c r="F162" s="210"/>
      <c r="G162" s="210"/>
      <c r="J162" s="147"/>
    </row>
    <row r="163" spans="3:10" ht="12.75" customHeight="1">
      <c r="C163" s="191"/>
      <c r="E163" s="210"/>
      <c r="F163" s="210"/>
      <c r="G163" s="210"/>
      <c r="J163" s="147"/>
    </row>
    <row r="164" spans="3:10" ht="12.75" customHeight="1">
      <c r="C164" s="191"/>
      <c r="E164" s="210"/>
      <c r="F164" s="210"/>
      <c r="G164" s="210"/>
      <c r="J164" s="147"/>
    </row>
    <row r="165" spans="3:10" ht="12.75" customHeight="1">
      <c r="C165" s="191"/>
      <c r="E165" s="210"/>
      <c r="F165" s="210"/>
      <c r="G165" s="210"/>
      <c r="J165" s="147"/>
    </row>
    <row r="166" spans="3:10" ht="12.75" customHeight="1">
      <c r="C166" s="191"/>
      <c r="E166" s="210"/>
      <c r="F166" s="210"/>
      <c r="G166" s="210"/>
      <c r="J166" s="147"/>
    </row>
    <row r="167" spans="3:10" ht="12.75" customHeight="1">
      <c r="C167" s="191"/>
      <c r="E167" s="210"/>
      <c r="F167" s="210"/>
      <c r="G167" s="210"/>
      <c r="J167" s="147"/>
    </row>
    <row r="168" spans="3:10" ht="12.75" customHeight="1">
      <c r="C168" s="191"/>
      <c r="E168" s="210"/>
      <c r="F168" s="210"/>
      <c r="G168" s="210"/>
      <c r="J168" s="147"/>
    </row>
    <row r="169" spans="3:10" ht="12.75" customHeight="1">
      <c r="C169" s="191"/>
      <c r="E169" s="210"/>
      <c r="F169" s="210"/>
      <c r="G169" s="210"/>
      <c r="J169" s="147"/>
    </row>
    <row r="170" spans="3:10" ht="12.75" customHeight="1">
      <c r="C170" s="191"/>
      <c r="E170" s="210"/>
      <c r="F170" s="210"/>
      <c r="G170" s="210"/>
      <c r="J170" s="147"/>
    </row>
    <row r="171" spans="3:10" ht="12.75" customHeight="1">
      <c r="C171" s="191"/>
      <c r="E171" s="210"/>
      <c r="F171" s="210"/>
      <c r="G171" s="210"/>
      <c r="J171" s="147"/>
    </row>
    <row r="172" spans="3:10" ht="12.75" customHeight="1">
      <c r="C172" s="191"/>
      <c r="E172" s="210"/>
      <c r="F172" s="210"/>
      <c r="G172" s="210"/>
      <c r="J172" s="147"/>
    </row>
    <row r="173" spans="3:10" ht="12.75" customHeight="1">
      <c r="C173" s="191"/>
      <c r="E173" s="210"/>
      <c r="F173" s="210"/>
      <c r="G173" s="210"/>
      <c r="J173" s="147"/>
    </row>
    <row r="174" spans="3:10" ht="12.75" customHeight="1">
      <c r="C174" s="191"/>
      <c r="E174" s="210"/>
      <c r="F174" s="210"/>
      <c r="G174" s="210"/>
      <c r="J174" s="147"/>
    </row>
    <row r="175" spans="3:10" ht="12.75" customHeight="1">
      <c r="C175" s="191"/>
      <c r="E175" s="210"/>
      <c r="F175" s="210"/>
      <c r="G175" s="210"/>
      <c r="J175" s="147"/>
    </row>
    <row r="176" spans="3:10" ht="12.75" customHeight="1">
      <c r="C176" s="191"/>
      <c r="E176" s="210"/>
      <c r="F176" s="210"/>
      <c r="G176" s="210"/>
      <c r="J176" s="147"/>
    </row>
    <row r="177" spans="3:10" ht="12.75" customHeight="1">
      <c r="C177" s="191"/>
      <c r="E177" s="210"/>
      <c r="F177" s="210"/>
      <c r="G177" s="210"/>
      <c r="J177" s="147"/>
    </row>
    <row r="178" spans="3:10" ht="12.75" customHeight="1">
      <c r="C178" s="191"/>
      <c r="E178" s="210"/>
      <c r="F178" s="210"/>
      <c r="G178" s="210"/>
      <c r="J178" s="147"/>
    </row>
    <row r="179" spans="3:10" ht="12.75" customHeight="1">
      <c r="C179" s="191"/>
      <c r="E179" s="210"/>
      <c r="F179" s="210"/>
      <c r="G179" s="210"/>
      <c r="J179" s="147"/>
    </row>
    <row r="180" spans="3:10" ht="12.75" customHeight="1">
      <c r="C180" s="191"/>
      <c r="E180" s="210"/>
      <c r="F180" s="210"/>
      <c r="G180" s="210"/>
      <c r="J180" s="147"/>
    </row>
    <row r="181" spans="3:10" ht="12.75" customHeight="1">
      <c r="C181" s="191"/>
      <c r="E181" s="210"/>
      <c r="F181" s="210"/>
      <c r="G181" s="210"/>
      <c r="J181" s="147"/>
    </row>
    <row r="182" spans="3:10" ht="12.75" customHeight="1">
      <c r="C182" s="191"/>
      <c r="E182" s="210"/>
      <c r="F182" s="210"/>
      <c r="G182" s="210"/>
      <c r="J182" s="147"/>
    </row>
    <row r="183" spans="3:10" ht="12.75" customHeight="1">
      <c r="C183" s="191"/>
      <c r="E183" s="210"/>
      <c r="F183" s="210"/>
      <c r="G183" s="210"/>
      <c r="J183" s="147"/>
    </row>
    <row r="184" spans="3:10" ht="12.75" customHeight="1">
      <c r="C184" s="191"/>
      <c r="E184" s="210"/>
      <c r="F184" s="210"/>
      <c r="G184" s="210"/>
      <c r="J184" s="147"/>
    </row>
    <row r="185" spans="3:10" ht="12.75" customHeight="1">
      <c r="C185" s="191"/>
      <c r="E185" s="210"/>
      <c r="F185" s="210"/>
      <c r="G185" s="210"/>
      <c r="J185" s="147"/>
    </row>
    <row r="186" spans="3:10" ht="12.75" customHeight="1">
      <c r="C186" s="191"/>
      <c r="E186" s="210"/>
      <c r="F186" s="210"/>
      <c r="G186" s="210"/>
      <c r="J186" s="147"/>
    </row>
    <row r="187" spans="3:10" ht="12.75" customHeight="1">
      <c r="C187" s="191"/>
      <c r="E187" s="210"/>
      <c r="F187" s="210"/>
      <c r="G187" s="210"/>
      <c r="J187" s="147"/>
    </row>
    <row r="188" spans="3:10" ht="12.75" customHeight="1">
      <c r="C188" s="191"/>
      <c r="E188" s="210"/>
      <c r="F188" s="210"/>
      <c r="G188" s="210"/>
      <c r="J188" s="147"/>
    </row>
    <row r="189" spans="3:10" ht="12.75" customHeight="1">
      <c r="C189" s="191"/>
      <c r="E189" s="210"/>
      <c r="F189" s="210"/>
      <c r="G189" s="210"/>
      <c r="J189" s="147"/>
    </row>
    <row r="190" spans="3:10" ht="12.75" customHeight="1">
      <c r="C190" s="191"/>
      <c r="E190" s="210"/>
      <c r="F190" s="210"/>
      <c r="G190" s="210"/>
      <c r="J190" s="147"/>
    </row>
    <row r="191" spans="3:10" ht="12.75" customHeight="1">
      <c r="C191" s="191"/>
      <c r="E191" s="210"/>
      <c r="F191" s="210"/>
      <c r="G191" s="210"/>
      <c r="J191" s="147"/>
    </row>
    <row r="192" spans="3:10" ht="12.75" customHeight="1">
      <c r="C192" s="191"/>
      <c r="E192" s="210"/>
      <c r="F192" s="210"/>
      <c r="G192" s="210"/>
      <c r="J192" s="147"/>
    </row>
    <row r="193" spans="3:10" ht="12.75" customHeight="1">
      <c r="C193" s="191"/>
      <c r="E193" s="210"/>
      <c r="F193" s="210"/>
      <c r="G193" s="210"/>
      <c r="J193" s="147"/>
    </row>
    <row r="194" spans="3:10" ht="12.75" customHeight="1">
      <c r="C194" s="191"/>
      <c r="E194" s="210"/>
      <c r="F194" s="210"/>
      <c r="G194" s="210"/>
      <c r="J194" s="147"/>
    </row>
    <row r="195" spans="3:10" ht="12.75" customHeight="1">
      <c r="C195" s="191"/>
      <c r="E195" s="210"/>
      <c r="F195" s="210"/>
      <c r="G195" s="210"/>
      <c r="J195" s="147"/>
    </row>
    <row r="196" spans="3:10" ht="12.75" customHeight="1">
      <c r="C196" s="191"/>
      <c r="E196" s="210"/>
      <c r="F196" s="210"/>
      <c r="G196" s="210"/>
      <c r="J196" s="147"/>
    </row>
    <row r="197" spans="3:10" ht="12.75" customHeight="1">
      <c r="C197" s="191"/>
      <c r="E197" s="210"/>
      <c r="F197" s="210"/>
      <c r="G197" s="210"/>
      <c r="J197" s="147"/>
    </row>
    <row r="198" spans="3:10" ht="12.75" customHeight="1">
      <c r="C198" s="191"/>
      <c r="E198" s="210"/>
      <c r="F198" s="210"/>
      <c r="G198" s="210"/>
      <c r="J198" s="147"/>
    </row>
    <row r="199" spans="3:10" ht="12.75" customHeight="1">
      <c r="C199" s="191"/>
      <c r="E199" s="210"/>
      <c r="F199" s="210"/>
      <c r="G199" s="210"/>
      <c r="J199" s="147"/>
    </row>
    <row r="200" spans="3:10" ht="12.75" customHeight="1">
      <c r="C200" s="191"/>
      <c r="E200" s="210"/>
      <c r="F200" s="210"/>
      <c r="G200" s="210"/>
      <c r="J200" s="147"/>
    </row>
    <row r="201" spans="3:10" ht="12.75" customHeight="1">
      <c r="C201" s="191"/>
      <c r="E201" s="210"/>
      <c r="F201" s="210"/>
      <c r="G201" s="210"/>
      <c r="J201" s="147"/>
    </row>
    <row r="202" spans="3:10" ht="12.75" customHeight="1">
      <c r="C202" s="191"/>
      <c r="E202" s="210"/>
      <c r="F202" s="210"/>
      <c r="G202" s="210"/>
      <c r="J202" s="147"/>
    </row>
    <row r="203" spans="3:10" ht="12.75" customHeight="1">
      <c r="C203" s="191"/>
      <c r="E203" s="210"/>
      <c r="F203" s="210"/>
      <c r="G203" s="210"/>
      <c r="J203" s="147"/>
    </row>
    <row r="204" spans="3:10" ht="12.75" customHeight="1">
      <c r="C204" s="191"/>
      <c r="E204" s="210"/>
      <c r="F204" s="210"/>
      <c r="G204" s="210"/>
      <c r="J204" s="147"/>
    </row>
    <row r="205" spans="3:10" ht="12.75" customHeight="1">
      <c r="C205" s="191"/>
      <c r="E205" s="210"/>
      <c r="F205" s="210"/>
      <c r="G205" s="210"/>
      <c r="J205" s="147"/>
    </row>
    <row r="206" spans="3:10" ht="12.75" customHeight="1">
      <c r="C206" s="191"/>
      <c r="E206" s="210"/>
      <c r="F206" s="210"/>
      <c r="G206" s="210"/>
      <c r="J206" s="147"/>
    </row>
    <row r="207" spans="3:10" ht="12.75" customHeight="1">
      <c r="C207" s="191"/>
      <c r="E207" s="210"/>
      <c r="F207" s="210"/>
      <c r="G207" s="210"/>
      <c r="J207" s="147"/>
    </row>
    <row r="208" spans="3:10" ht="12.75" customHeight="1">
      <c r="C208" s="191"/>
      <c r="E208" s="210"/>
      <c r="F208" s="210"/>
      <c r="G208" s="210"/>
      <c r="J208" s="147"/>
    </row>
    <row r="209" spans="3:10" ht="12.75" customHeight="1">
      <c r="C209" s="191"/>
      <c r="E209" s="210"/>
      <c r="F209" s="210"/>
      <c r="G209" s="210"/>
      <c r="J209" s="147"/>
    </row>
    <row r="210" spans="3:10" ht="12.75" customHeight="1">
      <c r="C210" s="191"/>
      <c r="E210" s="210"/>
      <c r="F210" s="210"/>
      <c r="G210" s="210"/>
      <c r="J210" s="147"/>
    </row>
    <row r="211" spans="3:10" ht="12.75" customHeight="1">
      <c r="C211" s="191"/>
      <c r="E211" s="210"/>
      <c r="F211" s="210"/>
      <c r="G211" s="210"/>
      <c r="J211" s="147"/>
    </row>
    <row r="212" spans="3:10" ht="12.75" customHeight="1">
      <c r="C212" s="191"/>
      <c r="E212" s="210"/>
      <c r="F212" s="210"/>
      <c r="G212" s="210"/>
      <c r="J212" s="147"/>
    </row>
    <row r="213" spans="3:10" ht="12.75" customHeight="1">
      <c r="C213" s="191"/>
      <c r="E213" s="210"/>
      <c r="F213" s="210"/>
      <c r="G213" s="210"/>
      <c r="J213" s="147"/>
    </row>
    <row r="214" spans="3:10" ht="12.75" customHeight="1">
      <c r="C214" s="191"/>
      <c r="E214" s="210"/>
      <c r="F214" s="210"/>
      <c r="G214" s="210"/>
      <c r="J214" s="147"/>
    </row>
    <row r="215" spans="3:10" ht="12.75" customHeight="1">
      <c r="C215" s="191"/>
      <c r="E215" s="210"/>
      <c r="F215" s="210"/>
      <c r="G215" s="210"/>
      <c r="J215" s="147"/>
    </row>
    <row r="216" spans="3:10" ht="12.75" customHeight="1">
      <c r="C216" s="191"/>
      <c r="E216" s="210"/>
      <c r="F216" s="210"/>
      <c r="G216" s="210"/>
      <c r="J216" s="147"/>
    </row>
    <row r="217" spans="3:10" ht="12.75" customHeight="1">
      <c r="C217" s="191"/>
      <c r="E217" s="210"/>
      <c r="F217" s="210"/>
      <c r="G217" s="210"/>
      <c r="J217" s="147"/>
    </row>
    <row r="218" spans="3:10" ht="12.75" customHeight="1">
      <c r="C218" s="191"/>
      <c r="E218" s="210"/>
      <c r="F218" s="210"/>
      <c r="G218" s="210"/>
      <c r="J218" s="147"/>
    </row>
    <row r="219" spans="3:10" ht="12.75" customHeight="1">
      <c r="C219" s="191"/>
      <c r="E219" s="210"/>
      <c r="F219" s="210"/>
      <c r="G219" s="210"/>
      <c r="J219" s="147"/>
    </row>
    <row r="220" spans="3:10" ht="12.75" customHeight="1">
      <c r="C220" s="191"/>
      <c r="E220" s="210"/>
      <c r="F220" s="210"/>
      <c r="G220" s="210"/>
      <c r="J220" s="147"/>
    </row>
    <row r="221" spans="3:10" ht="12.75" customHeight="1">
      <c r="C221" s="191"/>
      <c r="E221" s="210"/>
      <c r="F221" s="210"/>
      <c r="G221" s="210"/>
      <c r="J221" s="147"/>
    </row>
    <row r="222" spans="3:10" ht="12.75" customHeight="1">
      <c r="C222" s="191"/>
      <c r="E222" s="210"/>
      <c r="F222" s="210"/>
      <c r="G222" s="210"/>
      <c r="J222" s="147"/>
    </row>
    <row r="223" spans="3:10" ht="12.75" customHeight="1">
      <c r="C223" s="191"/>
      <c r="E223" s="210"/>
      <c r="F223" s="210"/>
      <c r="G223" s="210"/>
      <c r="J223" s="147"/>
    </row>
    <row r="224" spans="3:10" ht="12.75" customHeight="1">
      <c r="C224" s="191"/>
      <c r="E224" s="210"/>
      <c r="F224" s="210"/>
      <c r="G224" s="210"/>
      <c r="J224" s="147"/>
    </row>
    <row r="225" spans="3:10" ht="12.75" customHeight="1">
      <c r="C225" s="191"/>
      <c r="E225" s="210"/>
      <c r="F225" s="210"/>
      <c r="G225" s="210"/>
      <c r="J225" s="147"/>
    </row>
    <row r="226" spans="3:10" ht="12.75" customHeight="1">
      <c r="C226" s="191"/>
      <c r="E226" s="210"/>
      <c r="F226" s="210"/>
      <c r="G226" s="210"/>
      <c r="J226" s="147"/>
    </row>
    <row r="227" spans="3:10" ht="12.75" customHeight="1">
      <c r="C227" s="191"/>
      <c r="E227" s="210"/>
      <c r="F227" s="210"/>
      <c r="G227" s="210"/>
      <c r="J227" s="147"/>
    </row>
    <row r="228" spans="3:10" ht="12.75" customHeight="1">
      <c r="C228" s="191"/>
      <c r="E228" s="210"/>
      <c r="F228" s="210"/>
      <c r="G228" s="210"/>
      <c r="J228" s="147"/>
    </row>
    <row r="229" spans="3:10" ht="12.75" customHeight="1">
      <c r="C229" s="191"/>
      <c r="E229" s="210"/>
      <c r="F229" s="210"/>
      <c r="G229" s="210"/>
      <c r="J229" s="147"/>
    </row>
    <row r="230" spans="3:10" ht="12.75" customHeight="1">
      <c r="C230" s="191"/>
      <c r="E230" s="210"/>
      <c r="F230" s="210"/>
      <c r="G230" s="210"/>
      <c r="J230" s="147"/>
    </row>
    <row r="231" spans="3:10" ht="12.75" customHeight="1">
      <c r="C231" s="191"/>
      <c r="E231" s="210"/>
      <c r="F231" s="210"/>
      <c r="G231" s="210"/>
      <c r="J231" s="147"/>
    </row>
    <row r="232" spans="3:10" ht="12.75" customHeight="1">
      <c r="C232" s="191"/>
      <c r="E232" s="210"/>
      <c r="F232" s="210"/>
      <c r="G232" s="210"/>
      <c r="J232" s="147"/>
    </row>
    <row r="233" spans="3:10" ht="12.75" customHeight="1">
      <c r="C233" s="191"/>
      <c r="E233" s="210"/>
      <c r="F233" s="210"/>
      <c r="G233" s="210"/>
      <c r="J233" s="147"/>
    </row>
    <row r="234" spans="3:10" ht="12.75" customHeight="1">
      <c r="C234" s="191"/>
      <c r="E234" s="210"/>
      <c r="F234" s="210"/>
      <c r="G234" s="210"/>
      <c r="J234" s="147"/>
    </row>
    <row r="235" spans="3:10" ht="12.75" customHeight="1">
      <c r="C235" s="191"/>
      <c r="E235" s="210"/>
      <c r="F235" s="210"/>
      <c r="G235" s="210"/>
      <c r="J235" s="147"/>
    </row>
    <row r="236" spans="3:10" ht="12.75" customHeight="1">
      <c r="C236" s="191"/>
      <c r="E236" s="210"/>
      <c r="F236" s="210"/>
      <c r="G236" s="210"/>
      <c r="J236" s="147"/>
    </row>
    <row r="237" spans="3:10" ht="12.75" customHeight="1">
      <c r="C237" s="191"/>
      <c r="E237" s="210"/>
      <c r="F237" s="210"/>
      <c r="G237" s="210"/>
      <c r="J237" s="147"/>
    </row>
    <row r="238" spans="3:10" ht="12.75" customHeight="1">
      <c r="C238" s="191"/>
      <c r="E238" s="210"/>
      <c r="F238" s="210"/>
      <c r="G238" s="210"/>
      <c r="J238" s="147"/>
    </row>
    <row r="239" spans="3:10" ht="12.75" customHeight="1">
      <c r="C239" s="191"/>
      <c r="E239" s="210"/>
      <c r="F239" s="210"/>
      <c r="G239" s="210"/>
      <c r="J239" s="147"/>
    </row>
    <row r="240" spans="3:10" ht="12.75" customHeight="1">
      <c r="C240" s="191"/>
      <c r="E240" s="210"/>
      <c r="F240" s="210"/>
      <c r="G240" s="210"/>
      <c r="J240" s="147"/>
    </row>
    <row r="241" spans="3:10" ht="12.75" customHeight="1">
      <c r="C241" s="191"/>
      <c r="E241" s="210"/>
      <c r="F241" s="210"/>
      <c r="G241" s="210"/>
      <c r="J241" s="147"/>
    </row>
    <row r="242" spans="3:10" ht="12.75" customHeight="1">
      <c r="C242" s="191"/>
      <c r="E242" s="210"/>
      <c r="F242" s="210"/>
      <c r="G242" s="210"/>
      <c r="J242" s="147"/>
    </row>
    <row r="243" spans="3:10" ht="12.75" customHeight="1">
      <c r="C243" s="191"/>
      <c r="E243" s="210"/>
      <c r="F243" s="210"/>
      <c r="G243" s="210"/>
      <c r="J243" s="147"/>
    </row>
    <row r="244" spans="3:10" ht="12.75" customHeight="1">
      <c r="C244" s="191"/>
      <c r="E244" s="210"/>
      <c r="F244" s="210"/>
      <c r="G244" s="210"/>
      <c r="J244" s="147"/>
    </row>
    <row r="245" spans="3:10" ht="12.75" customHeight="1">
      <c r="C245" s="191"/>
      <c r="E245" s="210"/>
      <c r="F245" s="210"/>
      <c r="G245" s="210"/>
      <c r="J245" s="147"/>
    </row>
    <row r="246" spans="3:10" ht="12.75" customHeight="1">
      <c r="C246" s="191"/>
      <c r="E246" s="210"/>
      <c r="F246" s="210"/>
      <c r="G246" s="210"/>
      <c r="J246" s="147"/>
    </row>
    <row r="247" spans="3:10" ht="12.75" customHeight="1">
      <c r="C247" s="191"/>
      <c r="E247" s="210"/>
      <c r="F247" s="210"/>
      <c r="G247" s="210"/>
      <c r="J247" s="147"/>
    </row>
    <row r="248" spans="3:10" ht="12.75" customHeight="1">
      <c r="C248" s="191"/>
      <c r="E248" s="210"/>
      <c r="F248" s="210"/>
      <c r="G248" s="210"/>
      <c r="J248" s="147"/>
    </row>
    <row r="249" spans="3:10" ht="12.75" customHeight="1">
      <c r="C249" s="191"/>
      <c r="E249" s="210"/>
      <c r="F249" s="210"/>
      <c r="G249" s="210"/>
      <c r="J249" s="147"/>
    </row>
    <row r="250" spans="3:10" ht="12.75" customHeight="1">
      <c r="C250" s="191"/>
      <c r="E250" s="210"/>
      <c r="F250" s="210"/>
      <c r="G250" s="210"/>
      <c r="J250" s="147"/>
    </row>
    <row r="251" spans="3:10" ht="12.75" customHeight="1">
      <c r="C251" s="191"/>
      <c r="E251" s="210"/>
      <c r="F251" s="210"/>
      <c r="G251" s="210"/>
      <c r="J251" s="147"/>
    </row>
    <row r="252" spans="3:10" ht="12.75" customHeight="1">
      <c r="C252" s="191"/>
      <c r="E252" s="210"/>
      <c r="F252" s="210"/>
      <c r="G252" s="210"/>
      <c r="J252" s="147"/>
    </row>
    <row r="253" spans="3:10" ht="12.75" customHeight="1">
      <c r="C253" s="191"/>
      <c r="E253" s="210"/>
      <c r="F253" s="210"/>
      <c r="G253" s="210"/>
      <c r="J253" s="147"/>
    </row>
    <row r="254" spans="3:10" ht="12.75" customHeight="1">
      <c r="C254" s="191"/>
      <c r="E254" s="210"/>
      <c r="F254" s="210"/>
      <c r="G254" s="210"/>
      <c r="J254" s="147"/>
    </row>
    <row r="255" spans="3:10" ht="12.75" customHeight="1">
      <c r="C255" s="191"/>
      <c r="E255" s="210"/>
      <c r="F255" s="210"/>
      <c r="G255" s="210"/>
      <c r="J255" s="147"/>
    </row>
    <row r="256" spans="3:10" ht="12.75" customHeight="1">
      <c r="C256" s="191"/>
      <c r="E256" s="210"/>
      <c r="F256" s="210"/>
      <c r="G256" s="210"/>
      <c r="J256" s="147"/>
    </row>
    <row r="257" spans="3:10" ht="12.75" customHeight="1">
      <c r="C257" s="191"/>
      <c r="E257" s="210"/>
      <c r="F257" s="210"/>
      <c r="G257" s="210"/>
      <c r="J257" s="147"/>
    </row>
    <row r="258" spans="3:10" ht="12.75" customHeight="1">
      <c r="C258" s="191"/>
      <c r="E258" s="210"/>
      <c r="F258" s="210"/>
      <c r="G258" s="210"/>
      <c r="J258" s="147"/>
    </row>
    <row r="259" spans="3:10" ht="12.75" customHeight="1">
      <c r="C259" s="191"/>
      <c r="E259" s="210"/>
      <c r="F259" s="210"/>
      <c r="G259" s="210"/>
      <c r="J259" s="147"/>
    </row>
    <row r="260" spans="3:10" ht="12.75" customHeight="1">
      <c r="C260" s="191"/>
      <c r="E260" s="210"/>
      <c r="F260" s="210"/>
      <c r="G260" s="210"/>
      <c r="J260" s="147"/>
    </row>
    <row r="261" spans="3:10" ht="12.75" customHeight="1">
      <c r="C261" s="191"/>
      <c r="E261" s="210"/>
      <c r="F261" s="210"/>
      <c r="G261" s="210"/>
      <c r="J261" s="147"/>
    </row>
    <row r="262" spans="3:10" ht="12.75" customHeight="1">
      <c r="C262" s="191"/>
      <c r="E262" s="210"/>
      <c r="F262" s="210"/>
      <c r="G262" s="210"/>
      <c r="J262" s="147"/>
    </row>
    <row r="263" spans="3:10" ht="12.75" customHeight="1">
      <c r="C263" s="191"/>
      <c r="E263" s="210"/>
      <c r="F263" s="210"/>
      <c r="G263" s="210"/>
      <c r="J263" s="147"/>
    </row>
    <row r="264" spans="3:10" ht="12.75" customHeight="1">
      <c r="C264" s="191"/>
      <c r="E264" s="210"/>
      <c r="F264" s="210"/>
      <c r="G264" s="210"/>
      <c r="J264" s="147"/>
    </row>
    <row r="265" spans="3:10" ht="12.75" customHeight="1">
      <c r="C265" s="191"/>
      <c r="E265" s="210"/>
      <c r="F265" s="210"/>
      <c r="G265" s="210"/>
      <c r="J265" s="147"/>
    </row>
    <row r="266" spans="3:10" ht="12.75" customHeight="1">
      <c r="C266" s="191"/>
      <c r="E266" s="210"/>
      <c r="F266" s="210"/>
      <c r="G266" s="210"/>
      <c r="J266" s="147"/>
    </row>
    <row r="267" spans="3:10" ht="12.75" customHeight="1">
      <c r="C267" s="191"/>
      <c r="E267" s="210"/>
      <c r="F267" s="210"/>
      <c r="G267" s="210"/>
      <c r="J267" s="147"/>
    </row>
    <row r="268" spans="3:10" ht="12.75" customHeight="1">
      <c r="C268" s="191"/>
      <c r="E268" s="210"/>
      <c r="F268" s="210"/>
      <c r="G268" s="210"/>
      <c r="J268" s="147"/>
    </row>
    <row r="269" spans="3:10" ht="12.75" customHeight="1">
      <c r="C269" s="191"/>
      <c r="E269" s="210"/>
      <c r="F269" s="210"/>
      <c r="G269" s="210"/>
      <c r="J269" s="147"/>
    </row>
    <row r="270" spans="3:10" ht="12.75" customHeight="1">
      <c r="C270" s="191"/>
      <c r="E270" s="210"/>
      <c r="F270" s="210"/>
      <c r="G270" s="210"/>
      <c r="J270" s="147"/>
    </row>
    <row r="271" spans="3:10" ht="12.75" customHeight="1">
      <c r="C271" s="191"/>
      <c r="E271" s="210"/>
      <c r="F271" s="210"/>
      <c r="G271" s="210"/>
      <c r="J271" s="147"/>
    </row>
    <row r="272" spans="3:10" ht="12.75" customHeight="1">
      <c r="C272" s="191"/>
      <c r="E272" s="210"/>
      <c r="F272" s="210"/>
      <c r="G272" s="210"/>
      <c r="J272" s="147"/>
    </row>
    <row r="273" spans="3:10" ht="12.75" customHeight="1">
      <c r="C273" s="191"/>
      <c r="E273" s="210"/>
      <c r="F273" s="210"/>
      <c r="G273" s="210"/>
      <c r="J273" s="147"/>
    </row>
    <row r="274" spans="3:10" ht="12.75" customHeight="1">
      <c r="C274" s="191"/>
      <c r="E274" s="210"/>
      <c r="F274" s="210"/>
      <c r="G274" s="210"/>
      <c r="J274" s="147"/>
    </row>
    <row r="275" spans="3:10" ht="12.75" customHeight="1">
      <c r="C275" s="191"/>
      <c r="E275" s="210"/>
      <c r="F275" s="210"/>
      <c r="G275" s="210"/>
      <c r="J275" s="147"/>
    </row>
    <row r="276" spans="3:10" ht="12.75" customHeight="1">
      <c r="C276" s="191"/>
      <c r="E276" s="210"/>
      <c r="F276" s="210"/>
      <c r="G276" s="210"/>
      <c r="J276" s="147"/>
    </row>
    <row r="277" spans="3:10" ht="12.75" customHeight="1">
      <c r="C277" s="191"/>
      <c r="E277" s="210"/>
      <c r="F277" s="210"/>
      <c r="G277" s="210"/>
      <c r="J277" s="147"/>
    </row>
    <row r="278" spans="3:10" ht="12.75" customHeight="1">
      <c r="C278" s="191"/>
      <c r="E278" s="210"/>
      <c r="F278" s="210"/>
      <c r="G278" s="210"/>
      <c r="J278" s="147"/>
    </row>
    <row r="279" spans="3:10" ht="12.75" customHeight="1">
      <c r="C279" s="191"/>
      <c r="E279" s="210"/>
      <c r="F279" s="210"/>
      <c r="G279" s="210"/>
      <c r="J279" s="147"/>
    </row>
    <row r="280" spans="3:10" ht="12.75" customHeight="1">
      <c r="C280" s="191"/>
      <c r="E280" s="210"/>
      <c r="F280" s="210"/>
      <c r="G280" s="210"/>
      <c r="J280" s="147"/>
    </row>
    <row r="281" spans="3:10" ht="12.75" customHeight="1">
      <c r="C281" s="191"/>
      <c r="E281" s="210"/>
      <c r="F281" s="210"/>
      <c r="G281" s="210"/>
      <c r="J281" s="147"/>
    </row>
    <row r="282" spans="3:10" ht="12.75" customHeight="1">
      <c r="C282" s="191"/>
      <c r="E282" s="210"/>
      <c r="F282" s="210"/>
      <c r="G282" s="210"/>
      <c r="J282" s="147"/>
    </row>
    <row r="283" spans="3:10" ht="12.75" customHeight="1">
      <c r="C283" s="191"/>
      <c r="E283" s="210"/>
      <c r="F283" s="210"/>
      <c r="G283" s="210"/>
      <c r="J283" s="147"/>
    </row>
    <row r="284" spans="3:10" ht="12.75" customHeight="1">
      <c r="C284" s="191"/>
      <c r="E284" s="210"/>
      <c r="F284" s="210"/>
      <c r="G284" s="210"/>
      <c r="J284" s="147"/>
    </row>
    <row r="285" spans="3:10" ht="12.75" customHeight="1">
      <c r="C285" s="191"/>
      <c r="E285" s="210"/>
      <c r="F285" s="210"/>
      <c r="G285" s="210"/>
      <c r="J285" s="147"/>
    </row>
    <row r="286" spans="3:10" ht="12.75" customHeight="1">
      <c r="C286" s="191"/>
      <c r="E286" s="210"/>
      <c r="F286" s="210"/>
      <c r="G286" s="210"/>
      <c r="J286" s="147"/>
    </row>
    <row r="287" spans="3:10" ht="12.75" customHeight="1">
      <c r="C287" s="191"/>
      <c r="E287" s="210"/>
      <c r="F287" s="210"/>
      <c r="G287" s="210"/>
      <c r="J287" s="147"/>
    </row>
    <row r="288" spans="3:10" ht="12.75" customHeight="1">
      <c r="C288" s="191"/>
      <c r="E288" s="210"/>
      <c r="F288" s="210"/>
      <c r="G288" s="210"/>
      <c r="J288" s="147"/>
    </row>
    <row r="289" spans="3:10" ht="12.75" customHeight="1">
      <c r="C289" s="191"/>
      <c r="E289" s="210"/>
      <c r="F289" s="210"/>
      <c r="G289" s="210"/>
      <c r="J289" s="147"/>
    </row>
    <row r="290" spans="3:10" ht="12.75" customHeight="1">
      <c r="C290" s="191"/>
      <c r="E290" s="210"/>
      <c r="F290" s="210"/>
      <c r="G290" s="210"/>
      <c r="J290" s="147"/>
    </row>
    <row r="291" spans="3:10" ht="12.75" customHeight="1">
      <c r="C291" s="191"/>
      <c r="E291" s="210"/>
      <c r="F291" s="210"/>
      <c r="G291" s="210"/>
      <c r="J291" s="147"/>
    </row>
    <row r="292" spans="3:10" ht="12.75" customHeight="1">
      <c r="C292" s="191"/>
      <c r="E292" s="210"/>
      <c r="F292" s="210"/>
      <c r="G292" s="210"/>
      <c r="J292" s="147"/>
    </row>
    <row r="293" spans="3:10" ht="12.75" customHeight="1">
      <c r="C293" s="191"/>
      <c r="E293" s="210"/>
      <c r="F293" s="210"/>
      <c r="G293" s="210"/>
      <c r="J293" s="147"/>
    </row>
    <row r="294" spans="3:10" ht="12.75" customHeight="1">
      <c r="C294" s="191"/>
      <c r="E294" s="210"/>
      <c r="F294" s="210"/>
      <c r="G294" s="210"/>
      <c r="J294" s="147"/>
    </row>
    <row r="295" spans="3:10" ht="12.75" customHeight="1">
      <c r="C295" s="191"/>
      <c r="E295" s="210"/>
      <c r="F295" s="210"/>
      <c r="G295" s="210"/>
      <c r="J295" s="147"/>
    </row>
    <row r="296" spans="3:10" ht="12.75" customHeight="1">
      <c r="C296" s="191"/>
      <c r="E296" s="210"/>
      <c r="F296" s="210"/>
      <c r="G296" s="210"/>
      <c r="J296" s="147"/>
    </row>
    <row r="297" spans="3:10" ht="12.75" customHeight="1">
      <c r="C297" s="191"/>
      <c r="E297" s="210"/>
      <c r="F297" s="210"/>
      <c r="G297" s="210"/>
      <c r="J297" s="147"/>
    </row>
    <row r="298" spans="3:10" ht="12.75" customHeight="1">
      <c r="C298" s="191"/>
      <c r="E298" s="210"/>
      <c r="F298" s="210"/>
      <c r="G298" s="210"/>
      <c r="J298" s="147"/>
    </row>
    <row r="299" spans="3:10" ht="12.75" customHeight="1">
      <c r="C299" s="191"/>
      <c r="E299" s="210"/>
      <c r="F299" s="210"/>
      <c r="G299" s="210"/>
      <c r="J299" s="147"/>
    </row>
    <row r="300" spans="3:10" ht="12.75" customHeight="1">
      <c r="C300" s="191"/>
      <c r="E300" s="210"/>
      <c r="F300" s="210"/>
      <c r="G300" s="210"/>
      <c r="J300" s="147"/>
    </row>
    <row r="301" spans="3:10" ht="12.75" customHeight="1">
      <c r="C301" s="191"/>
      <c r="E301" s="210"/>
      <c r="F301" s="210"/>
      <c r="G301" s="210"/>
      <c r="J301" s="147"/>
    </row>
    <row r="302" spans="3:10" ht="12.75" customHeight="1">
      <c r="C302" s="191"/>
      <c r="E302" s="210"/>
      <c r="F302" s="210"/>
      <c r="G302" s="210"/>
      <c r="J302" s="147"/>
    </row>
    <row r="303" spans="3:10" ht="12.75" customHeight="1">
      <c r="C303" s="191"/>
      <c r="E303" s="210"/>
      <c r="F303" s="210"/>
      <c r="G303" s="210"/>
      <c r="J303" s="147"/>
    </row>
    <row r="304" spans="3:10" ht="12.75" customHeight="1">
      <c r="C304" s="191"/>
      <c r="E304" s="210"/>
      <c r="F304" s="210"/>
      <c r="G304" s="210"/>
      <c r="J304" s="147"/>
    </row>
    <row r="305" spans="3:10" ht="12.75" customHeight="1">
      <c r="C305" s="191"/>
      <c r="E305" s="210"/>
      <c r="F305" s="210"/>
      <c r="G305" s="210"/>
      <c r="J305" s="147"/>
    </row>
    <row r="306" spans="3:10" ht="12.75" customHeight="1">
      <c r="C306" s="191"/>
      <c r="E306" s="210"/>
      <c r="F306" s="210"/>
      <c r="G306" s="210"/>
      <c r="J306" s="147"/>
    </row>
    <row r="307" spans="3:10" ht="12.75" customHeight="1">
      <c r="C307" s="191"/>
      <c r="E307" s="210"/>
      <c r="F307" s="210"/>
      <c r="G307" s="210"/>
      <c r="J307" s="147"/>
    </row>
    <row r="308" spans="3:10" ht="12.75" customHeight="1">
      <c r="C308" s="191"/>
      <c r="E308" s="210"/>
      <c r="F308" s="210"/>
      <c r="G308" s="210"/>
      <c r="J308" s="147"/>
    </row>
    <row r="309" spans="3:10" ht="12.75" customHeight="1">
      <c r="C309" s="191"/>
      <c r="E309" s="210"/>
      <c r="F309" s="210"/>
      <c r="G309" s="210"/>
      <c r="J309" s="147"/>
    </row>
    <row r="310" spans="3:10" ht="12.75" customHeight="1">
      <c r="C310" s="191"/>
      <c r="E310" s="210"/>
      <c r="F310" s="210"/>
      <c r="G310" s="210"/>
      <c r="J310" s="147"/>
    </row>
    <row r="311" spans="3:10" ht="12.75" customHeight="1">
      <c r="C311" s="191"/>
      <c r="E311" s="210"/>
      <c r="F311" s="210"/>
      <c r="G311" s="210"/>
      <c r="J311" s="147"/>
    </row>
    <row r="312" spans="3:10" ht="12.75" customHeight="1">
      <c r="C312" s="191"/>
      <c r="E312" s="210"/>
      <c r="F312" s="210"/>
      <c r="G312" s="210"/>
      <c r="J312" s="147"/>
    </row>
    <row r="313" spans="3:10" ht="12.75" customHeight="1">
      <c r="C313" s="191"/>
      <c r="E313" s="210"/>
      <c r="F313" s="210"/>
      <c r="G313" s="210"/>
      <c r="J313" s="147"/>
    </row>
    <row r="314" spans="3:10" ht="12.75" customHeight="1">
      <c r="C314" s="191"/>
      <c r="E314" s="210"/>
      <c r="F314" s="210"/>
      <c r="G314" s="210"/>
      <c r="J314" s="147"/>
    </row>
    <row r="315" spans="3:10" ht="12.75" customHeight="1">
      <c r="C315" s="191"/>
      <c r="E315" s="210"/>
      <c r="F315" s="210"/>
      <c r="G315" s="210"/>
      <c r="J315" s="147"/>
    </row>
    <row r="316" spans="3:10" ht="12.75" customHeight="1">
      <c r="C316" s="191"/>
      <c r="E316" s="210"/>
      <c r="F316" s="210"/>
      <c r="G316" s="210"/>
      <c r="J316" s="147"/>
    </row>
    <row r="317" spans="3:10" ht="12.75" customHeight="1">
      <c r="C317" s="191"/>
      <c r="E317" s="210"/>
      <c r="F317" s="210"/>
      <c r="G317" s="210"/>
      <c r="J317" s="147"/>
    </row>
    <row r="318" spans="3:10" ht="12.75" customHeight="1">
      <c r="C318" s="191"/>
      <c r="E318" s="210"/>
      <c r="F318" s="210"/>
      <c r="G318" s="210"/>
      <c r="J318" s="147"/>
    </row>
    <row r="319" spans="3:10" ht="12.75" customHeight="1">
      <c r="C319" s="191"/>
      <c r="E319" s="210"/>
      <c r="F319" s="210"/>
      <c r="G319" s="210"/>
      <c r="J319" s="147"/>
    </row>
    <row r="320" spans="3:10" ht="12.75" customHeight="1">
      <c r="C320" s="191"/>
      <c r="E320" s="210"/>
      <c r="F320" s="210"/>
      <c r="G320" s="210"/>
      <c r="J320" s="147"/>
    </row>
    <row r="321" spans="3:10" ht="12.75" customHeight="1">
      <c r="C321" s="191"/>
      <c r="E321" s="210"/>
      <c r="F321" s="210"/>
      <c r="G321" s="210"/>
      <c r="J321" s="147"/>
    </row>
    <row r="322" spans="3:10" ht="12.75" customHeight="1">
      <c r="C322" s="191"/>
      <c r="E322" s="210"/>
      <c r="F322" s="210"/>
      <c r="G322" s="210"/>
      <c r="J322" s="147"/>
    </row>
    <row r="323" spans="3:10" ht="12.75" customHeight="1">
      <c r="C323" s="191"/>
      <c r="E323" s="210"/>
      <c r="F323" s="210"/>
      <c r="G323" s="210"/>
      <c r="J323" s="147"/>
    </row>
    <row r="324" spans="3:10" ht="12.75" customHeight="1">
      <c r="C324" s="191"/>
      <c r="E324" s="210"/>
      <c r="F324" s="210"/>
      <c r="G324" s="210"/>
      <c r="J324" s="147"/>
    </row>
    <row r="325" spans="3:10" ht="12.75" customHeight="1">
      <c r="C325" s="191"/>
      <c r="E325" s="210"/>
      <c r="F325" s="210"/>
      <c r="G325" s="210"/>
      <c r="J325" s="147"/>
    </row>
    <row r="326" spans="3:10" ht="12.75" customHeight="1">
      <c r="C326" s="191"/>
      <c r="E326" s="210"/>
      <c r="F326" s="210"/>
      <c r="G326" s="210"/>
      <c r="J326" s="147"/>
    </row>
    <row r="327" spans="3:10" ht="12.75" customHeight="1">
      <c r="C327" s="191"/>
      <c r="E327" s="210"/>
      <c r="F327" s="210"/>
      <c r="G327" s="210"/>
      <c r="J327" s="147"/>
    </row>
    <row r="328" spans="3:10" ht="12.75" customHeight="1">
      <c r="C328" s="191"/>
      <c r="E328" s="210"/>
      <c r="F328" s="210"/>
      <c r="G328" s="210"/>
      <c r="J328" s="147"/>
    </row>
    <row r="329" spans="3:10" ht="12.75" customHeight="1">
      <c r="C329" s="191"/>
      <c r="E329" s="210"/>
      <c r="F329" s="210"/>
      <c r="G329" s="210"/>
      <c r="J329" s="147"/>
    </row>
    <row r="330" spans="3:10" ht="12.75" customHeight="1">
      <c r="C330" s="191"/>
      <c r="E330" s="210"/>
      <c r="F330" s="210"/>
      <c r="G330" s="210"/>
      <c r="J330" s="147"/>
    </row>
    <row r="331" spans="3:10" ht="12.75" customHeight="1">
      <c r="C331" s="191"/>
      <c r="E331" s="210"/>
      <c r="F331" s="210"/>
      <c r="G331" s="210"/>
      <c r="J331" s="147"/>
    </row>
    <row r="332" spans="3:10" ht="12.75" customHeight="1">
      <c r="C332" s="191"/>
      <c r="E332" s="210"/>
      <c r="F332" s="210"/>
      <c r="G332" s="210"/>
      <c r="J332" s="147"/>
    </row>
    <row r="333" spans="3:10" ht="12.75" customHeight="1">
      <c r="C333" s="191"/>
      <c r="E333" s="210"/>
      <c r="F333" s="210"/>
      <c r="G333" s="210"/>
      <c r="J333" s="147"/>
    </row>
    <row r="334" spans="3:10" ht="12.75" customHeight="1">
      <c r="C334" s="191"/>
      <c r="E334" s="210"/>
      <c r="F334" s="210"/>
      <c r="G334" s="210"/>
      <c r="J334" s="147"/>
    </row>
    <row r="335" spans="3:10" ht="12.75" customHeight="1">
      <c r="C335" s="191"/>
      <c r="E335" s="210"/>
      <c r="F335" s="210"/>
      <c r="G335" s="210"/>
      <c r="J335" s="147"/>
    </row>
    <row r="336" spans="3:10" ht="12.75" customHeight="1">
      <c r="C336" s="191"/>
      <c r="E336" s="210"/>
      <c r="F336" s="210"/>
      <c r="G336" s="210"/>
      <c r="J336" s="147"/>
    </row>
    <row r="337" spans="3:10" ht="12.75" customHeight="1">
      <c r="C337" s="191"/>
      <c r="E337" s="210"/>
      <c r="F337" s="210"/>
      <c r="G337" s="210"/>
      <c r="J337" s="147"/>
    </row>
    <row r="338" spans="3:10" ht="12.75" customHeight="1">
      <c r="C338" s="191"/>
      <c r="E338" s="210"/>
      <c r="F338" s="210"/>
      <c r="G338" s="210"/>
      <c r="J338" s="147"/>
    </row>
    <row r="339" spans="3:10" ht="12.75" customHeight="1">
      <c r="C339" s="191"/>
      <c r="E339" s="210"/>
      <c r="F339" s="210"/>
      <c r="G339" s="210"/>
      <c r="J339" s="147"/>
    </row>
    <row r="340" spans="3:10" ht="12.75" customHeight="1">
      <c r="C340" s="191"/>
      <c r="E340" s="210"/>
      <c r="F340" s="210"/>
      <c r="G340" s="210"/>
      <c r="J340" s="147"/>
    </row>
    <row r="341" spans="3:10" ht="12.75" customHeight="1">
      <c r="C341" s="191"/>
      <c r="E341" s="210"/>
      <c r="F341" s="210"/>
      <c r="G341" s="210"/>
      <c r="J341" s="147"/>
    </row>
    <row r="342" spans="3:10" ht="12.75" customHeight="1">
      <c r="C342" s="191"/>
      <c r="E342" s="210"/>
      <c r="F342" s="210"/>
      <c r="G342" s="210"/>
      <c r="J342" s="147"/>
    </row>
    <row r="343" spans="3:10" ht="12.75" customHeight="1">
      <c r="C343" s="191"/>
      <c r="E343" s="210"/>
      <c r="F343" s="210"/>
      <c r="G343" s="210"/>
      <c r="J343" s="147"/>
    </row>
    <row r="344" spans="3:10" ht="12.75" customHeight="1">
      <c r="C344" s="191"/>
      <c r="E344" s="210"/>
      <c r="F344" s="210"/>
      <c r="G344" s="210"/>
      <c r="J344" s="147"/>
    </row>
    <row r="345" spans="3:10" ht="12.75" customHeight="1">
      <c r="C345" s="191"/>
      <c r="E345" s="210"/>
      <c r="F345" s="210"/>
      <c r="G345" s="210"/>
      <c r="J345" s="147"/>
    </row>
    <row r="346" spans="3:10" ht="12.75" customHeight="1">
      <c r="C346" s="191"/>
      <c r="E346" s="210"/>
      <c r="F346" s="210"/>
      <c r="G346" s="210"/>
      <c r="J346" s="147"/>
    </row>
    <row r="347" spans="3:10" ht="12.75" customHeight="1">
      <c r="C347" s="191"/>
      <c r="E347" s="210"/>
      <c r="F347" s="210"/>
      <c r="G347" s="210"/>
      <c r="J347" s="147"/>
    </row>
    <row r="348" spans="3:10" ht="12.75" customHeight="1">
      <c r="C348" s="191"/>
      <c r="E348" s="210"/>
      <c r="F348" s="210"/>
      <c r="G348" s="210"/>
      <c r="J348" s="147"/>
    </row>
    <row r="349" spans="3:10" ht="12.75" customHeight="1">
      <c r="C349" s="191"/>
      <c r="E349" s="210"/>
      <c r="F349" s="210"/>
      <c r="G349" s="210"/>
      <c r="J349" s="147"/>
    </row>
    <row r="350" spans="3:10" ht="12.75" customHeight="1">
      <c r="C350" s="191"/>
      <c r="E350" s="210"/>
      <c r="F350" s="210"/>
      <c r="G350" s="210"/>
      <c r="J350" s="147"/>
    </row>
    <row r="351" spans="3:10" ht="12.75" customHeight="1">
      <c r="C351" s="191"/>
      <c r="E351" s="210"/>
      <c r="F351" s="210"/>
      <c r="G351" s="210"/>
      <c r="J351" s="147"/>
    </row>
    <row r="352" spans="3:10" ht="12.75" customHeight="1">
      <c r="C352" s="191"/>
      <c r="E352" s="210"/>
      <c r="F352" s="210"/>
      <c r="G352" s="210"/>
      <c r="J352" s="147"/>
    </row>
    <row r="353" spans="3:10" ht="12.75" customHeight="1">
      <c r="C353" s="191"/>
      <c r="E353" s="210"/>
      <c r="F353" s="210"/>
      <c r="G353" s="210"/>
      <c r="J353" s="147"/>
    </row>
    <row r="354" spans="3:10" ht="12.75" customHeight="1">
      <c r="C354" s="191"/>
      <c r="E354" s="210"/>
      <c r="F354" s="210"/>
      <c r="G354" s="210"/>
      <c r="J354" s="147"/>
    </row>
    <row r="355" spans="3:10" ht="12.75" customHeight="1">
      <c r="C355" s="191"/>
      <c r="E355" s="210"/>
      <c r="F355" s="210"/>
      <c r="G355" s="210"/>
      <c r="J355" s="147"/>
    </row>
    <row r="356" spans="3:10" ht="12.75" customHeight="1">
      <c r="C356" s="191"/>
      <c r="E356" s="210"/>
      <c r="F356" s="210"/>
      <c r="G356" s="210"/>
      <c r="J356" s="147"/>
    </row>
    <row r="357" spans="3:10" ht="12.75" customHeight="1">
      <c r="C357" s="191"/>
      <c r="E357" s="210"/>
      <c r="F357" s="210"/>
      <c r="G357" s="210"/>
      <c r="J357" s="147"/>
    </row>
    <row r="358" spans="3:10" ht="12.75" customHeight="1">
      <c r="C358" s="191"/>
      <c r="E358" s="210"/>
      <c r="F358" s="210"/>
      <c r="G358" s="210"/>
      <c r="J358" s="147"/>
    </row>
    <row r="359" spans="3:10" ht="12.75" customHeight="1">
      <c r="C359" s="191"/>
      <c r="E359" s="210"/>
      <c r="F359" s="210"/>
      <c r="G359" s="210"/>
      <c r="J359" s="147"/>
    </row>
    <row r="360" spans="3:10" ht="12.75" customHeight="1">
      <c r="C360" s="191"/>
      <c r="E360" s="210"/>
      <c r="F360" s="210"/>
      <c r="G360" s="210"/>
      <c r="J360" s="147"/>
    </row>
    <row r="361" spans="3:10" ht="12.75" customHeight="1">
      <c r="C361" s="191"/>
      <c r="E361" s="210"/>
      <c r="F361" s="210"/>
      <c r="G361" s="210"/>
      <c r="J361" s="147"/>
    </row>
    <row r="362" spans="3:10" ht="12.75" customHeight="1">
      <c r="C362" s="191"/>
      <c r="E362" s="210"/>
      <c r="F362" s="210"/>
      <c r="G362" s="210"/>
      <c r="J362" s="147"/>
    </row>
    <row r="363" spans="3:10" ht="12.75" customHeight="1">
      <c r="C363" s="191"/>
      <c r="E363" s="210"/>
      <c r="F363" s="210"/>
      <c r="G363" s="210"/>
      <c r="J363" s="147"/>
    </row>
    <row r="364" spans="3:10" ht="12.75" customHeight="1">
      <c r="C364" s="191"/>
      <c r="E364" s="210"/>
      <c r="F364" s="210"/>
      <c r="G364" s="210"/>
      <c r="J364" s="147"/>
    </row>
    <row r="365" spans="3:10" ht="12.75" customHeight="1">
      <c r="C365" s="191"/>
      <c r="E365" s="210"/>
      <c r="F365" s="210"/>
      <c r="G365" s="210"/>
      <c r="J365" s="147"/>
    </row>
    <row r="366" spans="3:10" ht="12.75" customHeight="1">
      <c r="C366" s="191"/>
      <c r="E366" s="210"/>
      <c r="F366" s="210"/>
      <c r="G366" s="210"/>
      <c r="J366" s="147"/>
    </row>
    <row r="367" spans="3:10" ht="12.75" customHeight="1">
      <c r="C367" s="191"/>
      <c r="E367" s="210"/>
      <c r="F367" s="210"/>
      <c r="G367" s="210"/>
      <c r="J367" s="147"/>
    </row>
    <row r="368" spans="3:10" ht="12.75" customHeight="1">
      <c r="C368" s="191"/>
      <c r="E368" s="210"/>
      <c r="F368" s="210"/>
      <c r="G368" s="210"/>
      <c r="J368" s="147"/>
    </row>
    <row r="369" spans="3:10" ht="12.75" customHeight="1">
      <c r="C369" s="191"/>
      <c r="E369" s="210"/>
      <c r="F369" s="210"/>
      <c r="G369" s="210"/>
      <c r="J369" s="147"/>
    </row>
    <row r="370" spans="3:10" ht="12.75" customHeight="1">
      <c r="C370" s="191"/>
      <c r="E370" s="210"/>
      <c r="F370" s="210"/>
      <c r="G370" s="210"/>
      <c r="J370" s="147"/>
    </row>
    <row r="371" spans="3:10" ht="12.75" customHeight="1">
      <c r="C371" s="191"/>
      <c r="E371" s="210"/>
      <c r="F371" s="210"/>
      <c r="G371" s="210"/>
      <c r="J371" s="147"/>
    </row>
    <row r="372" spans="3:10" ht="12.75" customHeight="1">
      <c r="C372" s="191"/>
      <c r="E372" s="210"/>
      <c r="F372" s="210"/>
      <c r="G372" s="210"/>
      <c r="J372" s="147"/>
    </row>
    <row r="373" spans="3:10" ht="12.75" customHeight="1">
      <c r="C373" s="191"/>
      <c r="E373" s="210"/>
      <c r="F373" s="210"/>
      <c r="G373" s="210"/>
      <c r="J373" s="147"/>
    </row>
    <row r="374" spans="3:10" ht="12.75" customHeight="1">
      <c r="C374" s="191"/>
      <c r="E374" s="210"/>
      <c r="F374" s="210"/>
      <c r="G374" s="210"/>
      <c r="J374" s="147"/>
    </row>
    <row r="375" spans="3:10" ht="12.75" customHeight="1">
      <c r="C375" s="191"/>
      <c r="E375" s="210"/>
      <c r="F375" s="210"/>
      <c r="G375" s="210"/>
      <c r="J375" s="147"/>
    </row>
    <row r="376" spans="3:10" ht="12.75" customHeight="1">
      <c r="C376" s="191"/>
      <c r="E376" s="210"/>
      <c r="F376" s="210"/>
      <c r="G376" s="210"/>
      <c r="J376" s="147"/>
    </row>
    <row r="377" spans="3:10" ht="12.75" customHeight="1">
      <c r="C377" s="191"/>
      <c r="E377" s="210"/>
      <c r="F377" s="210"/>
      <c r="G377" s="210"/>
      <c r="J377" s="147"/>
    </row>
    <row r="378" spans="3:10" ht="12.75" customHeight="1">
      <c r="C378" s="191"/>
      <c r="E378" s="210"/>
      <c r="F378" s="210"/>
      <c r="G378" s="210"/>
      <c r="J378" s="147"/>
    </row>
    <row r="379" spans="3:10" ht="12.75" customHeight="1">
      <c r="C379" s="191"/>
      <c r="E379" s="210"/>
      <c r="F379" s="210"/>
      <c r="G379" s="210"/>
      <c r="J379" s="147"/>
    </row>
    <row r="380" spans="3:10" ht="12.75" customHeight="1">
      <c r="C380" s="191"/>
      <c r="E380" s="210"/>
      <c r="F380" s="210"/>
      <c r="G380" s="210"/>
      <c r="J380" s="147"/>
    </row>
    <row r="381" spans="3:10" ht="12.75" customHeight="1">
      <c r="C381" s="191"/>
      <c r="E381" s="210"/>
      <c r="F381" s="210"/>
      <c r="G381" s="210"/>
      <c r="J381" s="147"/>
    </row>
    <row r="382" spans="3:10" ht="12.75" customHeight="1">
      <c r="C382" s="191"/>
      <c r="E382" s="210"/>
      <c r="F382" s="210"/>
      <c r="G382" s="210"/>
      <c r="J382" s="147"/>
    </row>
    <row r="383" spans="3:10" ht="12.75" customHeight="1">
      <c r="C383" s="191"/>
      <c r="E383" s="210"/>
      <c r="F383" s="210"/>
      <c r="G383" s="210"/>
      <c r="J383" s="147"/>
    </row>
    <row r="384" spans="3:10" ht="12.75" customHeight="1">
      <c r="C384" s="191"/>
      <c r="E384" s="210"/>
      <c r="F384" s="210"/>
      <c r="G384" s="210"/>
      <c r="J384" s="147"/>
    </row>
    <row r="385" spans="3:10" ht="12.75" customHeight="1">
      <c r="C385" s="191"/>
      <c r="E385" s="210"/>
      <c r="F385" s="210"/>
      <c r="G385" s="210"/>
      <c r="J385" s="147"/>
    </row>
    <row r="386" spans="3:10" ht="12.75" customHeight="1">
      <c r="C386" s="191"/>
      <c r="E386" s="210"/>
      <c r="F386" s="210"/>
      <c r="G386" s="210"/>
      <c r="J386" s="147"/>
    </row>
    <row r="387" spans="3:10" ht="12.75" customHeight="1">
      <c r="C387" s="191"/>
      <c r="E387" s="210"/>
      <c r="F387" s="210"/>
      <c r="G387" s="210"/>
      <c r="J387" s="147"/>
    </row>
    <row r="388" spans="3:10" ht="12.75" customHeight="1">
      <c r="C388" s="191"/>
      <c r="E388" s="210"/>
      <c r="F388" s="210"/>
      <c r="G388" s="210"/>
      <c r="J388" s="147"/>
    </row>
    <row r="389" spans="3:10" ht="12.75" customHeight="1">
      <c r="C389" s="191"/>
      <c r="E389" s="210"/>
      <c r="F389" s="210"/>
      <c r="G389" s="210"/>
      <c r="J389" s="147"/>
    </row>
    <row r="390" spans="3:10" ht="12.75" customHeight="1">
      <c r="C390" s="191"/>
      <c r="E390" s="210"/>
      <c r="F390" s="210"/>
      <c r="G390" s="210"/>
      <c r="J390" s="147"/>
    </row>
    <row r="391" spans="3:10" ht="12.75" customHeight="1">
      <c r="C391" s="191"/>
      <c r="E391" s="210"/>
      <c r="F391" s="210"/>
      <c r="G391" s="210"/>
      <c r="J391" s="147"/>
    </row>
    <row r="392" spans="3:10" ht="12.75" customHeight="1">
      <c r="C392" s="191"/>
      <c r="E392" s="210"/>
      <c r="F392" s="210"/>
      <c r="G392" s="210"/>
      <c r="J392" s="147"/>
    </row>
    <row r="393" spans="3:10" ht="12.75" customHeight="1">
      <c r="C393" s="191"/>
      <c r="E393" s="210"/>
      <c r="F393" s="210"/>
      <c r="G393" s="210"/>
      <c r="J393" s="147"/>
    </row>
    <row r="394" spans="3:10" ht="12.75" customHeight="1">
      <c r="C394" s="191"/>
      <c r="E394" s="210"/>
      <c r="F394" s="210"/>
      <c r="G394" s="210"/>
      <c r="J394" s="147"/>
    </row>
    <row r="395" spans="3:10" ht="12.75" customHeight="1">
      <c r="C395" s="191"/>
      <c r="E395" s="210"/>
      <c r="F395" s="210"/>
      <c r="G395" s="210"/>
      <c r="J395" s="147"/>
    </row>
    <row r="396" spans="3:10" ht="12.75" customHeight="1">
      <c r="C396" s="191"/>
      <c r="E396" s="210"/>
      <c r="F396" s="210"/>
      <c r="G396" s="210"/>
      <c r="J396" s="147"/>
    </row>
    <row r="397" spans="3:10" ht="12.75" customHeight="1">
      <c r="C397" s="191"/>
      <c r="E397" s="210"/>
      <c r="F397" s="210"/>
      <c r="G397" s="210"/>
      <c r="J397" s="147"/>
    </row>
    <row r="398" spans="3:10" ht="12.75" customHeight="1">
      <c r="C398" s="191"/>
      <c r="E398" s="210"/>
      <c r="F398" s="210"/>
      <c r="G398" s="210"/>
      <c r="J398" s="147"/>
    </row>
    <row r="399" spans="3:10" ht="12.75" customHeight="1">
      <c r="C399" s="191"/>
      <c r="E399" s="210"/>
      <c r="F399" s="210"/>
      <c r="G399" s="210"/>
      <c r="J399" s="147"/>
    </row>
    <row r="400" spans="3:10" ht="12.75" customHeight="1">
      <c r="C400" s="191"/>
      <c r="E400" s="210"/>
      <c r="F400" s="210"/>
      <c r="G400" s="210"/>
      <c r="J400" s="147"/>
    </row>
    <row r="401" spans="3:10" ht="12.75" customHeight="1">
      <c r="C401" s="191"/>
      <c r="E401" s="210"/>
      <c r="F401" s="210"/>
      <c r="G401" s="210"/>
      <c r="J401" s="147"/>
    </row>
    <row r="402" spans="3:10" ht="12.75" customHeight="1">
      <c r="C402" s="191"/>
      <c r="E402" s="210"/>
      <c r="F402" s="210"/>
      <c r="G402" s="210"/>
      <c r="J402" s="147"/>
    </row>
    <row r="403" spans="3:10" ht="12.75" customHeight="1">
      <c r="C403" s="191"/>
      <c r="E403" s="210"/>
      <c r="F403" s="210"/>
      <c r="G403" s="210"/>
      <c r="J403" s="147"/>
    </row>
    <row r="404" spans="3:10" ht="12.75" customHeight="1">
      <c r="C404" s="191"/>
      <c r="E404" s="210"/>
      <c r="F404" s="210"/>
      <c r="G404" s="210"/>
      <c r="J404" s="147"/>
    </row>
    <row r="405" spans="3:10" ht="12.75" customHeight="1">
      <c r="C405" s="191"/>
      <c r="E405" s="210"/>
      <c r="F405" s="210"/>
      <c r="G405" s="210"/>
      <c r="J405" s="147"/>
    </row>
    <row r="406" spans="3:10" ht="12.75" customHeight="1">
      <c r="C406" s="191"/>
      <c r="E406" s="210"/>
      <c r="F406" s="210"/>
      <c r="G406" s="210"/>
      <c r="J406" s="147"/>
    </row>
    <row r="407" spans="3:10" ht="12.75" customHeight="1">
      <c r="C407" s="191"/>
      <c r="E407" s="210"/>
      <c r="F407" s="210"/>
      <c r="G407" s="210"/>
      <c r="J407" s="147"/>
    </row>
    <row r="408" spans="3:10" ht="12.75" customHeight="1">
      <c r="C408" s="191"/>
      <c r="E408" s="210"/>
      <c r="F408" s="210"/>
      <c r="G408" s="210"/>
      <c r="J408" s="147"/>
    </row>
    <row r="409" spans="3:10" ht="12.75" customHeight="1">
      <c r="C409" s="191"/>
      <c r="E409" s="210"/>
      <c r="F409" s="210"/>
      <c r="G409" s="210"/>
      <c r="J409" s="147"/>
    </row>
    <row r="410" spans="3:10" ht="12.75" customHeight="1">
      <c r="C410" s="191"/>
      <c r="E410" s="210"/>
      <c r="F410" s="210"/>
      <c r="G410" s="210"/>
      <c r="J410" s="147"/>
    </row>
    <row r="411" spans="3:10" ht="12.75" customHeight="1">
      <c r="C411" s="191"/>
      <c r="E411" s="210"/>
      <c r="F411" s="210"/>
      <c r="G411" s="210"/>
      <c r="J411" s="147"/>
    </row>
    <row r="412" spans="3:10" ht="12.75" customHeight="1">
      <c r="C412" s="191"/>
      <c r="E412" s="210"/>
      <c r="F412" s="210"/>
      <c r="G412" s="210"/>
      <c r="J412" s="147"/>
    </row>
    <row r="413" spans="3:10" ht="12.75" customHeight="1">
      <c r="C413" s="191"/>
      <c r="E413" s="210"/>
      <c r="F413" s="210"/>
      <c r="G413" s="210"/>
      <c r="J413" s="147"/>
    </row>
    <row r="414" spans="3:10" ht="12.75" customHeight="1">
      <c r="C414" s="191"/>
      <c r="E414" s="210"/>
      <c r="F414" s="210"/>
      <c r="G414" s="210"/>
      <c r="J414" s="147"/>
    </row>
    <row r="415" spans="3:10" ht="12.75" customHeight="1">
      <c r="C415" s="191"/>
      <c r="E415" s="210"/>
      <c r="F415" s="210"/>
      <c r="G415" s="210"/>
      <c r="J415" s="147"/>
    </row>
    <row r="416" spans="3:10" ht="12.75" customHeight="1">
      <c r="C416" s="191"/>
      <c r="E416" s="210"/>
      <c r="F416" s="210"/>
      <c r="G416" s="210"/>
      <c r="J416" s="147"/>
    </row>
    <row r="417" spans="3:10" ht="12.75" customHeight="1">
      <c r="C417" s="191"/>
      <c r="E417" s="210"/>
      <c r="F417" s="210"/>
      <c r="G417" s="210"/>
      <c r="J417" s="147"/>
    </row>
    <row r="418" spans="3:10" ht="12.75" customHeight="1">
      <c r="C418" s="191"/>
      <c r="E418" s="210"/>
      <c r="F418" s="210"/>
      <c r="G418" s="210"/>
      <c r="J418" s="147"/>
    </row>
    <row r="419" spans="3:10" ht="12.75" customHeight="1">
      <c r="C419" s="191"/>
      <c r="E419" s="210"/>
      <c r="F419" s="210"/>
      <c r="G419" s="210"/>
      <c r="J419" s="147"/>
    </row>
    <row r="420" spans="3:10" ht="12.75" customHeight="1">
      <c r="C420" s="191"/>
      <c r="E420" s="210"/>
      <c r="F420" s="210"/>
      <c r="G420" s="210"/>
      <c r="J420" s="147"/>
    </row>
    <row r="421" spans="3:10" ht="12.75" customHeight="1">
      <c r="C421" s="191"/>
      <c r="E421" s="210"/>
      <c r="F421" s="210"/>
      <c r="G421" s="210"/>
      <c r="J421" s="147"/>
    </row>
    <row r="422" spans="3:10" ht="12.75" customHeight="1">
      <c r="C422" s="191"/>
      <c r="E422" s="210"/>
      <c r="F422" s="210"/>
      <c r="G422" s="210"/>
      <c r="J422" s="147"/>
    </row>
    <row r="423" spans="3:10" ht="12.75" customHeight="1">
      <c r="C423" s="191"/>
      <c r="E423" s="210"/>
      <c r="F423" s="210"/>
      <c r="G423" s="210"/>
      <c r="J423" s="147"/>
    </row>
    <row r="424" spans="3:10" ht="12.75" customHeight="1">
      <c r="C424" s="191"/>
      <c r="E424" s="210"/>
      <c r="F424" s="210"/>
      <c r="G424" s="210"/>
      <c r="J424" s="147"/>
    </row>
    <row r="425" spans="3:10" ht="12.75" customHeight="1">
      <c r="C425" s="191"/>
      <c r="E425" s="210"/>
      <c r="F425" s="210"/>
      <c r="G425" s="210"/>
      <c r="J425" s="147"/>
    </row>
    <row r="426" spans="3:10" ht="12.75" customHeight="1">
      <c r="C426" s="191"/>
      <c r="E426" s="210"/>
      <c r="F426" s="210"/>
      <c r="G426" s="210"/>
      <c r="J426" s="147"/>
    </row>
    <row r="427" spans="3:10" ht="12.75" customHeight="1">
      <c r="C427" s="191"/>
      <c r="E427" s="210"/>
      <c r="F427" s="210"/>
      <c r="G427" s="210"/>
      <c r="J427" s="147"/>
    </row>
    <row r="428" spans="3:10" ht="12.75" customHeight="1">
      <c r="C428" s="191"/>
      <c r="E428" s="210"/>
      <c r="F428" s="210"/>
      <c r="G428" s="210"/>
      <c r="J428" s="147"/>
    </row>
    <row r="429" spans="3:10" ht="12.75" customHeight="1">
      <c r="C429" s="191"/>
      <c r="E429" s="210"/>
      <c r="F429" s="210"/>
      <c r="G429" s="210"/>
      <c r="J429" s="147"/>
    </row>
    <row r="430" spans="3:10" ht="12.75" customHeight="1">
      <c r="C430" s="191"/>
      <c r="E430" s="210"/>
      <c r="F430" s="210"/>
      <c r="G430" s="210"/>
      <c r="J430" s="147"/>
    </row>
    <row r="431" spans="3:10" ht="12.75" customHeight="1">
      <c r="C431" s="191"/>
      <c r="E431" s="210"/>
      <c r="F431" s="210"/>
      <c r="G431" s="210"/>
      <c r="J431" s="147"/>
    </row>
    <row r="432" spans="3:10" ht="12.75" customHeight="1">
      <c r="C432" s="191"/>
      <c r="E432" s="210"/>
      <c r="F432" s="210"/>
      <c r="G432" s="210"/>
      <c r="J432" s="147"/>
    </row>
    <row r="433" spans="3:10" ht="12.75" customHeight="1">
      <c r="C433" s="191"/>
      <c r="E433" s="210"/>
      <c r="F433" s="210"/>
      <c r="G433" s="210"/>
      <c r="J433" s="147"/>
    </row>
    <row r="434" spans="3:10" ht="12.75" customHeight="1">
      <c r="C434" s="191"/>
      <c r="E434" s="210"/>
      <c r="F434" s="210"/>
      <c r="G434" s="210"/>
      <c r="J434" s="147"/>
    </row>
    <row r="435" spans="3:10" ht="12.75" customHeight="1">
      <c r="C435" s="191"/>
      <c r="E435" s="210"/>
      <c r="F435" s="210"/>
      <c r="G435" s="210"/>
      <c r="J435" s="147"/>
    </row>
    <row r="436" spans="3:10" ht="12.75" customHeight="1">
      <c r="C436" s="191"/>
      <c r="E436" s="210"/>
      <c r="F436" s="210"/>
      <c r="G436" s="210"/>
      <c r="J436" s="147"/>
    </row>
    <row r="437" spans="3:10" ht="12.75" customHeight="1">
      <c r="C437" s="191"/>
      <c r="E437" s="210"/>
      <c r="F437" s="210"/>
      <c r="G437" s="210"/>
      <c r="J437" s="147"/>
    </row>
    <row r="438" spans="3:10" ht="12.75" customHeight="1">
      <c r="C438" s="191"/>
      <c r="E438" s="210"/>
      <c r="F438" s="210"/>
      <c r="G438" s="210"/>
      <c r="J438" s="147"/>
    </row>
    <row r="439" spans="3:10" ht="12.75" customHeight="1">
      <c r="C439" s="191"/>
      <c r="E439" s="210"/>
      <c r="F439" s="210"/>
      <c r="G439" s="210"/>
      <c r="J439" s="147"/>
    </row>
    <row r="440" spans="3:10" ht="12.75" customHeight="1">
      <c r="C440" s="191"/>
      <c r="E440" s="210"/>
      <c r="F440" s="210"/>
      <c r="G440" s="210"/>
      <c r="J440" s="147"/>
    </row>
    <row r="441" spans="3:10" ht="12.75" customHeight="1">
      <c r="C441" s="191"/>
      <c r="E441" s="210"/>
      <c r="F441" s="210"/>
      <c r="G441" s="210"/>
      <c r="J441" s="147"/>
    </row>
    <row r="442" spans="3:10" ht="12.75" customHeight="1">
      <c r="C442" s="191"/>
      <c r="E442" s="210"/>
      <c r="F442" s="210"/>
      <c r="G442" s="210"/>
      <c r="J442" s="147"/>
    </row>
    <row r="443" spans="3:10" ht="12.75" customHeight="1">
      <c r="C443" s="191"/>
      <c r="E443" s="210"/>
      <c r="F443" s="210"/>
      <c r="G443" s="210"/>
      <c r="J443" s="147"/>
    </row>
    <row r="444" spans="3:10" ht="12.75" customHeight="1">
      <c r="C444" s="191"/>
      <c r="E444" s="210"/>
      <c r="F444" s="210"/>
      <c r="G444" s="210"/>
      <c r="J444" s="147"/>
    </row>
    <row r="445" spans="3:10" ht="12.75" customHeight="1">
      <c r="C445" s="191"/>
      <c r="E445" s="210"/>
      <c r="F445" s="210"/>
      <c r="G445" s="210"/>
      <c r="J445" s="147"/>
    </row>
    <row r="446" spans="3:10" ht="12.75" customHeight="1">
      <c r="C446" s="191"/>
      <c r="E446" s="210"/>
      <c r="F446" s="210"/>
      <c r="G446" s="210"/>
      <c r="J446" s="147"/>
    </row>
    <row r="447" spans="3:10" ht="12.75" customHeight="1">
      <c r="C447" s="191"/>
      <c r="E447" s="210"/>
      <c r="F447" s="210"/>
      <c r="G447" s="210"/>
      <c r="J447" s="147"/>
    </row>
    <row r="448" spans="3:10" ht="12.75" customHeight="1">
      <c r="C448" s="191"/>
      <c r="E448" s="210"/>
      <c r="F448" s="210"/>
      <c r="G448" s="210"/>
      <c r="J448" s="147"/>
    </row>
    <row r="449" spans="3:10" ht="12.75" customHeight="1">
      <c r="C449" s="191"/>
      <c r="E449" s="210"/>
      <c r="F449" s="210"/>
      <c r="G449" s="210"/>
      <c r="J449" s="147"/>
    </row>
    <row r="450" spans="3:10" ht="12.75" customHeight="1">
      <c r="C450" s="191"/>
      <c r="E450" s="210"/>
      <c r="F450" s="210"/>
      <c r="G450" s="210"/>
      <c r="J450" s="147"/>
    </row>
    <row r="451" spans="3:10" ht="12.75" customHeight="1">
      <c r="C451" s="191"/>
      <c r="E451" s="210"/>
      <c r="F451" s="210"/>
      <c r="G451" s="210"/>
      <c r="J451" s="147"/>
    </row>
    <row r="452" spans="3:10" ht="12.75" customHeight="1">
      <c r="C452" s="191"/>
      <c r="E452" s="210"/>
      <c r="F452" s="210"/>
      <c r="G452" s="210"/>
      <c r="J452" s="147"/>
    </row>
    <row r="453" spans="3:10" ht="12.75" customHeight="1">
      <c r="C453" s="191"/>
      <c r="E453" s="210"/>
      <c r="F453" s="210"/>
      <c r="G453" s="210"/>
      <c r="J453" s="147"/>
    </row>
    <row r="454" spans="3:10" ht="12.75" customHeight="1">
      <c r="C454" s="191"/>
      <c r="E454" s="210"/>
      <c r="F454" s="210"/>
      <c r="G454" s="210"/>
      <c r="J454" s="147"/>
    </row>
    <row r="455" spans="3:10" ht="12.75" customHeight="1">
      <c r="C455" s="191"/>
      <c r="E455" s="210"/>
      <c r="F455" s="210"/>
      <c r="G455" s="210"/>
      <c r="J455" s="147"/>
    </row>
    <row r="456" spans="3:10" ht="12.75" customHeight="1">
      <c r="C456" s="191"/>
      <c r="E456" s="210"/>
      <c r="F456" s="210"/>
      <c r="G456" s="210"/>
      <c r="J456" s="147"/>
    </row>
    <row r="457" spans="3:10" ht="12.75" customHeight="1">
      <c r="C457" s="191"/>
      <c r="E457" s="210"/>
      <c r="F457" s="210"/>
      <c r="G457" s="210"/>
      <c r="J457" s="147"/>
    </row>
    <row r="458" spans="3:10" ht="12.75" customHeight="1">
      <c r="C458" s="191"/>
      <c r="E458" s="210"/>
      <c r="F458" s="210"/>
      <c r="G458" s="210"/>
      <c r="J458" s="147"/>
    </row>
    <row r="459" spans="3:10" ht="12.75" customHeight="1">
      <c r="C459" s="191"/>
      <c r="E459" s="210"/>
      <c r="F459" s="210"/>
      <c r="G459" s="210"/>
      <c r="J459" s="147"/>
    </row>
    <row r="460" spans="3:10" ht="12.75" customHeight="1">
      <c r="C460" s="191"/>
      <c r="E460" s="210"/>
      <c r="F460" s="210"/>
      <c r="G460" s="210"/>
      <c r="J460" s="147"/>
    </row>
    <row r="461" spans="3:10" ht="12.75" customHeight="1">
      <c r="C461" s="191"/>
      <c r="E461" s="210"/>
      <c r="F461" s="210"/>
      <c r="G461" s="210"/>
      <c r="J461" s="147"/>
    </row>
    <row r="462" spans="3:10" ht="12.75" customHeight="1">
      <c r="C462" s="191"/>
      <c r="E462" s="210"/>
      <c r="F462" s="210"/>
      <c r="G462" s="210"/>
      <c r="J462" s="147"/>
    </row>
    <row r="463" spans="3:10" ht="12.75" customHeight="1">
      <c r="C463" s="191"/>
      <c r="E463" s="210"/>
      <c r="F463" s="210"/>
      <c r="G463" s="210"/>
      <c r="J463" s="147"/>
    </row>
    <row r="464" spans="3:10" ht="12.75" customHeight="1">
      <c r="C464" s="191"/>
      <c r="E464" s="210"/>
      <c r="F464" s="210"/>
      <c r="G464" s="210"/>
      <c r="J464" s="147"/>
    </row>
    <row r="465" spans="3:10" ht="12.75" customHeight="1">
      <c r="C465" s="191"/>
      <c r="E465" s="210"/>
      <c r="F465" s="210"/>
      <c r="G465" s="210"/>
      <c r="J465" s="147"/>
    </row>
    <row r="466" spans="3:10" ht="12.75" customHeight="1">
      <c r="C466" s="191"/>
      <c r="E466" s="210"/>
      <c r="F466" s="210"/>
      <c r="G466" s="210"/>
      <c r="J466" s="147"/>
    </row>
    <row r="467" spans="3:10" ht="12.75" customHeight="1">
      <c r="C467" s="191"/>
      <c r="E467" s="210"/>
      <c r="F467" s="210"/>
      <c r="G467" s="210"/>
      <c r="J467" s="147"/>
    </row>
    <row r="468" spans="3:10" ht="12.75" customHeight="1">
      <c r="C468" s="191"/>
      <c r="E468" s="210"/>
      <c r="F468" s="210"/>
      <c r="G468" s="210"/>
      <c r="J468" s="147"/>
    </row>
    <row r="469" spans="3:10" ht="12.75" customHeight="1">
      <c r="C469" s="191"/>
      <c r="E469" s="210"/>
      <c r="F469" s="210"/>
      <c r="G469" s="210"/>
      <c r="J469" s="147"/>
    </row>
    <row r="470" spans="3:10" ht="12.75" customHeight="1">
      <c r="C470" s="191"/>
      <c r="E470" s="210"/>
      <c r="F470" s="210"/>
      <c r="G470" s="210"/>
      <c r="J470" s="147"/>
    </row>
    <row r="471" spans="3:10" ht="12.75" customHeight="1">
      <c r="C471" s="191"/>
      <c r="E471" s="210"/>
      <c r="F471" s="210"/>
      <c r="G471" s="210"/>
      <c r="J471" s="147"/>
    </row>
    <row r="472" spans="3:10" ht="12.75" customHeight="1">
      <c r="C472" s="191"/>
      <c r="E472" s="210"/>
      <c r="F472" s="210"/>
      <c r="G472" s="210"/>
      <c r="J472" s="147"/>
    </row>
    <row r="473" spans="3:10" ht="12.75" customHeight="1">
      <c r="C473" s="191"/>
      <c r="E473" s="210"/>
      <c r="F473" s="210"/>
      <c r="G473" s="210"/>
      <c r="J473" s="147"/>
    </row>
    <row r="474" spans="3:10" ht="12.75" customHeight="1">
      <c r="C474" s="191"/>
      <c r="E474" s="210"/>
      <c r="F474" s="210"/>
      <c r="G474" s="210"/>
      <c r="J474" s="147"/>
    </row>
    <row r="475" spans="3:10" ht="12.75" customHeight="1">
      <c r="C475" s="191"/>
      <c r="E475" s="210"/>
      <c r="F475" s="210"/>
      <c r="G475" s="210"/>
      <c r="J475" s="147"/>
    </row>
    <row r="476" spans="3:10" ht="12.75" customHeight="1">
      <c r="C476" s="191"/>
      <c r="E476" s="210"/>
      <c r="F476" s="210"/>
      <c r="G476" s="210"/>
      <c r="J476" s="147"/>
    </row>
    <row r="477" spans="3:10" ht="12.75" customHeight="1">
      <c r="C477" s="191"/>
      <c r="E477" s="210"/>
      <c r="F477" s="210"/>
      <c r="G477" s="210"/>
      <c r="J477" s="147"/>
    </row>
    <row r="478" spans="3:10" ht="12.75" customHeight="1">
      <c r="C478" s="191"/>
      <c r="E478" s="210"/>
      <c r="F478" s="210"/>
      <c r="G478" s="210"/>
      <c r="J478" s="147"/>
    </row>
    <row r="479" spans="3:10" ht="12.75" customHeight="1">
      <c r="C479" s="191"/>
      <c r="E479" s="210"/>
      <c r="F479" s="210"/>
      <c r="G479" s="210"/>
      <c r="J479" s="147"/>
    </row>
    <row r="480" spans="3:10" ht="12.75" customHeight="1">
      <c r="C480" s="191"/>
      <c r="E480" s="210"/>
      <c r="F480" s="210"/>
      <c r="G480" s="210"/>
      <c r="J480" s="147"/>
    </row>
    <row r="481" spans="3:10" ht="12.75" customHeight="1">
      <c r="C481" s="191"/>
      <c r="E481" s="210"/>
      <c r="F481" s="210"/>
      <c r="G481" s="210"/>
      <c r="J481" s="147"/>
    </row>
    <row r="482" spans="3:10" ht="12.75" customHeight="1">
      <c r="C482" s="191"/>
      <c r="E482" s="210"/>
      <c r="F482" s="210"/>
      <c r="G482" s="210"/>
      <c r="J482" s="147"/>
    </row>
    <row r="483" spans="3:10" ht="12.75" customHeight="1">
      <c r="C483" s="191"/>
      <c r="E483" s="210"/>
      <c r="F483" s="210"/>
      <c r="G483" s="210"/>
      <c r="J483" s="147"/>
    </row>
    <row r="484" spans="3:10" ht="12.75" customHeight="1">
      <c r="C484" s="191"/>
      <c r="E484" s="210"/>
      <c r="F484" s="210"/>
      <c r="G484" s="210"/>
      <c r="J484" s="147"/>
    </row>
    <row r="485" spans="3:10" ht="12.75" customHeight="1">
      <c r="C485" s="191"/>
      <c r="E485" s="210"/>
      <c r="F485" s="210"/>
      <c r="G485" s="210"/>
      <c r="J485" s="147"/>
    </row>
    <row r="486" spans="3:10" ht="12.75" customHeight="1">
      <c r="C486" s="191"/>
      <c r="E486" s="210"/>
      <c r="F486" s="210"/>
      <c r="G486" s="210"/>
      <c r="J486" s="147"/>
    </row>
    <row r="487" spans="3:10" ht="12.75" customHeight="1">
      <c r="C487" s="191"/>
      <c r="E487" s="210"/>
      <c r="F487" s="210"/>
      <c r="G487" s="210"/>
      <c r="J487" s="147"/>
    </row>
    <row r="488" spans="3:10" ht="12.75" customHeight="1">
      <c r="C488" s="191"/>
      <c r="E488" s="210"/>
      <c r="F488" s="210"/>
      <c r="G488" s="210"/>
      <c r="J488" s="147"/>
    </row>
    <row r="489" spans="3:10" ht="12.75" customHeight="1">
      <c r="C489" s="191"/>
      <c r="E489" s="210"/>
      <c r="F489" s="210"/>
      <c r="G489" s="210"/>
      <c r="J489" s="147"/>
    </row>
    <row r="490" spans="3:10" ht="12.75" customHeight="1">
      <c r="C490" s="191"/>
      <c r="E490" s="210"/>
      <c r="F490" s="210"/>
      <c r="G490" s="210"/>
      <c r="J490" s="147"/>
    </row>
    <row r="491" spans="3:10" ht="12.75" customHeight="1">
      <c r="C491" s="191"/>
      <c r="E491" s="210"/>
      <c r="F491" s="210"/>
      <c r="G491" s="210"/>
      <c r="J491" s="147"/>
    </row>
    <row r="492" spans="3:10" ht="12.75" customHeight="1">
      <c r="C492" s="191"/>
      <c r="E492" s="210"/>
      <c r="F492" s="210"/>
      <c r="G492" s="210"/>
      <c r="J492" s="147"/>
    </row>
    <row r="493" spans="3:10" ht="12.75" customHeight="1">
      <c r="C493" s="191"/>
      <c r="E493" s="210"/>
      <c r="F493" s="210"/>
      <c r="G493" s="210"/>
      <c r="J493" s="147"/>
    </row>
    <row r="494" spans="3:10" ht="12.75" customHeight="1">
      <c r="C494" s="191"/>
      <c r="E494" s="210"/>
      <c r="F494" s="210"/>
      <c r="G494" s="210"/>
      <c r="J494" s="147"/>
    </row>
    <row r="495" spans="3:10" ht="12.75" customHeight="1">
      <c r="C495" s="191"/>
      <c r="E495" s="210"/>
      <c r="F495" s="210"/>
      <c r="G495" s="210"/>
      <c r="J495" s="147"/>
    </row>
    <row r="496" spans="3:10" ht="12.75" customHeight="1">
      <c r="C496" s="191"/>
      <c r="E496" s="210"/>
      <c r="F496" s="210"/>
      <c r="G496" s="210"/>
      <c r="J496" s="147"/>
    </row>
    <row r="497" spans="3:10" ht="12.75" customHeight="1">
      <c r="C497" s="191"/>
      <c r="E497" s="210"/>
      <c r="F497" s="210"/>
      <c r="G497" s="210"/>
      <c r="J497" s="147"/>
    </row>
    <row r="498" spans="3:10" ht="12.75" customHeight="1">
      <c r="C498" s="191"/>
      <c r="E498" s="210"/>
      <c r="F498" s="210"/>
      <c r="G498" s="210"/>
      <c r="J498" s="147"/>
    </row>
    <row r="499" spans="3:10" ht="12.75" customHeight="1">
      <c r="C499" s="191"/>
      <c r="E499" s="210"/>
      <c r="F499" s="210"/>
      <c r="G499" s="210"/>
      <c r="J499" s="147"/>
    </row>
    <row r="500" spans="3:10" ht="12.75" customHeight="1">
      <c r="C500" s="191"/>
      <c r="E500" s="210"/>
      <c r="F500" s="210"/>
      <c r="G500" s="210"/>
      <c r="J500" s="147"/>
    </row>
    <row r="501" spans="3:10" ht="12.75" customHeight="1">
      <c r="C501" s="191"/>
      <c r="E501" s="210"/>
      <c r="F501" s="210"/>
      <c r="G501" s="210"/>
      <c r="J501" s="147"/>
    </row>
    <row r="502" spans="3:10" ht="12.75" customHeight="1">
      <c r="C502" s="191"/>
      <c r="E502" s="210"/>
      <c r="F502" s="210"/>
      <c r="G502" s="210"/>
      <c r="J502" s="147"/>
    </row>
    <row r="503" spans="3:10" ht="12.75" customHeight="1">
      <c r="C503" s="191"/>
      <c r="E503" s="210"/>
      <c r="F503" s="210"/>
      <c r="G503" s="210"/>
      <c r="J503" s="147"/>
    </row>
    <row r="504" spans="3:10" ht="12.75" customHeight="1">
      <c r="C504" s="191"/>
      <c r="E504" s="210"/>
      <c r="F504" s="210"/>
      <c r="G504" s="210"/>
      <c r="J504" s="147"/>
    </row>
    <row r="505" spans="3:10" ht="12.75" customHeight="1">
      <c r="C505" s="191"/>
      <c r="E505" s="210"/>
      <c r="F505" s="210"/>
      <c r="G505" s="210"/>
      <c r="J505" s="147"/>
    </row>
    <row r="506" spans="3:10" ht="12.75" customHeight="1">
      <c r="C506" s="191"/>
      <c r="E506" s="210"/>
      <c r="F506" s="210"/>
      <c r="G506" s="210"/>
      <c r="J506" s="147"/>
    </row>
    <row r="507" spans="3:10" ht="12.75" customHeight="1">
      <c r="C507" s="191"/>
      <c r="E507" s="210"/>
      <c r="F507" s="210"/>
      <c r="G507" s="210"/>
      <c r="J507" s="147"/>
    </row>
    <row r="508" spans="3:10" ht="12.75" customHeight="1">
      <c r="C508" s="191"/>
      <c r="E508" s="210"/>
      <c r="F508" s="210"/>
      <c r="G508" s="210"/>
      <c r="J508" s="147"/>
    </row>
    <row r="509" spans="3:10" ht="12.75" customHeight="1">
      <c r="C509" s="191"/>
      <c r="E509" s="210"/>
      <c r="F509" s="210"/>
      <c r="G509" s="210"/>
      <c r="J509" s="147"/>
    </row>
    <row r="510" spans="3:10" ht="12.75" customHeight="1">
      <c r="C510" s="191"/>
      <c r="E510" s="210"/>
      <c r="F510" s="210"/>
      <c r="G510" s="210"/>
      <c r="J510" s="147"/>
    </row>
    <row r="511" spans="3:10" ht="12.75" customHeight="1">
      <c r="C511" s="191"/>
      <c r="E511" s="210"/>
      <c r="F511" s="210"/>
      <c r="G511" s="210"/>
      <c r="J511" s="147"/>
    </row>
    <row r="512" spans="3:10" ht="12.75" customHeight="1">
      <c r="C512" s="191"/>
      <c r="E512" s="210"/>
      <c r="F512" s="210"/>
      <c r="G512" s="210"/>
      <c r="J512" s="147"/>
    </row>
    <row r="513" spans="3:10" ht="12.75" customHeight="1">
      <c r="C513" s="191"/>
      <c r="E513" s="210"/>
      <c r="F513" s="210"/>
      <c r="G513" s="210"/>
      <c r="J513" s="147"/>
    </row>
    <row r="514" spans="3:10" ht="12.75" customHeight="1">
      <c r="C514" s="191"/>
      <c r="E514" s="210"/>
      <c r="F514" s="210"/>
      <c r="G514" s="210"/>
      <c r="J514" s="147"/>
    </row>
    <row r="515" spans="3:10" ht="12.75" customHeight="1">
      <c r="C515" s="191"/>
      <c r="E515" s="210"/>
      <c r="F515" s="210"/>
      <c r="G515" s="210"/>
      <c r="J515" s="147"/>
    </row>
    <row r="516" spans="3:10" ht="12.75" customHeight="1">
      <c r="C516" s="191"/>
      <c r="E516" s="210"/>
      <c r="F516" s="210"/>
      <c r="G516" s="210"/>
      <c r="J516" s="147"/>
    </row>
    <row r="517" spans="3:10" ht="12.75" customHeight="1">
      <c r="C517" s="191"/>
      <c r="E517" s="210"/>
      <c r="F517" s="210"/>
      <c r="G517" s="210"/>
      <c r="J517" s="147"/>
    </row>
    <row r="518" spans="3:10" ht="12.75" customHeight="1">
      <c r="C518" s="191"/>
      <c r="E518" s="210"/>
      <c r="F518" s="210"/>
      <c r="G518" s="210"/>
      <c r="J518" s="147"/>
    </row>
    <row r="519" spans="3:10" ht="12.75" customHeight="1">
      <c r="C519" s="191"/>
      <c r="E519" s="210"/>
      <c r="F519" s="210"/>
      <c r="G519" s="210"/>
      <c r="J519" s="147"/>
    </row>
    <row r="520" spans="3:10" ht="12.75" customHeight="1">
      <c r="C520" s="191"/>
      <c r="E520" s="210"/>
      <c r="F520" s="210"/>
      <c r="G520" s="210"/>
      <c r="J520" s="147"/>
    </row>
    <row r="521" spans="3:10" ht="12.75" customHeight="1">
      <c r="C521" s="191"/>
      <c r="E521" s="210"/>
      <c r="F521" s="210"/>
      <c r="G521" s="210"/>
      <c r="J521" s="147"/>
    </row>
    <row r="522" spans="3:10" ht="12.75" customHeight="1">
      <c r="C522" s="191"/>
      <c r="E522" s="210"/>
      <c r="F522" s="210"/>
      <c r="G522" s="210"/>
      <c r="J522" s="147"/>
    </row>
    <row r="523" spans="3:10" ht="12.75" customHeight="1">
      <c r="C523" s="191"/>
      <c r="E523" s="210"/>
      <c r="F523" s="210"/>
      <c r="G523" s="210"/>
      <c r="J523" s="147"/>
    </row>
    <row r="524" spans="3:10" ht="12.75" customHeight="1">
      <c r="C524" s="191"/>
      <c r="E524" s="210"/>
      <c r="F524" s="210"/>
      <c r="G524" s="210"/>
      <c r="J524" s="147"/>
    </row>
    <row r="525" spans="3:10" ht="12.75" customHeight="1">
      <c r="C525" s="191"/>
      <c r="E525" s="210"/>
      <c r="F525" s="210"/>
      <c r="G525" s="210"/>
      <c r="J525" s="147"/>
    </row>
    <row r="526" spans="3:10" ht="12.75" customHeight="1">
      <c r="C526" s="191"/>
      <c r="E526" s="210"/>
      <c r="F526" s="210"/>
      <c r="G526" s="210"/>
      <c r="J526" s="147"/>
    </row>
    <row r="527" spans="3:10" ht="12.75" customHeight="1">
      <c r="C527" s="191"/>
      <c r="E527" s="210"/>
      <c r="F527" s="210"/>
      <c r="G527" s="210"/>
      <c r="J527" s="147"/>
    </row>
    <row r="528" spans="3:10" ht="12.75" customHeight="1">
      <c r="C528" s="191"/>
      <c r="E528" s="210"/>
      <c r="F528" s="210"/>
      <c r="G528" s="210"/>
      <c r="J528" s="147"/>
    </row>
    <row r="529" spans="3:10" ht="12.75" customHeight="1">
      <c r="C529" s="191"/>
      <c r="E529" s="210"/>
      <c r="F529" s="210"/>
      <c r="G529" s="210"/>
      <c r="J529" s="147"/>
    </row>
    <row r="530" spans="3:10" ht="12.75" customHeight="1">
      <c r="C530" s="191"/>
      <c r="E530" s="210"/>
      <c r="F530" s="210"/>
      <c r="G530" s="210"/>
      <c r="J530" s="147"/>
    </row>
    <row r="531" spans="3:10" ht="12.75" customHeight="1">
      <c r="C531" s="191"/>
      <c r="E531" s="210"/>
      <c r="F531" s="210"/>
      <c r="G531" s="210"/>
      <c r="J531" s="147"/>
    </row>
    <row r="532" spans="3:10" ht="12.75" customHeight="1">
      <c r="C532" s="191"/>
      <c r="E532" s="210"/>
      <c r="F532" s="210"/>
      <c r="G532" s="210"/>
      <c r="J532" s="147"/>
    </row>
    <row r="533" spans="3:10" ht="12.75" customHeight="1">
      <c r="C533" s="191"/>
      <c r="E533" s="210"/>
      <c r="F533" s="210"/>
      <c r="G533" s="210"/>
      <c r="J533" s="147"/>
    </row>
    <row r="534" spans="3:10" ht="12.75" customHeight="1">
      <c r="C534" s="191"/>
      <c r="E534" s="210"/>
      <c r="F534" s="210"/>
      <c r="G534" s="210"/>
      <c r="J534" s="147"/>
    </row>
    <row r="535" spans="3:10" ht="12.75" customHeight="1">
      <c r="C535" s="191"/>
      <c r="E535" s="210"/>
      <c r="F535" s="210"/>
      <c r="G535" s="210"/>
      <c r="J535" s="147"/>
    </row>
    <row r="536" spans="3:10" ht="12.75" customHeight="1">
      <c r="C536" s="191"/>
      <c r="E536" s="210"/>
      <c r="F536" s="210"/>
      <c r="G536" s="210"/>
      <c r="J536" s="147"/>
    </row>
    <row r="537" spans="3:10" ht="12.75" customHeight="1">
      <c r="C537" s="191"/>
      <c r="E537" s="210"/>
      <c r="F537" s="210"/>
      <c r="G537" s="210"/>
      <c r="J537" s="147"/>
    </row>
    <row r="538" spans="3:10" ht="12.75" customHeight="1">
      <c r="C538" s="191"/>
      <c r="E538" s="210"/>
      <c r="F538" s="210"/>
      <c r="G538" s="210"/>
      <c r="J538" s="147"/>
    </row>
    <row r="539" spans="3:10" ht="12.75" customHeight="1">
      <c r="C539" s="191"/>
      <c r="E539" s="210"/>
      <c r="F539" s="210"/>
      <c r="G539" s="210"/>
      <c r="J539" s="147"/>
    </row>
    <row r="540" spans="3:10" ht="12.75" customHeight="1">
      <c r="C540" s="191"/>
      <c r="E540" s="210"/>
      <c r="F540" s="210"/>
      <c r="G540" s="210"/>
      <c r="J540" s="147"/>
    </row>
    <row r="541" spans="3:10" ht="12.75" customHeight="1">
      <c r="C541" s="191"/>
      <c r="E541" s="210"/>
      <c r="F541" s="210"/>
      <c r="G541" s="210"/>
      <c r="J541" s="147"/>
    </row>
    <row r="542" spans="3:10" ht="12.75" customHeight="1">
      <c r="C542" s="191"/>
      <c r="E542" s="210"/>
      <c r="F542" s="210"/>
      <c r="G542" s="210"/>
      <c r="J542" s="147"/>
    </row>
    <row r="543" spans="3:10" ht="12.75" customHeight="1">
      <c r="C543" s="191"/>
      <c r="E543" s="210"/>
      <c r="F543" s="210"/>
      <c r="G543" s="210"/>
      <c r="J543" s="147"/>
    </row>
    <row r="544" spans="3:10" ht="12.75" customHeight="1">
      <c r="C544" s="191"/>
      <c r="E544" s="210"/>
      <c r="F544" s="210"/>
      <c r="G544" s="210"/>
      <c r="J544" s="147"/>
    </row>
    <row r="545" spans="3:10" ht="12.75" customHeight="1">
      <c r="C545" s="191"/>
      <c r="E545" s="210"/>
      <c r="F545" s="210"/>
      <c r="G545" s="210"/>
      <c r="J545" s="147"/>
    </row>
    <row r="546" spans="3:10" ht="12.75" customHeight="1">
      <c r="C546" s="191"/>
      <c r="E546" s="210"/>
      <c r="F546" s="210"/>
      <c r="G546" s="210"/>
      <c r="J546" s="147"/>
    </row>
    <row r="547" spans="3:10" ht="12.75" customHeight="1">
      <c r="C547" s="191"/>
      <c r="E547" s="210"/>
      <c r="F547" s="210"/>
      <c r="G547" s="210"/>
      <c r="J547" s="147"/>
    </row>
    <row r="548" spans="3:10" ht="12.75" customHeight="1">
      <c r="C548" s="191"/>
      <c r="E548" s="210"/>
      <c r="F548" s="210"/>
      <c r="G548" s="210"/>
      <c r="J548" s="147"/>
    </row>
    <row r="549" spans="3:10" ht="12.75" customHeight="1">
      <c r="C549" s="191"/>
      <c r="E549" s="210"/>
      <c r="F549" s="210"/>
      <c r="G549" s="210"/>
      <c r="J549" s="147"/>
    </row>
    <row r="550" spans="3:10" ht="12.75" customHeight="1">
      <c r="C550" s="191"/>
      <c r="E550" s="210"/>
      <c r="F550" s="210"/>
      <c r="G550" s="210"/>
      <c r="J550" s="147"/>
    </row>
    <row r="551" spans="3:10" ht="12.75" customHeight="1">
      <c r="C551" s="191"/>
      <c r="E551" s="210"/>
      <c r="F551" s="210"/>
      <c r="G551" s="210"/>
      <c r="J551" s="147"/>
    </row>
    <row r="552" spans="3:10" ht="12.75" customHeight="1">
      <c r="C552" s="191"/>
      <c r="E552" s="210"/>
      <c r="F552" s="210"/>
      <c r="G552" s="210"/>
      <c r="J552" s="147"/>
    </row>
    <row r="553" spans="3:10" ht="12.75" customHeight="1">
      <c r="C553" s="191"/>
      <c r="E553" s="210"/>
      <c r="F553" s="210"/>
      <c r="G553" s="210"/>
      <c r="J553" s="147"/>
    </row>
    <row r="554" spans="3:10" ht="12.75" customHeight="1">
      <c r="C554" s="191"/>
      <c r="E554" s="210"/>
      <c r="F554" s="210"/>
      <c r="G554" s="210"/>
      <c r="J554" s="147"/>
    </row>
    <row r="555" spans="3:10" ht="12.75" customHeight="1">
      <c r="C555" s="191"/>
      <c r="E555" s="210"/>
      <c r="F555" s="210"/>
      <c r="G555" s="210"/>
      <c r="J555" s="147"/>
    </row>
    <row r="556" spans="3:10" ht="12.75" customHeight="1">
      <c r="C556" s="191"/>
      <c r="E556" s="210"/>
      <c r="F556" s="210"/>
      <c r="G556" s="210"/>
      <c r="J556" s="147"/>
    </row>
    <row r="557" spans="3:10" ht="12.75" customHeight="1">
      <c r="C557" s="191"/>
      <c r="E557" s="210"/>
      <c r="F557" s="210"/>
      <c r="G557" s="210"/>
      <c r="J557" s="147"/>
    </row>
    <row r="558" spans="3:10" ht="12.75" customHeight="1">
      <c r="C558" s="191"/>
      <c r="E558" s="210"/>
      <c r="F558" s="210"/>
      <c r="G558" s="210"/>
      <c r="J558" s="147"/>
    </row>
    <row r="559" spans="3:10" ht="12.75" customHeight="1">
      <c r="C559" s="191"/>
      <c r="E559" s="210"/>
      <c r="F559" s="210"/>
      <c r="G559" s="210"/>
      <c r="J559" s="147"/>
    </row>
    <row r="560" spans="3:10" ht="12.75" customHeight="1">
      <c r="C560" s="191"/>
      <c r="E560" s="210"/>
      <c r="F560" s="210"/>
      <c r="G560" s="210"/>
      <c r="J560" s="147"/>
    </row>
    <row r="561" spans="3:10" ht="12.75" customHeight="1">
      <c r="C561" s="191"/>
      <c r="E561" s="210"/>
      <c r="F561" s="210"/>
      <c r="G561" s="210"/>
      <c r="J561" s="147"/>
    </row>
    <row r="562" spans="3:10" ht="12.75" customHeight="1">
      <c r="C562" s="191"/>
      <c r="E562" s="210"/>
      <c r="F562" s="210"/>
      <c r="G562" s="210"/>
      <c r="J562" s="147"/>
    </row>
    <row r="563" spans="3:10" ht="12.75" customHeight="1">
      <c r="C563" s="191"/>
      <c r="E563" s="210"/>
      <c r="F563" s="210"/>
      <c r="G563" s="210"/>
      <c r="J563" s="147"/>
    </row>
    <row r="564" spans="3:10" ht="12.75" customHeight="1">
      <c r="C564" s="191"/>
      <c r="E564" s="210"/>
      <c r="F564" s="210"/>
      <c r="G564" s="210"/>
      <c r="J564" s="147"/>
    </row>
    <row r="565" spans="3:10" ht="12.75" customHeight="1">
      <c r="C565" s="191"/>
      <c r="E565" s="210"/>
      <c r="F565" s="210"/>
      <c r="G565" s="210"/>
      <c r="J565" s="147"/>
    </row>
    <row r="566" spans="3:10" ht="12.75" customHeight="1">
      <c r="C566" s="191"/>
      <c r="E566" s="210"/>
      <c r="F566" s="210"/>
      <c r="G566" s="210"/>
      <c r="J566" s="147"/>
    </row>
    <row r="567" spans="3:10" ht="12.75" customHeight="1">
      <c r="C567" s="191"/>
      <c r="E567" s="210"/>
      <c r="F567" s="210"/>
      <c r="G567" s="210"/>
      <c r="J567" s="147"/>
    </row>
    <row r="568" spans="3:10" ht="12.75" customHeight="1">
      <c r="C568" s="191"/>
      <c r="E568" s="210"/>
      <c r="F568" s="210"/>
      <c r="G568" s="210"/>
      <c r="J568" s="147"/>
    </row>
    <row r="569" spans="3:10" ht="12.75" customHeight="1">
      <c r="C569" s="191"/>
      <c r="E569" s="210"/>
      <c r="F569" s="210"/>
      <c r="G569" s="210"/>
      <c r="J569" s="147"/>
    </row>
    <row r="570" spans="3:10" ht="12.75" customHeight="1">
      <c r="C570" s="191"/>
      <c r="E570" s="210"/>
      <c r="F570" s="210"/>
      <c r="G570" s="210"/>
      <c r="J570" s="147"/>
    </row>
    <row r="571" spans="3:10" ht="12.75" customHeight="1">
      <c r="C571" s="191"/>
      <c r="E571" s="210"/>
      <c r="F571" s="210"/>
      <c r="G571" s="210"/>
      <c r="J571" s="147"/>
    </row>
    <row r="572" spans="3:10" ht="12.75" customHeight="1">
      <c r="C572" s="191"/>
      <c r="E572" s="210"/>
      <c r="F572" s="210"/>
      <c r="G572" s="210"/>
      <c r="J572" s="147"/>
    </row>
    <row r="573" spans="3:10" ht="12.75" customHeight="1">
      <c r="C573" s="191"/>
      <c r="E573" s="210"/>
      <c r="F573" s="210"/>
      <c r="G573" s="210"/>
      <c r="J573" s="147"/>
    </row>
    <row r="574" spans="3:10" ht="12.75" customHeight="1">
      <c r="C574" s="191"/>
      <c r="E574" s="210"/>
      <c r="F574" s="210"/>
      <c r="G574" s="210"/>
      <c r="J574" s="147"/>
    </row>
    <row r="575" spans="3:10" ht="12.75" customHeight="1">
      <c r="C575" s="191"/>
      <c r="E575" s="210"/>
      <c r="F575" s="210"/>
      <c r="G575" s="210"/>
      <c r="J575" s="147"/>
    </row>
    <row r="576" spans="3:10" ht="12.75" customHeight="1">
      <c r="C576" s="191"/>
      <c r="E576" s="210"/>
      <c r="F576" s="210"/>
      <c r="G576" s="210"/>
      <c r="J576" s="147"/>
    </row>
    <row r="577" spans="3:10" ht="12.75" customHeight="1">
      <c r="C577" s="191"/>
      <c r="E577" s="210"/>
      <c r="F577" s="210"/>
      <c r="G577" s="210"/>
      <c r="J577" s="147"/>
    </row>
    <row r="578" spans="3:10" ht="12.75" customHeight="1">
      <c r="C578" s="191"/>
      <c r="E578" s="210"/>
      <c r="F578" s="210"/>
      <c r="G578" s="210"/>
      <c r="J578" s="147"/>
    </row>
    <row r="579" spans="3:10" ht="12.75" customHeight="1">
      <c r="C579" s="191"/>
      <c r="E579" s="210"/>
      <c r="F579" s="210"/>
      <c r="G579" s="210"/>
      <c r="J579" s="147"/>
    </row>
    <row r="580" spans="3:10" ht="12.75" customHeight="1">
      <c r="C580" s="191"/>
      <c r="E580" s="210"/>
      <c r="F580" s="210"/>
      <c r="G580" s="210"/>
      <c r="J580" s="147"/>
    </row>
    <row r="581" spans="3:10" ht="12.75" customHeight="1">
      <c r="C581" s="191"/>
      <c r="E581" s="210"/>
      <c r="F581" s="210"/>
      <c r="G581" s="210"/>
      <c r="J581" s="147"/>
    </row>
    <row r="582" spans="3:10" ht="12.75" customHeight="1">
      <c r="C582" s="191"/>
      <c r="E582" s="210"/>
      <c r="F582" s="210"/>
      <c r="G582" s="210"/>
      <c r="J582" s="147"/>
    </row>
    <row r="583" spans="3:10" ht="12.75" customHeight="1">
      <c r="C583" s="191"/>
      <c r="E583" s="210"/>
      <c r="F583" s="210"/>
      <c r="G583" s="210"/>
      <c r="J583" s="147"/>
    </row>
    <row r="584" spans="3:10" ht="12.75" customHeight="1">
      <c r="C584" s="191"/>
      <c r="E584" s="210"/>
      <c r="F584" s="210"/>
      <c r="G584" s="210"/>
      <c r="J584" s="147"/>
    </row>
    <row r="585" spans="3:10" ht="12.75" customHeight="1">
      <c r="C585" s="191"/>
      <c r="E585" s="210"/>
      <c r="F585" s="210"/>
      <c r="G585" s="210"/>
      <c r="J585" s="147"/>
    </row>
    <row r="586" spans="3:10" ht="12.75" customHeight="1">
      <c r="C586" s="191"/>
      <c r="E586" s="210"/>
      <c r="F586" s="210"/>
      <c r="G586" s="210"/>
      <c r="J586" s="147"/>
    </row>
    <row r="587" spans="3:10" ht="12.75" customHeight="1">
      <c r="C587" s="191"/>
      <c r="E587" s="210"/>
      <c r="F587" s="210"/>
      <c r="G587" s="210"/>
      <c r="J587" s="147"/>
    </row>
    <row r="588" spans="3:10" ht="12.75" customHeight="1">
      <c r="C588" s="191"/>
      <c r="E588" s="210"/>
      <c r="F588" s="210"/>
      <c r="G588" s="210"/>
      <c r="J588" s="147"/>
    </row>
    <row r="589" spans="3:10" ht="12.75" customHeight="1">
      <c r="C589" s="191"/>
      <c r="E589" s="210"/>
      <c r="F589" s="210"/>
      <c r="G589" s="210"/>
      <c r="J589" s="147"/>
    </row>
    <row r="590" spans="3:10" ht="12.75" customHeight="1">
      <c r="C590" s="191"/>
      <c r="E590" s="210"/>
      <c r="F590" s="210"/>
      <c r="G590" s="210"/>
      <c r="J590" s="147"/>
    </row>
    <row r="591" spans="3:10" ht="12.75" customHeight="1">
      <c r="C591" s="191"/>
      <c r="E591" s="210"/>
      <c r="F591" s="210"/>
      <c r="G591" s="210"/>
      <c r="J591" s="147"/>
    </row>
    <row r="592" spans="3:10" ht="12.75" customHeight="1">
      <c r="C592" s="191"/>
      <c r="E592" s="210"/>
      <c r="F592" s="210"/>
      <c r="G592" s="210"/>
      <c r="J592" s="147"/>
    </row>
    <row r="593" spans="3:10" ht="12.75" customHeight="1">
      <c r="C593" s="191"/>
      <c r="E593" s="210"/>
      <c r="F593" s="210"/>
      <c r="G593" s="210"/>
      <c r="J593" s="147"/>
    </row>
    <row r="594" spans="3:10" ht="12.75" customHeight="1">
      <c r="C594" s="191"/>
      <c r="E594" s="210"/>
      <c r="F594" s="210"/>
      <c r="G594" s="210"/>
      <c r="J594" s="147"/>
    </row>
    <row r="595" spans="3:10" ht="12.75" customHeight="1">
      <c r="C595" s="191"/>
      <c r="E595" s="210"/>
      <c r="F595" s="210"/>
      <c r="G595" s="210"/>
      <c r="J595" s="147"/>
    </row>
    <row r="596" spans="3:10" ht="12.75" customHeight="1">
      <c r="C596" s="191"/>
      <c r="E596" s="210"/>
      <c r="F596" s="210"/>
      <c r="G596" s="210"/>
      <c r="J596" s="147"/>
    </row>
    <row r="597" spans="3:10" ht="12.75" customHeight="1">
      <c r="C597" s="191"/>
      <c r="E597" s="210"/>
      <c r="F597" s="210"/>
      <c r="G597" s="210"/>
      <c r="J597" s="147"/>
    </row>
    <row r="598" spans="3:10" ht="12.75" customHeight="1">
      <c r="C598" s="191"/>
      <c r="E598" s="210"/>
      <c r="F598" s="210"/>
      <c r="G598" s="210"/>
      <c r="J598" s="147"/>
    </row>
    <row r="599" spans="3:10" ht="12.75" customHeight="1">
      <c r="C599" s="191"/>
      <c r="E599" s="210"/>
      <c r="F599" s="210"/>
      <c r="G599" s="210"/>
      <c r="J599" s="147"/>
    </row>
    <row r="600" spans="3:10" ht="12.75" customHeight="1">
      <c r="C600" s="191"/>
      <c r="E600" s="210"/>
      <c r="F600" s="210"/>
      <c r="G600" s="210"/>
      <c r="J600" s="147"/>
    </row>
    <row r="601" spans="3:10" ht="12.75" customHeight="1">
      <c r="C601" s="191"/>
      <c r="E601" s="210"/>
      <c r="F601" s="210"/>
      <c r="G601" s="210"/>
      <c r="J601" s="147"/>
    </row>
    <row r="602" spans="3:10" ht="12.75" customHeight="1">
      <c r="C602" s="191"/>
      <c r="E602" s="210"/>
      <c r="F602" s="210"/>
      <c r="G602" s="210"/>
      <c r="J602" s="147"/>
    </row>
    <row r="603" spans="3:10" ht="12.75" customHeight="1">
      <c r="C603" s="191"/>
      <c r="E603" s="210"/>
      <c r="F603" s="210"/>
      <c r="G603" s="210"/>
      <c r="J603" s="147"/>
    </row>
    <row r="604" spans="3:10" ht="12.75" customHeight="1">
      <c r="C604" s="191"/>
      <c r="E604" s="210"/>
      <c r="F604" s="210"/>
      <c r="G604" s="210"/>
      <c r="J604" s="147"/>
    </row>
    <row r="605" spans="3:10" ht="12.75" customHeight="1">
      <c r="C605" s="191"/>
      <c r="E605" s="210"/>
      <c r="F605" s="210"/>
      <c r="G605" s="210"/>
      <c r="J605" s="147"/>
    </row>
    <row r="606" spans="3:10" ht="12.75" customHeight="1">
      <c r="C606" s="191"/>
      <c r="E606" s="210"/>
      <c r="F606" s="210"/>
      <c r="G606" s="210"/>
      <c r="J606" s="147"/>
    </row>
    <row r="607" spans="3:10" ht="12.75" customHeight="1">
      <c r="C607" s="191"/>
      <c r="E607" s="210"/>
      <c r="F607" s="210"/>
      <c r="G607" s="210"/>
      <c r="J607" s="147"/>
    </row>
    <row r="608" spans="3:10" ht="12.75" customHeight="1">
      <c r="C608" s="191"/>
      <c r="E608" s="210"/>
      <c r="F608" s="210"/>
      <c r="G608" s="210"/>
      <c r="J608" s="147"/>
    </row>
    <row r="609" spans="3:10" ht="12.75" customHeight="1">
      <c r="C609" s="191"/>
      <c r="E609" s="210"/>
      <c r="F609" s="210"/>
      <c r="G609" s="210"/>
      <c r="J609" s="147"/>
    </row>
    <row r="610" spans="3:10" ht="12.75" customHeight="1">
      <c r="C610" s="191"/>
      <c r="E610" s="210"/>
      <c r="F610" s="210"/>
      <c r="G610" s="210"/>
      <c r="J610" s="147"/>
    </row>
    <row r="611" spans="3:10" ht="12.75" customHeight="1">
      <c r="C611" s="191"/>
      <c r="E611" s="210"/>
      <c r="F611" s="210"/>
      <c r="G611" s="210"/>
      <c r="J611" s="147"/>
    </row>
    <row r="612" spans="3:10" ht="12.75" customHeight="1">
      <c r="C612" s="191"/>
      <c r="E612" s="210"/>
      <c r="F612" s="210"/>
      <c r="G612" s="210"/>
      <c r="J612" s="147"/>
    </row>
    <row r="613" spans="3:10" ht="12.75" customHeight="1">
      <c r="C613" s="191"/>
      <c r="E613" s="210"/>
      <c r="F613" s="210"/>
      <c r="G613" s="210"/>
      <c r="J613" s="147"/>
    </row>
    <row r="614" spans="3:10" ht="12.75" customHeight="1">
      <c r="C614" s="191"/>
      <c r="E614" s="210"/>
      <c r="F614" s="210"/>
      <c r="G614" s="210"/>
      <c r="J614" s="147"/>
    </row>
    <row r="615" spans="3:10" ht="12.75" customHeight="1">
      <c r="C615" s="191"/>
      <c r="E615" s="210"/>
      <c r="F615" s="210"/>
      <c r="G615" s="210"/>
      <c r="J615" s="147"/>
    </row>
    <row r="616" spans="3:10" ht="12.75" customHeight="1">
      <c r="C616" s="191"/>
      <c r="E616" s="210"/>
      <c r="F616" s="210"/>
      <c r="G616" s="210"/>
      <c r="J616" s="147"/>
    </row>
    <row r="617" spans="3:10" ht="12.75" customHeight="1">
      <c r="C617" s="191"/>
      <c r="E617" s="210"/>
      <c r="F617" s="210"/>
      <c r="G617" s="210"/>
      <c r="J617" s="147"/>
    </row>
    <row r="618" spans="3:10" ht="12.75" customHeight="1">
      <c r="C618" s="191"/>
      <c r="E618" s="210"/>
      <c r="F618" s="210"/>
      <c r="G618" s="210"/>
      <c r="J618" s="147"/>
    </row>
    <row r="619" spans="3:10" ht="12.75" customHeight="1">
      <c r="C619" s="191"/>
      <c r="E619" s="210"/>
      <c r="F619" s="210"/>
      <c r="G619" s="210"/>
      <c r="J619" s="147"/>
    </row>
    <row r="620" spans="3:10" ht="12.75" customHeight="1">
      <c r="C620" s="191"/>
      <c r="E620" s="210"/>
      <c r="F620" s="210"/>
      <c r="G620" s="210"/>
      <c r="J620" s="147"/>
    </row>
    <row r="621" spans="3:10" ht="12.75" customHeight="1">
      <c r="C621" s="191"/>
      <c r="E621" s="210"/>
      <c r="F621" s="210"/>
      <c r="G621" s="210"/>
      <c r="J621" s="147"/>
    </row>
    <row r="622" spans="3:10" ht="12.75" customHeight="1">
      <c r="C622" s="191"/>
      <c r="E622" s="210"/>
      <c r="F622" s="210"/>
      <c r="G622" s="210"/>
      <c r="J622" s="147"/>
    </row>
    <row r="623" spans="3:10" ht="12.75" customHeight="1">
      <c r="C623" s="191"/>
      <c r="E623" s="210"/>
      <c r="F623" s="210"/>
      <c r="G623" s="210"/>
      <c r="J623" s="147"/>
    </row>
    <row r="624" spans="3:10" ht="12.75" customHeight="1">
      <c r="C624" s="191"/>
      <c r="E624" s="210"/>
      <c r="F624" s="210"/>
      <c r="G624" s="210"/>
      <c r="J624" s="147"/>
    </row>
    <row r="625" spans="3:10" ht="12.75" customHeight="1">
      <c r="C625" s="191"/>
      <c r="E625" s="210"/>
      <c r="F625" s="210"/>
      <c r="G625" s="210"/>
      <c r="J625" s="147"/>
    </row>
    <row r="626" spans="3:10" ht="12.75" customHeight="1">
      <c r="C626" s="191"/>
      <c r="E626" s="210"/>
      <c r="F626" s="210"/>
      <c r="G626" s="210"/>
      <c r="J626" s="147"/>
    </row>
    <row r="627" spans="3:10" ht="12.75" customHeight="1">
      <c r="C627" s="191"/>
      <c r="E627" s="210"/>
      <c r="F627" s="210"/>
      <c r="G627" s="210"/>
      <c r="J627" s="147"/>
    </row>
    <row r="628" spans="3:10" ht="12.75" customHeight="1">
      <c r="C628" s="191"/>
      <c r="E628" s="210"/>
      <c r="F628" s="210"/>
      <c r="G628" s="210"/>
      <c r="J628" s="147"/>
    </row>
    <row r="629" spans="3:10" ht="12.75" customHeight="1">
      <c r="C629" s="191"/>
      <c r="E629" s="210"/>
      <c r="F629" s="210"/>
      <c r="G629" s="210"/>
      <c r="J629" s="147"/>
    </row>
    <row r="630" spans="3:10" ht="12.75" customHeight="1">
      <c r="C630" s="191"/>
      <c r="E630" s="210"/>
      <c r="F630" s="210"/>
      <c r="G630" s="210"/>
      <c r="J630" s="147"/>
    </row>
    <row r="631" spans="3:10" ht="12.75" customHeight="1">
      <c r="C631" s="191"/>
      <c r="E631" s="210"/>
      <c r="F631" s="210"/>
      <c r="G631" s="210"/>
      <c r="J631" s="147"/>
    </row>
    <row r="632" spans="3:10" ht="12.75" customHeight="1">
      <c r="C632" s="191"/>
      <c r="E632" s="210"/>
      <c r="F632" s="210"/>
      <c r="G632" s="210"/>
      <c r="J632" s="147"/>
    </row>
    <row r="633" spans="3:10" ht="12.75" customHeight="1">
      <c r="C633" s="191"/>
      <c r="E633" s="210"/>
      <c r="F633" s="210"/>
      <c r="G633" s="210"/>
      <c r="J633" s="147"/>
    </row>
    <row r="634" spans="3:10" ht="12.75" customHeight="1">
      <c r="C634" s="191"/>
      <c r="E634" s="210"/>
      <c r="F634" s="210"/>
      <c r="G634" s="210"/>
      <c r="J634" s="147"/>
    </row>
    <row r="635" spans="3:10" ht="12.75" customHeight="1">
      <c r="C635" s="191"/>
      <c r="E635" s="210"/>
      <c r="F635" s="210"/>
      <c r="G635" s="210"/>
      <c r="J635" s="147"/>
    </row>
    <row r="636" spans="3:10" ht="12.75" customHeight="1">
      <c r="C636" s="191"/>
      <c r="E636" s="210"/>
      <c r="F636" s="210"/>
      <c r="G636" s="210"/>
      <c r="J636" s="147"/>
    </row>
    <row r="637" spans="3:10" ht="12.75" customHeight="1">
      <c r="C637" s="191"/>
      <c r="E637" s="210"/>
      <c r="F637" s="210"/>
      <c r="G637" s="210"/>
      <c r="J637" s="147"/>
    </row>
    <row r="638" spans="3:10" ht="12.75" customHeight="1">
      <c r="C638" s="191"/>
      <c r="E638" s="210"/>
      <c r="F638" s="210"/>
      <c r="G638" s="210"/>
      <c r="J638" s="147"/>
    </row>
    <row r="639" spans="3:10" ht="12.75" customHeight="1">
      <c r="C639" s="191"/>
      <c r="E639" s="210"/>
      <c r="F639" s="210"/>
      <c r="G639" s="210"/>
      <c r="J639" s="147"/>
    </row>
    <row r="640" spans="3:10" ht="12.75" customHeight="1">
      <c r="C640" s="191"/>
      <c r="E640" s="210"/>
      <c r="F640" s="210"/>
      <c r="G640" s="210"/>
      <c r="J640" s="147"/>
    </row>
    <row r="641" spans="3:10" ht="12.75" customHeight="1">
      <c r="C641" s="191"/>
      <c r="E641" s="210"/>
      <c r="F641" s="210"/>
      <c r="G641" s="210"/>
      <c r="J641" s="147"/>
    </row>
    <row r="642" spans="3:10" ht="12.75" customHeight="1">
      <c r="C642" s="191"/>
      <c r="E642" s="210"/>
      <c r="F642" s="210"/>
      <c r="G642" s="210"/>
      <c r="J642" s="147"/>
    </row>
    <row r="643" spans="3:10" ht="12.75" customHeight="1">
      <c r="C643" s="191"/>
      <c r="E643" s="210"/>
      <c r="F643" s="210"/>
      <c r="G643" s="210"/>
      <c r="J643" s="147"/>
    </row>
    <row r="644" spans="3:10" ht="12.75" customHeight="1">
      <c r="C644" s="191"/>
      <c r="E644" s="210"/>
      <c r="F644" s="210"/>
      <c r="G644" s="210"/>
      <c r="J644" s="147"/>
    </row>
    <row r="645" spans="3:10" ht="12.75" customHeight="1">
      <c r="C645" s="191"/>
      <c r="E645" s="210"/>
      <c r="F645" s="210"/>
      <c r="G645" s="210"/>
      <c r="J645" s="147"/>
    </row>
    <row r="646" spans="3:10" ht="12.75" customHeight="1">
      <c r="C646" s="191"/>
      <c r="E646" s="210"/>
      <c r="F646" s="210"/>
      <c r="G646" s="210"/>
      <c r="J646" s="147"/>
    </row>
    <row r="647" spans="3:10" ht="12.75" customHeight="1">
      <c r="C647" s="191"/>
      <c r="E647" s="210"/>
      <c r="F647" s="210"/>
      <c r="G647" s="210"/>
      <c r="J647" s="147"/>
    </row>
    <row r="648" spans="3:10" ht="12.75" customHeight="1">
      <c r="C648" s="191"/>
      <c r="E648" s="210"/>
      <c r="F648" s="210"/>
      <c r="G648" s="210"/>
      <c r="J648" s="147"/>
    </row>
    <row r="649" spans="3:10" ht="12.75" customHeight="1">
      <c r="C649" s="191"/>
      <c r="E649" s="210"/>
      <c r="F649" s="210"/>
      <c r="G649" s="210"/>
      <c r="J649" s="147"/>
    </row>
    <row r="650" spans="3:10" ht="12.75" customHeight="1">
      <c r="C650" s="191"/>
      <c r="E650" s="210"/>
      <c r="F650" s="210"/>
      <c r="G650" s="210"/>
      <c r="J650" s="147"/>
    </row>
    <row r="651" spans="3:10" ht="12.75" customHeight="1">
      <c r="C651" s="191"/>
      <c r="E651" s="210"/>
      <c r="F651" s="210"/>
      <c r="G651" s="210"/>
      <c r="J651" s="147"/>
    </row>
    <row r="652" spans="3:10" ht="12.75" customHeight="1">
      <c r="C652" s="191"/>
      <c r="E652" s="210"/>
      <c r="F652" s="210"/>
      <c r="G652" s="210"/>
      <c r="J652" s="147"/>
    </row>
    <row r="653" spans="3:10" ht="12.75" customHeight="1">
      <c r="C653" s="191"/>
      <c r="E653" s="210"/>
      <c r="F653" s="210"/>
      <c r="G653" s="210"/>
      <c r="J653" s="147"/>
    </row>
    <row r="654" spans="3:10" ht="12.75" customHeight="1">
      <c r="C654" s="191"/>
      <c r="E654" s="210"/>
      <c r="F654" s="210"/>
      <c r="G654" s="210"/>
      <c r="J654" s="147"/>
    </row>
    <row r="655" spans="3:10" ht="12.75" customHeight="1">
      <c r="C655" s="191"/>
      <c r="E655" s="210"/>
      <c r="F655" s="210"/>
      <c r="G655" s="210"/>
      <c r="J655" s="147"/>
    </row>
    <row r="656" spans="3:10" ht="12.75" customHeight="1">
      <c r="C656" s="191"/>
      <c r="E656" s="210"/>
      <c r="F656" s="210"/>
      <c r="G656" s="210"/>
      <c r="J656" s="147"/>
    </row>
    <row r="657" spans="3:10" ht="12.75" customHeight="1">
      <c r="C657" s="191"/>
      <c r="E657" s="210"/>
      <c r="F657" s="210"/>
      <c r="G657" s="210"/>
      <c r="J657" s="147"/>
    </row>
    <row r="658" spans="3:10" ht="12.75" customHeight="1">
      <c r="C658" s="191"/>
      <c r="E658" s="210"/>
      <c r="F658" s="210"/>
      <c r="G658" s="210"/>
      <c r="J658" s="147"/>
    </row>
    <row r="659" spans="3:10" ht="12.75" customHeight="1">
      <c r="C659" s="191"/>
      <c r="E659" s="210"/>
      <c r="F659" s="210"/>
      <c r="G659" s="210"/>
      <c r="J659" s="147"/>
    </row>
    <row r="660" spans="3:10" ht="12.75" customHeight="1">
      <c r="C660" s="191"/>
      <c r="E660" s="210"/>
      <c r="F660" s="210"/>
      <c r="G660" s="210"/>
      <c r="J660" s="147"/>
    </row>
    <row r="661" spans="3:10" ht="12.75" customHeight="1">
      <c r="C661" s="191"/>
      <c r="E661" s="210"/>
      <c r="F661" s="210"/>
      <c r="G661" s="210"/>
      <c r="J661" s="147"/>
    </row>
    <row r="662" spans="3:10" ht="12.75" customHeight="1">
      <c r="C662" s="191"/>
      <c r="E662" s="210"/>
      <c r="F662" s="210"/>
      <c r="G662" s="210"/>
      <c r="J662" s="147"/>
    </row>
    <row r="663" spans="3:10" ht="12.75" customHeight="1">
      <c r="C663" s="191"/>
      <c r="E663" s="210"/>
      <c r="F663" s="210"/>
      <c r="G663" s="210"/>
      <c r="J663" s="147"/>
    </row>
    <row r="664" spans="3:10" ht="12.75" customHeight="1">
      <c r="C664" s="191"/>
      <c r="E664" s="210"/>
      <c r="F664" s="210"/>
      <c r="G664" s="210"/>
      <c r="J664" s="147"/>
    </row>
    <row r="665" spans="3:10" ht="12.75" customHeight="1">
      <c r="C665" s="191"/>
      <c r="E665" s="210"/>
      <c r="F665" s="210"/>
      <c r="G665" s="210"/>
      <c r="J665" s="147"/>
    </row>
    <row r="666" spans="3:10" ht="12.75" customHeight="1">
      <c r="C666" s="191"/>
      <c r="E666" s="210"/>
      <c r="F666" s="210"/>
      <c r="G666" s="210"/>
      <c r="J666" s="147"/>
    </row>
    <row r="667" spans="3:10" ht="12.75" customHeight="1">
      <c r="C667" s="191"/>
      <c r="E667" s="210"/>
      <c r="F667" s="210"/>
      <c r="G667" s="210"/>
      <c r="J667" s="147"/>
    </row>
    <row r="668" spans="3:10" ht="12.75" customHeight="1">
      <c r="C668" s="191"/>
      <c r="E668" s="210"/>
      <c r="F668" s="210"/>
      <c r="G668" s="210"/>
      <c r="J668" s="147"/>
    </row>
    <row r="669" spans="3:10" ht="12.75" customHeight="1">
      <c r="C669" s="191"/>
      <c r="E669" s="210"/>
      <c r="F669" s="210"/>
      <c r="G669" s="210"/>
      <c r="J669" s="147"/>
    </row>
    <row r="670" spans="3:10" ht="12.75" customHeight="1">
      <c r="C670" s="191"/>
      <c r="E670" s="210"/>
      <c r="F670" s="210"/>
      <c r="G670" s="210"/>
      <c r="J670" s="147"/>
    </row>
    <row r="671" spans="3:10" ht="12.75" customHeight="1">
      <c r="C671" s="191"/>
      <c r="E671" s="210"/>
      <c r="F671" s="210"/>
      <c r="G671" s="210"/>
      <c r="J671" s="147"/>
    </row>
    <row r="672" spans="3:10" ht="12.75" customHeight="1">
      <c r="C672" s="191"/>
      <c r="E672" s="210"/>
      <c r="F672" s="210"/>
      <c r="G672" s="210"/>
      <c r="J672" s="147"/>
    </row>
    <row r="673" spans="3:10" ht="12.75" customHeight="1">
      <c r="C673" s="191"/>
      <c r="E673" s="210"/>
      <c r="F673" s="210"/>
      <c r="G673" s="210"/>
      <c r="J673" s="147"/>
    </row>
    <row r="674" spans="3:10" ht="12.75" customHeight="1">
      <c r="C674" s="191"/>
      <c r="E674" s="210"/>
      <c r="F674" s="210"/>
      <c r="G674" s="210"/>
      <c r="J674" s="147"/>
    </row>
    <row r="675" spans="3:10" ht="12.75" customHeight="1">
      <c r="C675" s="191"/>
      <c r="E675" s="210"/>
      <c r="F675" s="210"/>
      <c r="G675" s="210"/>
      <c r="J675" s="147"/>
    </row>
    <row r="676" spans="3:10" ht="12.75" customHeight="1">
      <c r="C676" s="191"/>
      <c r="E676" s="210"/>
      <c r="F676" s="210"/>
      <c r="G676" s="210"/>
      <c r="J676" s="147"/>
    </row>
    <row r="677" spans="3:10" ht="12.75" customHeight="1">
      <c r="C677" s="191"/>
      <c r="E677" s="210"/>
      <c r="F677" s="210"/>
      <c r="G677" s="210"/>
      <c r="J677" s="147"/>
    </row>
    <row r="678" spans="3:10" ht="12.75" customHeight="1">
      <c r="C678" s="191"/>
      <c r="E678" s="210"/>
      <c r="F678" s="210"/>
      <c r="G678" s="210"/>
      <c r="J678" s="147"/>
    </row>
    <row r="679" spans="3:10" ht="12.75" customHeight="1">
      <c r="C679" s="191"/>
      <c r="E679" s="210"/>
      <c r="F679" s="210"/>
      <c r="G679" s="210"/>
      <c r="J679" s="147"/>
    </row>
    <row r="680" spans="3:10" ht="12.75" customHeight="1">
      <c r="C680" s="191"/>
      <c r="E680" s="210"/>
      <c r="F680" s="210"/>
      <c r="G680" s="210"/>
      <c r="J680" s="147"/>
    </row>
    <row r="681" spans="3:10" ht="12.75" customHeight="1">
      <c r="C681" s="191"/>
      <c r="E681" s="210"/>
      <c r="F681" s="210"/>
      <c r="G681" s="210"/>
      <c r="J681" s="147"/>
    </row>
    <row r="682" spans="3:10" ht="12.75" customHeight="1">
      <c r="C682" s="191"/>
      <c r="E682" s="210"/>
      <c r="F682" s="210"/>
      <c r="G682" s="210"/>
      <c r="J682" s="147"/>
    </row>
    <row r="683" spans="3:10" ht="12.75" customHeight="1">
      <c r="C683" s="191"/>
      <c r="E683" s="210"/>
      <c r="F683" s="210"/>
      <c r="G683" s="210"/>
      <c r="J683" s="147"/>
    </row>
    <row r="684" spans="3:10" ht="12.75" customHeight="1">
      <c r="C684" s="191"/>
      <c r="E684" s="210"/>
      <c r="F684" s="210"/>
      <c r="G684" s="210"/>
      <c r="J684" s="147"/>
    </row>
    <row r="685" spans="3:10" ht="12.75" customHeight="1">
      <c r="C685" s="191"/>
      <c r="E685" s="210"/>
      <c r="F685" s="210"/>
      <c r="G685" s="210"/>
      <c r="J685" s="147"/>
    </row>
    <row r="686" spans="3:10" ht="12.75" customHeight="1">
      <c r="C686" s="191"/>
      <c r="E686" s="210"/>
      <c r="F686" s="210"/>
      <c r="G686" s="210"/>
      <c r="J686" s="147"/>
    </row>
    <row r="687" spans="3:10" ht="12.75" customHeight="1">
      <c r="C687" s="191"/>
      <c r="E687" s="210"/>
      <c r="F687" s="210"/>
      <c r="G687" s="210"/>
      <c r="J687" s="147"/>
    </row>
    <row r="688" spans="3:10" ht="12.75" customHeight="1">
      <c r="C688" s="191"/>
      <c r="E688" s="210"/>
      <c r="F688" s="210"/>
      <c r="G688" s="210"/>
      <c r="J688" s="147"/>
    </row>
    <row r="689" spans="3:10" ht="12.75" customHeight="1">
      <c r="C689" s="191"/>
      <c r="E689" s="210"/>
      <c r="F689" s="210"/>
      <c r="G689" s="210"/>
      <c r="J689" s="147"/>
    </row>
    <row r="690" spans="3:10" ht="12.75" customHeight="1">
      <c r="C690" s="191"/>
      <c r="E690" s="210"/>
      <c r="F690" s="210"/>
      <c r="G690" s="210"/>
      <c r="J690" s="147"/>
    </row>
    <row r="691" spans="3:10" ht="12.75" customHeight="1">
      <c r="C691" s="191"/>
      <c r="E691" s="210"/>
      <c r="F691" s="210"/>
      <c r="G691" s="210"/>
      <c r="J691" s="147"/>
    </row>
    <row r="692" spans="3:10" ht="12.75" customHeight="1">
      <c r="C692" s="191"/>
      <c r="E692" s="210"/>
      <c r="F692" s="210"/>
      <c r="G692" s="210"/>
      <c r="J692" s="147"/>
    </row>
    <row r="693" spans="3:10" ht="12.75" customHeight="1">
      <c r="C693" s="191"/>
      <c r="E693" s="210"/>
      <c r="F693" s="210"/>
      <c r="G693" s="210"/>
      <c r="J693" s="147"/>
    </row>
    <row r="694" spans="3:10" ht="12.75" customHeight="1">
      <c r="C694" s="191"/>
      <c r="E694" s="210"/>
      <c r="F694" s="210"/>
      <c r="G694" s="210"/>
      <c r="J694" s="147"/>
    </row>
    <row r="695" spans="3:10" ht="12.75" customHeight="1">
      <c r="C695" s="191"/>
      <c r="E695" s="210"/>
      <c r="F695" s="210"/>
      <c r="G695" s="210"/>
      <c r="J695" s="147"/>
    </row>
    <row r="696" spans="3:10" ht="12.75" customHeight="1">
      <c r="C696" s="191"/>
      <c r="E696" s="210"/>
      <c r="F696" s="210"/>
      <c r="G696" s="210"/>
      <c r="J696" s="147"/>
    </row>
    <row r="697" spans="3:10" ht="12.75" customHeight="1">
      <c r="C697" s="191"/>
      <c r="E697" s="210"/>
      <c r="F697" s="210"/>
      <c r="G697" s="210"/>
      <c r="J697" s="147"/>
    </row>
    <row r="698" spans="3:10" ht="12.75" customHeight="1">
      <c r="C698" s="191"/>
      <c r="E698" s="210"/>
      <c r="F698" s="210"/>
      <c r="G698" s="210"/>
      <c r="J698" s="147"/>
    </row>
    <row r="699" spans="3:10" ht="12.75" customHeight="1">
      <c r="C699" s="191"/>
      <c r="E699" s="210"/>
      <c r="F699" s="210"/>
      <c r="G699" s="210"/>
      <c r="J699" s="147"/>
    </row>
    <row r="700" spans="3:10" ht="12.75" customHeight="1">
      <c r="C700" s="191"/>
      <c r="E700" s="210"/>
      <c r="F700" s="210"/>
      <c r="G700" s="210"/>
      <c r="J700" s="147"/>
    </row>
    <row r="701" spans="3:10" ht="12.75" customHeight="1">
      <c r="C701" s="191"/>
      <c r="E701" s="210"/>
      <c r="F701" s="210"/>
      <c r="G701" s="210"/>
      <c r="J701" s="147"/>
    </row>
    <row r="702" spans="3:10" ht="12.75" customHeight="1">
      <c r="C702" s="191"/>
      <c r="E702" s="210"/>
      <c r="F702" s="210"/>
      <c r="G702" s="210"/>
      <c r="J702" s="147"/>
    </row>
    <row r="703" spans="3:10" ht="12.75" customHeight="1">
      <c r="C703" s="191"/>
      <c r="E703" s="210"/>
      <c r="F703" s="210"/>
      <c r="G703" s="210"/>
      <c r="J703" s="147"/>
    </row>
    <row r="704" spans="3:10" ht="12.75" customHeight="1">
      <c r="C704" s="191"/>
      <c r="E704" s="210"/>
      <c r="F704" s="210"/>
      <c r="G704" s="210"/>
      <c r="J704" s="147"/>
    </row>
    <row r="705" spans="3:10" ht="12.75" customHeight="1">
      <c r="C705" s="191"/>
      <c r="E705" s="210"/>
      <c r="F705" s="210"/>
      <c r="G705" s="210"/>
      <c r="J705" s="147"/>
    </row>
    <row r="706" spans="3:10" ht="12.75" customHeight="1">
      <c r="C706" s="191"/>
      <c r="E706" s="210"/>
      <c r="F706" s="210"/>
      <c r="G706" s="210"/>
      <c r="J706" s="147"/>
    </row>
    <row r="707" spans="3:10" ht="12.75" customHeight="1">
      <c r="C707" s="191"/>
      <c r="E707" s="210"/>
      <c r="F707" s="210"/>
      <c r="G707" s="210"/>
      <c r="J707" s="147"/>
    </row>
    <row r="708" spans="3:10" ht="12.75" customHeight="1">
      <c r="C708" s="191"/>
      <c r="E708" s="210"/>
      <c r="F708" s="210"/>
      <c r="G708" s="210"/>
      <c r="J708" s="147"/>
    </row>
    <row r="709" spans="3:10" ht="12.75" customHeight="1">
      <c r="C709" s="191"/>
      <c r="E709" s="210"/>
      <c r="F709" s="210"/>
      <c r="G709" s="210"/>
      <c r="J709" s="147"/>
    </row>
    <row r="710" spans="3:10" ht="12.75" customHeight="1">
      <c r="C710" s="191"/>
      <c r="E710" s="210"/>
      <c r="F710" s="210"/>
      <c r="G710" s="210"/>
      <c r="J710" s="147"/>
    </row>
    <row r="711" spans="3:10" ht="12.75" customHeight="1">
      <c r="C711" s="191"/>
      <c r="E711" s="210"/>
      <c r="F711" s="210"/>
      <c r="G711" s="210"/>
      <c r="J711" s="147"/>
    </row>
    <row r="712" spans="3:10" ht="12.75" customHeight="1">
      <c r="C712" s="191"/>
      <c r="E712" s="210"/>
      <c r="F712" s="210"/>
      <c r="G712" s="210"/>
      <c r="J712" s="147"/>
    </row>
    <row r="713" spans="3:10" ht="12.75" customHeight="1">
      <c r="C713" s="191"/>
      <c r="E713" s="210"/>
      <c r="F713" s="210"/>
      <c r="G713" s="210"/>
      <c r="J713" s="147"/>
    </row>
    <row r="714" spans="3:10" ht="12.75" customHeight="1">
      <c r="C714" s="191"/>
      <c r="E714" s="210"/>
      <c r="F714" s="210"/>
      <c r="G714" s="210"/>
      <c r="J714" s="147"/>
    </row>
    <row r="715" spans="3:10" ht="12.75" customHeight="1">
      <c r="C715" s="191"/>
      <c r="E715" s="210"/>
      <c r="F715" s="210"/>
      <c r="G715" s="210"/>
      <c r="J715" s="147"/>
    </row>
    <row r="716" spans="3:10" ht="12.75" customHeight="1">
      <c r="C716" s="191"/>
      <c r="E716" s="210"/>
      <c r="F716" s="210"/>
      <c r="G716" s="210"/>
      <c r="J716" s="147"/>
    </row>
    <row r="717" spans="3:10" ht="12.75" customHeight="1">
      <c r="C717" s="191"/>
      <c r="E717" s="210"/>
      <c r="F717" s="210"/>
      <c r="G717" s="210"/>
      <c r="J717" s="147"/>
    </row>
    <row r="718" spans="3:10" ht="12.75" customHeight="1">
      <c r="C718" s="191"/>
      <c r="E718" s="210"/>
      <c r="F718" s="210"/>
      <c r="G718" s="210"/>
      <c r="J718" s="147"/>
    </row>
    <row r="719" spans="3:10" ht="12.75" customHeight="1">
      <c r="C719" s="191"/>
      <c r="E719" s="210"/>
      <c r="F719" s="210"/>
      <c r="G719" s="210"/>
      <c r="J719" s="147"/>
    </row>
    <row r="720" spans="3:10" ht="12.75" customHeight="1">
      <c r="C720" s="191"/>
      <c r="E720" s="210"/>
      <c r="F720" s="210"/>
      <c r="G720" s="210"/>
      <c r="J720" s="147"/>
    </row>
    <row r="721" spans="3:10" ht="12.75" customHeight="1">
      <c r="C721" s="191"/>
      <c r="E721" s="210"/>
      <c r="F721" s="210"/>
      <c r="G721" s="210"/>
      <c r="J721" s="147"/>
    </row>
    <row r="722" spans="3:10" ht="12.75" customHeight="1">
      <c r="C722" s="191"/>
      <c r="E722" s="210"/>
      <c r="F722" s="210"/>
      <c r="G722" s="210"/>
      <c r="J722" s="147"/>
    </row>
    <row r="723" spans="3:10" ht="12.75" customHeight="1">
      <c r="C723" s="191"/>
      <c r="E723" s="210"/>
      <c r="F723" s="210"/>
      <c r="G723" s="210"/>
      <c r="J723" s="147"/>
    </row>
    <row r="724" spans="3:10" ht="12.75" customHeight="1">
      <c r="C724" s="191"/>
      <c r="E724" s="210"/>
      <c r="F724" s="210"/>
      <c r="G724" s="210"/>
      <c r="J724" s="147"/>
    </row>
    <row r="725" spans="3:10" ht="12.75" customHeight="1">
      <c r="C725" s="191"/>
      <c r="E725" s="210"/>
      <c r="F725" s="210"/>
      <c r="G725" s="210"/>
      <c r="J725" s="147"/>
    </row>
    <row r="726" spans="3:10" ht="12.75" customHeight="1">
      <c r="C726" s="191"/>
      <c r="E726" s="210"/>
      <c r="F726" s="210"/>
      <c r="G726" s="210"/>
      <c r="J726" s="147"/>
    </row>
    <row r="727" spans="3:10" ht="12.75" customHeight="1">
      <c r="C727" s="191"/>
      <c r="E727" s="210"/>
      <c r="F727" s="210"/>
      <c r="G727" s="210"/>
      <c r="J727" s="147"/>
    </row>
    <row r="728" spans="3:10" ht="12.75" customHeight="1">
      <c r="C728" s="191"/>
      <c r="E728" s="210"/>
      <c r="F728" s="210"/>
      <c r="G728" s="210"/>
      <c r="J728" s="147"/>
    </row>
    <row r="729" spans="3:10" ht="12.75" customHeight="1">
      <c r="C729" s="191"/>
      <c r="E729" s="210"/>
      <c r="F729" s="210"/>
      <c r="G729" s="210"/>
      <c r="J729" s="147"/>
    </row>
    <row r="730" spans="3:10" ht="12.75" customHeight="1">
      <c r="C730" s="191"/>
      <c r="E730" s="210"/>
      <c r="F730" s="210"/>
      <c r="G730" s="210"/>
      <c r="J730" s="147"/>
    </row>
    <row r="731" spans="3:10" ht="12.75" customHeight="1">
      <c r="C731" s="191"/>
      <c r="E731" s="210"/>
      <c r="F731" s="210"/>
      <c r="G731" s="210"/>
      <c r="J731" s="147"/>
    </row>
    <row r="732" spans="3:10" ht="12.75" customHeight="1">
      <c r="C732" s="191"/>
      <c r="E732" s="210"/>
      <c r="F732" s="210"/>
      <c r="G732" s="210"/>
      <c r="J732" s="147"/>
    </row>
    <row r="733" spans="3:10" ht="12.75" customHeight="1">
      <c r="C733" s="191"/>
      <c r="E733" s="210"/>
      <c r="F733" s="210"/>
      <c r="G733" s="210"/>
      <c r="J733" s="147"/>
    </row>
    <row r="734" spans="3:10" ht="12.75" customHeight="1">
      <c r="C734" s="191"/>
      <c r="E734" s="210"/>
      <c r="F734" s="210"/>
      <c r="G734" s="210"/>
      <c r="J734" s="147"/>
    </row>
    <row r="735" spans="3:10" ht="12.75" customHeight="1">
      <c r="C735" s="191"/>
      <c r="E735" s="210"/>
      <c r="F735" s="210"/>
      <c r="G735" s="210"/>
      <c r="J735" s="147"/>
    </row>
    <row r="736" spans="3:10" ht="12.75" customHeight="1">
      <c r="C736" s="191"/>
      <c r="E736" s="210"/>
      <c r="F736" s="210"/>
      <c r="G736" s="210"/>
      <c r="J736" s="147"/>
    </row>
    <row r="737" spans="3:10" ht="12.75" customHeight="1">
      <c r="C737" s="191"/>
      <c r="E737" s="210"/>
      <c r="F737" s="210"/>
      <c r="G737" s="210"/>
      <c r="J737" s="147"/>
    </row>
    <row r="738" spans="3:10" ht="12.75" customHeight="1">
      <c r="C738" s="191"/>
      <c r="E738" s="210"/>
      <c r="F738" s="210"/>
      <c r="G738" s="210"/>
      <c r="J738" s="147"/>
    </row>
    <row r="739" spans="3:10" ht="12.75" customHeight="1">
      <c r="C739" s="191"/>
      <c r="E739" s="210"/>
      <c r="F739" s="210"/>
      <c r="G739" s="210"/>
      <c r="J739" s="147"/>
    </row>
    <row r="740" spans="3:10" ht="12.75" customHeight="1">
      <c r="C740" s="191"/>
      <c r="E740" s="210"/>
      <c r="F740" s="210"/>
      <c r="G740" s="210"/>
      <c r="J740" s="147"/>
    </row>
    <row r="741" spans="3:10" ht="12.75" customHeight="1">
      <c r="C741" s="191"/>
      <c r="E741" s="210"/>
      <c r="F741" s="210"/>
      <c r="G741" s="210"/>
      <c r="J741" s="147"/>
    </row>
    <row r="742" spans="3:10" ht="12.75" customHeight="1">
      <c r="C742" s="191"/>
      <c r="E742" s="210"/>
      <c r="F742" s="210"/>
      <c r="G742" s="210"/>
      <c r="J742" s="147"/>
    </row>
    <row r="743" spans="3:10" ht="12.75" customHeight="1">
      <c r="C743" s="191"/>
      <c r="E743" s="210"/>
      <c r="F743" s="210"/>
      <c r="G743" s="210"/>
      <c r="J743" s="147"/>
    </row>
    <row r="744" spans="3:10" ht="12.75" customHeight="1">
      <c r="C744" s="191"/>
      <c r="E744" s="210"/>
      <c r="F744" s="210"/>
      <c r="G744" s="210"/>
      <c r="J744" s="147"/>
    </row>
    <row r="745" spans="3:10" ht="12.75" customHeight="1">
      <c r="C745" s="191"/>
      <c r="E745" s="210"/>
      <c r="F745" s="210"/>
      <c r="G745" s="210"/>
      <c r="J745" s="147"/>
    </row>
    <row r="746" spans="3:10" ht="12.75" customHeight="1">
      <c r="C746" s="191"/>
      <c r="E746" s="210"/>
      <c r="F746" s="210"/>
      <c r="G746" s="210"/>
      <c r="J746" s="147"/>
    </row>
    <row r="747" spans="3:10" ht="12.75" customHeight="1">
      <c r="C747" s="191"/>
      <c r="E747" s="210"/>
      <c r="F747" s="210"/>
      <c r="G747" s="210"/>
      <c r="J747" s="147"/>
    </row>
    <row r="748" spans="3:10" ht="12.75" customHeight="1">
      <c r="C748" s="191"/>
      <c r="E748" s="210"/>
      <c r="F748" s="210"/>
      <c r="G748" s="210"/>
      <c r="J748" s="147"/>
    </row>
    <row r="749" spans="3:10" ht="12.75" customHeight="1">
      <c r="C749" s="191"/>
      <c r="E749" s="210"/>
      <c r="F749" s="210"/>
      <c r="G749" s="210"/>
      <c r="J749" s="147"/>
    </row>
    <row r="750" spans="3:10" ht="12.75" customHeight="1">
      <c r="C750" s="191"/>
      <c r="E750" s="210"/>
      <c r="F750" s="210"/>
      <c r="G750" s="210"/>
      <c r="J750" s="147"/>
    </row>
    <row r="751" spans="3:10" ht="12.75" customHeight="1">
      <c r="C751" s="191"/>
      <c r="E751" s="210"/>
      <c r="F751" s="210"/>
      <c r="G751" s="210"/>
      <c r="J751" s="147"/>
    </row>
    <row r="752" spans="3:10" ht="12.75" customHeight="1">
      <c r="C752" s="191"/>
      <c r="E752" s="210"/>
      <c r="F752" s="210"/>
      <c r="G752" s="210"/>
      <c r="J752" s="147"/>
    </row>
    <row r="753" spans="3:10" ht="12.75" customHeight="1">
      <c r="C753" s="191"/>
      <c r="E753" s="210"/>
      <c r="F753" s="210"/>
      <c r="G753" s="210"/>
      <c r="J753" s="147"/>
    </row>
    <row r="754" spans="3:10" ht="12.75" customHeight="1">
      <c r="C754" s="191"/>
      <c r="E754" s="210"/>
      <c r="F754" s="210"/>
      <c r="G754" s="210"/>
      <c r="J754" s="147"/>
    </row>
    <row r="755" spans="3:10" ht="12.75" customHeight="1">
      <c r="C755" s="191"/>
      <c r="E755" s="210"/>
      <c r="F755" s="210"/>
      <c r="G755" s="210"/>
      <c r="J755" s="147"/>
    </row>
    <row r="756" spans="3:10" ht="12.75" customHeight="1">
      <c r="C756" s="191"/>
      <c r="E756" s="210"/>
      <c r="F756" s="210"/>
      <c r="G756" s="210"/>
      <c r="J756" s="147"/>
    </row>
    <row r="757" spans="3:10" ht="12.75" customHeight="1">
      <c r="C757" s="191"/>
      <c r="E757" s="210"/>
      <c r="F757" s="210"/>
      <c r="G757" s="210"/>
      <c r="J757" s="147"/>
    </row>
    <row r="758" spans="3:10" ht="12.75" customHeight="1">
      <c r="C758" s="191"/>
      <c r="E758" s="210"/>
      <c r="F758" s="210"/>
      <c r="G758" s="210"/>
      <c r="J758" s="147"/>
    </row>
    <row r="759" spans="3:10" ht="12.75" customHeight="1">
      <c r="C759" s="191"/>
      <c r="E759" s="210"/>
      <c r="F759" s="210"/>
      <c r="G759" s="210"/>
      <c r="J759" s="147"/>
    </row>
    <row r="760" spans="3:10" ht="12.75" customHeight="1">
      <c r="C760" s="191"/>
      <c r="E760" s="210"/>
      <c r="F760" s="210"/>
      <c r="G760" s="210"/>
      <c r="J760" s="147"/>
    </row>
    <row r="761" spans="3:10" ht="12.75" customHeight="1">
      <c r="C761" s="191"/>
      <c r="E761" s="210"/>
      <c r="F761" s="210"/>
      <c r="G761" s="210"/>
      <c r="J761" s="147"/>
    </row>
    <row r="762" spans="3:10" ht="12.75" customHeight="1">
      <c r="C762" s="191"/>
      <c r="E762" s="210"/>
      <c r="F762" s="210"/>
      <c r="G762" s="210"/>
      <c r="J762" s="147"/>
    </row>
    <row r="763" spans="3:10" ht="12.75" customHeight="1">
      <c r="C763" s="191"/>
      <c r="E763" s="210"/>
      <c r="F763" s="210"/>
      <c r="G763" s="210"/>
      <c r="J763" s="147"/>
    </row>
    <row r="764" spans="3:10" ht="12.75" customHeight="1">
      <c r="C764" s="191"/>
      <c r="E764" s="210"/>
      <c r="F764" s="210"/>
      <c r="G764" s="210"/>
      <c r="J764" s="147"/>
    </row>
    <row r="765" spans="3:10" ht="12.75" customHeight="1">
      <c r="C765" s="191"/>
      <c r="E765" s="210"/>
      <c r="F765" s="210"/>
      <c r="G765" s="210"/>
      <c r="J765" s="147"/>
    </row>
    <row r="766" spans="3:10" ht="12.75" customHeight="1">
      <c r="C766" s="191"/>
      <c r="E766" s="210"/>
      <c r="F766" s="210"/>
      <c r="G766" s="210"/>
      <c r="J766" s="147"/>
    </row>
    <row r="767" spans="3:10" ht="12.75" customHeight="1">
      <c r="C767" s="191"/>
      <c r="E767" s="210"/>
      <c r="F767" s="210"/>
      <c r="G767" s="210"/>
      <c r="J767" s="147"/>
    </row>
    <row r="768" spans="3:10" ht="12.75" customHeight="1">
      <c r="C768" s="191"/>
      <c r="E768" s="210"/>
      <c r="F768" s="210"/>
      <c r="G768" s="210"/>
      <c r="J768" s="147"/>
    </row>
    <row r="769" spans="3:10" ht="12.75" customHeight="1">
      <c r="C769" s="191"/>
      <c r="E769" s="210"/>
      <c r="F769" s="210"/>
      <c r="G769" s="210"/>
      <c r="J769" s="147"/>
    </row>
    <row r="770" spans="3:10" ht="12.75" customHeight="1">
      <c r="C770" s="191"/>
      <c r="E770" s="210"/>
      <c r="F770" s="210"/>
      <c r="G770" s="210"/>
      <c r="J770" s="147"/>
    </row>
    <row r="771" spans="3:10" ht="12.75" customHeight="1">
      <c r="C771" s="191"/>
      <c r="E771" s="210"/>
      <c r="F771" s="210"/>
      <c r="G771" s="210"/>
      <c r="J771" s="147"/>
    </row>
    <row r="772" spans="3:10" ht="12.75" customHeight="1">
      <c r="C772" s="191"/>
      <c r="E772" s="210"/>
      <c r="F772" s="210"/>
      <c r="G772" s="210"/>
      <c r="J772" s="147"/>
    </row>
    <row r="773" spans="3:10" ht="12.75" customHeight="1">
      <c r="C773" s="191"/>
      <c r="E773" s="210"/>
      <c r="F773" s="210"/>
      <c r="G773" s="210"/>
      <c r="J773" s="147"/>
    </row>
    <row r="774" spans="3:10" ht="12.75" customHeight="1">
      <c r="C774" s="191"/>
      <c r="E774" s="210"/>
      <c r="F774" s="210"/>
      <c r="G774" s="210"/>
      <c r="J774" s="147"/>
    </row>
    <row r="775" spans="3:10" ht="12.75" customHeight="1">
      <c r="C775" s="191"/>
      <c r="E775" s="210"/>
      <c r="F775" s="210"/>
      <c r="G775" s="210"/>
      <c r="J775" s="147"/>
    </row>
    <row r="776" spans="3:10" ht="12.75" customHeight="1">
      <c r="C776" s="191"/>
      <c r="E776" s="210"/>
      <c r="F776" s="210"/>
      <c r="G776" s="210"/>
      <c r="J776" s="147"/>
    </row>
    <row r="777" spans="3:10" ht="12.75" customHeight="1">
      <c r="C777" s="191"/>
      <c r="E777" s="210"/>
      <c r="F777" s="210"/>
      <c r="G777" s="210"/>
      <c r="J777" s="147"/>
    </row>
    <row r="778" spans="3:10" ht="12.75" customHeight="1">
      <c r="C778" s="191"/>
      <c r="E778" s="210"/>
      <c r="F778" s="210"/>
      <c r="G778" s="210"/>
      <c r="J778" s="147"/>
    </row>
    <row r="779" spans="3:10" ht="12.75" customHeight="1">
      <c r="C779" s="191"/>
      <c r="E779" s="210"/>
      <c r="F779" s="210"/>
      <c r="G779" s="210"/>
      <c r="J779" s="147"/>
    </row>
    <row r="780" spans="3:10" ht="12.75" customHeight="1">
      <c r="C780" s="191"/>
      <c r="E780" s="210"/>
      <c r="F780" s="210"/>
      <c r="G780" s="210"/>
      <c r="J780" s="147"/>
    </row>
    <row r="781" spans="3:10" ht="12.75" customHeight="1">
      <c r="C781" s="191"/>
      <c r="E781" s="210"/>
      <c r="F781" s="210"/>
      <c r="G781" s="210"/>
      <c r="J781" s="147"/>
    </row>
    <row r="782" spans="3:10" ht="12.75" customHeight="1">
      <c r="C782" s="191"/>
      <c r="E782" s="210"/>
      <c r="F782" s="210"/>
      <c r="G782" s="210"/>
      <c r="J782" s="147"/>
    </row>
    <row r="783" spans="3:10" ht="12.75" customHeight="1">
      <c r="C783" s="191"/>
      <c r="E783" s="210"/>
      <c r="F783" s="210"/>
      <c r="G783" s="210"/>
      <c r="J783" s="147"/>
    </row>
    <row r="784" spans="3:10" ht="12.75" customHeight="1">
      <c r="C784" s="191"/>
      <c r="E784" s="210"/>
      <c r="F784" s="210"/>
      <c r="G784" s="210"/>
      <c r="J784" s="147"/>
    </row>
    <row r="785" spans="3:10" ht="12.75" customHeight="1">
      <c r="C785" s="191"/>
      <c r="E785" s="210"/>
      <c r="F785" s="210"/>
      <c r="G785" s="210"/>
      <c r="J785" s="147"/>
    </row>
    <row r="786" spans="3:10" ht="12.75" customHeight="1">
      <c r="C786" s="191"/>
      <c r="E786" s="210"/>
      <c r="F786" s="210"/>
      <c r="G786" s="210"/>
      <c r="J786" s="147"/>
    </row>
    <row r="787" spans="3:10" ht="12.75" customHeight="1">
      <c r="C787" s="191"/>
      <c r="E787" s="210"/>
      <c r="F787" s="210"/>
      <c r="G787" s="210"/>
      <c r="J787" s="147"/>
    </row>
    <row r="788" spans="3:10" ht="12.75" customHeight="1">
      <c r="C788" s="191"/>
      <c r="E788" s="210"/>
      <c r="F788" s="210"/>
      <c r="G788" s="210"/>
      <c r="J788" s="147"/>
    </row>
    <row r="789" spans="3:10" ht="12.75" customHeight="1">
      <c r="C789" s="191"/>
      <c r="E789" s="210"/>
      <c r="F789" s="210"/>
      <c r="G789" s="210"/>
      <c r="J789" s="147"/>
    </row>
    <row r="790" spans="3:10" ht="12.75" customHeight="1">
      <c r="C790" s="191"/>
      <c r="E790" s="210"/>
      <c r="F790" s="210"/>
      <c r="G790" s="210"/>
      <c r="J790" s="147"/>
    </row>
    <row r="791" spans="3:10" ht="12.75" customHeight="1">
      <c r="C791" s="191"/>
      <c r="E791" s="210"/>
      <c r="F791" s="210"/>
      <c r="G791" s="210"/>
      <c r="J791" s="147"/>
    </row>
    <row r="792" spans="3:10" ht="12.75" customHeight="1">
      <c r="C792" s="191"/>
      <c r="E792" s="210"/>
      <c r="F792" s="210"/>
      <c r="G792" s="210"/>
      <c r="J792" s="147"/>
    </row>
    <row r="793" spans="3:10" ht="12.75" customHeight="1">
      <c r="C793" s="191"/>
      <c r="E793" s="210"/>
      <c r="F793" s="210"/>
      <c r="G793" s="210"/>
      <c r="J793" s="147"/>
    </row>
    <row r="794" spans="3:10" ht="12.75" customHeight="1">
      <c r="C794" s="191"/>
      <c r="E794" s="210"/>
      <c r="F794" s="210"/>
      <c r="G794" s="210"/>
      <c r="J794" s="147"/>
    </row>
    <row r="795" spans="3:10" ht="12.75" customHeight="1">
      <c r="C795" s="191"/>
      <c r="E795" s="210"/>
      <c r="F795" s="210"/>
      <c r="G795" s="210"/>
      <c r="J795" s="147"/>
    </row>
    <row r="796" spans="3:10" ht="12.75" customHeight="1">
      <c r="C796" s="191"/>
      <c r="E796" s="210"/>
      <c r="F796" s="210"/>
      <c r="G796" s="210"/>
      <c r="J796" s="147"/>
    </row>
    <row r="797" spans="3:10" ht="12.75" customHeight="1">
      <c r="C797" s="191"/>
      <c r="E797" s="210"/>
      <c r="F797" s="210"/>
      <c r="G797" s="210"/>
      <c r="J797" s="147"/>
    </row>
    <row r="798" spans="3:10" ht="12.75" customHeight="1">
      <c r="C798" s="191"/>
      <c r="E798" s="210"/>
      <c r="F798" s="210"/>
      <c r="G798" s="210"/>
      <c r="J798" s="147"/>
    </row>
    <row r="799" spans="3:10" ht="12.75" customHeight="1">
      <c r="C799" s="191"/>
      <c r="E799" s="210"/>
      <c r="F799" s="210"/>
      <c r="G799" s="210"/>
      <c r="J799" s="147"/>
    </row>
    <row r="800" spans="3:10" ht="12.75" customHeight="1">
      <c r="C800" s="191"/>
      <c r="E800" s="210"/>
      <c r="F800" s="210"/>
      <c r="G800" s="210"/>
      <c r="J800" s="147"/>
    </row>
    <row r="801" spans="3:10" ht="12.75" customHeight="1">
      <c r="C801" s="191"/>
      <c r="E801" s="210"/>
      <c r="F801" s="210"/>
      <c r="G801" s="210"/>
      <c r="J801" s="147"/>
    </row>
    <row r="802" spans="3:10" ht="12.75" customHeight="1">
      <c r="C802" s="191"/>
      <c r="E802" s="210"/>
      <c r="F802" s="210"/>
      <c r="G802" s="210"/>
      <c r="J802" s="147"/>
    </row>
    <row r="803" spans="3:10" ht="12.75" customHeight="1">
      <c r="C803" s="191"/>
      <c r="E803" s="210"/>
      <c r="F803" s="210"/>
      <c r="G803" s="210"/>
      <c r="J803" s="147"/>
    </row>
    <row r="804" spans="3:10" ht="12.75" customHeight="1">
      <c r="C804" s="191"/>
      <c r="E804" s="210"/>
      <c r="F804" s="210"/>
      <c r="G804" s="210"/>
      <c r="J804" s="147"/>
    </row>
    <row r="805" spans="3:10" ht="12.75" customHeight="1">
      <c r="C805" s="191"/>
      <c r="E805" s="210"/>
      <c r="F805" s="210"/>
      <c r="G805" s="210"/>
      <c r="J805" s="147"/>
    </row>
    <row r="806" spans="3:10" ht="12.75" customHeight="1">
      <c r="C806" s="191"/>
      <c r="E806" s="210"/>
      <c r="F806" s="210"/>
      <c r="G806" s="210"/>
      <c r="J806" s="147"/>
    </row>
    <row r="807" spans="3:10" ht="12.75" customHeight="1">
      <c r="C807" s="191"/>
      <c r="E807" s="210"/>
      <c r="F807" s="210"/>
      <c r="G807" s="210"/>
      <c r="J807" s="147"/>
    </row>
    <row r="808" spans="3:10" ht="12.75" customHeight="1">
      <c r="C808" s="191"/>
      <c r="E808" s="210"/>
      <c r="F808" s="210"/>
      <c r="G808" s="210"/>
      <c r="J808" s="147"/>
    </row>
    <row r="809" spans="3:10" ht="12.75" customHeight="1">
      <c r="C809" s="191"/>
      <c r="E809" s="210"/>
      <c r="F809" s="210"/>
      <c r="G809" s="210"/>
      <c r="J809" s="147"/>
    </row>
    <row r="810" spans="3:10" ht="12.75" customHeight="1">
      <c r="C810" s="191"/>
      <c r="E810" s="210"/>
      <c r="F810" s="210"/>
      <c r="G810" s="210"/>
      <c r="J810" s="147"/>
    </row>
    <row r="811" spans="3:10" ht="12.75" customHeight="1">
      <c r="C811" s="191"/>
      <c r="E811" s="210"/>
      <c r="F811" s="210"/>
      <c r="G811" s="210"/>
      <c r="J811" s="147"/>
    </row>
    <row r="812" spans="3:10" ht="12.75" customHeight="1">
      <c r="C812" s="191"/>
      <c r="E812" s="210"/>
      <c r="F812" s="210"/>
      <c r="G812" s="210"/>
      <c r="J812" s="147"/>
    </row>
    <row r="813" spans="3:10" ht="12.75" customHeight="1">
      <c r="C813" s="191"/>
      <c r="E813" s="210"/>
      <c r="F813" s="210"/>
      <c r="G813" s="210"/>
      <c r="J813" s="147"/>
    </row>
    <row r="814" spans="3:10" ht="12.75" customHeight="1">
      <c r="C814" s="191"/>
      <c r="E814" s="210"/>
      <c r="F814" s="210"/>
      <c r="G814" s="210"/>
      <c r="J814" s="147"/>
    </row>
    <row r="815" spans="3:10" ht="12.75" customHeight="1">
      <c r="C815" s="191"/>
      <c r="E815" s="210"/>
      <c r="F815" s="210"/>
      <c r="G815" s="210"/>
      <c r="J815" s="147"/>
    </row>
    <row r="816" spans="3:10" ht="12.75" customHeight="1">
      <c r="C816" s="191"/>
      <c r="E816" s="210"/>
      <c r="F816" s="210"/>
      <c r="G816" s="210"/>
      <c r="J816" s="147"/>
    </row>
    <row r="817" spans="3:10" ht="12.75" customHeight="1">
      <c r="C817" s="191"/>
      <c r="E817" s="210"/>
      <c r="F817" s="210"/>
      <c r="G817" s="210"/>
      <c r="J817" s="147"/>
    </row>
    <row r="818" spans="3:10" ht="12.75" customHeight="1">
      <c r="C818" s="191"/>
      <c r="E818" s="210"/>
      <c r="F818" s="210"/>
      <c r="G818" s="210"/>
      <c r="J818" s="147"/>
    </row>
    <row r="819" spans="3:10" ht="12.75" customHeight="1">
      <c r="C819" s="191"/>
      <c r="E819" s="210"/>
      <c r="F819" s="210"/>
      <c r="G819" s="210"/>
      <c r="J819" s="147"/>
    </row>
    <row r="820" spans="3:10" ht="12.75" customHeight="1">
      <c r="C820" s="191"/>
      <c r="E820" s="210"/>
      <c r="F820" s="210"/>
      <c r="G820" s="210"/>
      <c r="J820" s="147"/>
    </row>
    <row r="821" spans="3:10" ht="12.75" customHeight="1">
      <c r="C821" s="191"/>
      <c r="E821" s="210"/>
      <c r="F821" s="210"/>
      <c r="G821" s="210"/>
      <c r="J821" s="147"/>
    </row>
    <row r="822" spans="3:10" ht="12.75" customHeight="1">
      <c r="C822" s="191"/>
      <c r="E822" s="210"/>
      <c r="F822" s="210"/>
      <c r="G822" s="210"/>
      <c r="J822" s="147"/>
    </row>
    <row r="823" spans="3:10" ht="12.75" customHeight="1">
      <c r="C823" s="191"/>
      <c r="E823" s="210"/>
      <c r="F823" s="210"/>
      <c r="G823" s="210"/>
      <c r="J823" s="147"/>
    </row>
    <row r="824" spans="3:10" ht="12.75" customHeight="1">
      <c r="C824" s="191"/>
      <c r="E824" s="210"/>
      <c r="F824" s="210"/>
      <c r="G824" s="210"/>
      <c r="J824" s="147"/>
    </row>
    <row r="825" spans="3:10" ht="12.75" customHeight="1">
      <c r="C825" s="191"/>
      <c r="E825" s="210"/>
      <c r="F825" s="210"/>
      <c r="G825" s="210"/>
      <c r="J825" s="147"/>
    </row>
    <row r="826" spans="3:10" ht="12.75" customHeight="1">
      <c r="C826" s="191"/>
      <c r="E826" s="210"/>
      <c r="F826" s="210"/>
      <c r="G826" s="210"/>
      <c r="J826" s="147"/>
    </row>
    <row r="827" spans="3:10" ht="12.75" customHeight="1">
      <c r="C827" s="191"/>
      <c r="E827" s="210"/>
      <c r="F827" s="210"/>
      <c r="G827" s="210"/>
      <c r="J827" s="147"/>
    </row>
    <row r="828" spans="3:10" ht="12.75" customHeight="1">
      <c r="C828" s="191"/>
      <c r="E828" s="210"/>
      <c r="F828" s="210"/>
      <c r="G828" s="210"/>
      <c r="J828" s="147"/>
    </row>
    <row r="829" spans="3:10" ht="12.75" customHeight="1">
      <c r="C829" s="191"/>
      <c r="E829" s="210"/>
      <c r="F829" s="210"/>
      <c r="G829" s="210"/>
      <c r="J829" s="147"/>
    </row>
    <row r="830" spans="3:10" ht="12.75" customHeight="1">
      <c r="C830" s="191"/>
      <c r="E830" s="210"/>
      <c r="F830" s="210"/>
      <c r="G830" s="210"/>
      <c r="J830" s="147"/>
    </row>
    <row r="831" spans="3:10" ht="12.75" customHeight="1">
      <c r="C831" s="191"/>
      <c r="E831" s="210"/>
      <c r="F831" s="210"/>
      <c r="G831" s="210"/>
      <c r="J831" s="147"/>
    </row>
    <row r="832" spans="3:10" ht="12.75" customHeight="1">
      <c r="C832" s="191"/>
      <c r="E832" s="210"/>
      <c r="F832" s="210"/>
      <c r="G832" s="210"/>
      <c r="J832" s="147"/>
    </row>
    <row r="833" spans="3:10" ht="12.75" customHeight="1">
      <c r="C833" s="191"/>
      <c r="E833" s="210"/>
      <c r="F833" s="210"/>
      <c r="G833" s="210"/>
      <c r="J833" s="147"/>
    </row>
    <row r="834" spans="3:10" ht="12.75" customHeight="1">
      <c r="C834" s="191"/>
      <c r="E834" s="210"/>
      <c r="F834" s="210"/>
      <c r="G834" s="210"/>
      <c r="J834" s="147"/>
    </row>
    <row r="835" spans="3:10" ht="12.75" customHeight="1">
      <c r="C835" s="191"/>
      <c r="E835" s="210"/>
      <c r="F835" s="210"/>
      <c r="G835" s="210"/>
      <c r="J835" s="147"/>
    </row>
    <row r="836" spans="3:10" ht="12.75" customHeight="1">
      <c r="C836" s="191"/>
      <c r="E836" s="210"/>
      <c r="F836" s="210"/>
      <c r="G836" s="210"/>
      <c r="J836" s="147"/>
    </row>
    <row r="837" spans="3:10" ht="12.75" customHeight="1">
      <c r="C837" s="191"/>
      <c r="E837" s="210"/>
      <c r="F837" s="210"/>
      <c r="G837" s="210"/>
      <c r="J837" s="147"/>
    </row>
    <row r="838" spans="3:10" ht="12.75" customHeight="1">
      <c r="C838" s="191"/>
      <c r="E838" s="210"/>
      <c r="F838" s="210"/>
      <c r="G838" s="210"/>
      <c r="J838" s="147"/>
    </row>
    <row r="839" spans="3:10" ht="12.75" customHeight="1">
      <c r="C839" s="191"/>
      <c r="E839" s="210"/>
      <c r="F839" s="210"/>
      <c r="G839" s="210"/>
      <c r="J839" s="147"/>
    </row>
    <row r="840" spans="3:10" ht="12.75" customHeight="1">
      <c r="C840" s="191"/>
      <c r="E840" s="210"/>
      <c r="F840" s="210"/>
      <c r="G840" s="210"/>
      <c r="J840" s="147"/>
    </row>
    <row r="841" spans="3:10" ht="12.75" customHeight="1">
      <c r="C841" s="191"/>
      <c r="E841" s="210"/>
      <c r="F841" s="210"/>
      <c r="G841" s="210"/>
      <c r="J841" s="147"/>
    </row>
    <row r="842" spans="3:10" ht="12.75" customHeight="1">
      <c r="C842" s="191"/>
      <c r="E842" s="210"/>
      <c r="F842" s="210"/>
      <c r="G842" s="210"/>
      <c r="J842" s="147"/>
    </row>
    <row r="843" spans="3:10" ht="12.75" customHeight="1">
      <c r="C843" s="191"/>
      <c r="E843" s="210"/>
      <c r="F843" s="210"/>
      <c r="G843" s="210"/>
      <c r="J843" s="147"/>
    </row>
    <row r="844" spans="3:10" ht="12.75" customHeight="1">
      <c r="C844" s="191"/>
      <c r="E844" s="210"/>
      <c r="F844" s="210"/>
      <c r="G844" s="210"/>
      <c r="J844" s="147"/>
    </row>
    <row r="845" spans="3:10" ht="12.75" customHeight="1">
      <c r="C845" s="191"/>
      <c r="E845" s="210"/>
      <c r="F845" s="210"/>
      <c r="G845" s="210"/>
      <c r="J845" s="147"/>
    </row>
    <row r="846" spans="3:10" ht="12.75" customHeight="1">
      <c r="C846" s="191"/>
      <c r="E846" s="210"/>
      <c r="F846" s="210"/>
      <c r="G846" s="210"/>
      <c r="J846" s="147"/>
    </row>
    <row r="847" spans="3:10" ht="12.75" customHeight="1">
      <c r="C847" s="191"/>
      <c r="E847" s="210"/>
      <c r="F847" s="210"/>
      <c r="G847" s="210"/>
      <c r="J847" s="147"/>
    </row>
    <row r="848" spans="3:10" ht="12.75" customHeight="1">
      <c r="C848" s="191"/>
      <c r="E848" s="210"/>
      <c r="F848" s="210"/>
      <c r="G848" s="210"/>
      <c r="J848" s="147"/>
    </row>
    <row r="849" spans="3:10" ht="12.75" customHeight="1">
      <c r="C849" s="191"/>
      <c r="E849" s="210"/>
      <c r="F849" s="210"/>
      <c r="G849" s="210"/>
      <c r="J849" s="147"/>
    </row>
    <row r="850" spans="3:10" ht="12.75" customHeight="1">
      <c r="C850" s="191"/>
      <c r="E850" s="210"/>
      <c r="F850" s="210"/>
      <c r="G850" s="210"/>
      <c r="J850" s="147"/>
    </row>
    <row r="851" spans="3:10" ht="12.75" customHeight="1">
      <c r="C851" s="191"/>
      <c r="E851" s="210"/>
      <c r="F851" s="210"/>
      <c r="G851" s="210"/>
      <c r="J851" s="147"/>
    </row>
    <row r="852" spans="3:10" ht="12.75" customHeight="1">
      <c r="C852" s="191"/>
      <c r="E852" s="210"/>
      <c r="F852" s="210"/>
      <c r="G852" s="210"/>
      <c r="J852" s="147"/>
    </row>
    <row r="853" spans="3:10" ht="12.75" customHeight="1">
      <c r="C853" s="191"/>
      <c r="E853" s="210"/>
      <c r="F853" s="210"/>
      <c r="G853" s="210"/>
      <c r="J853" s="147"/>
    </row>
    <row r="854" spans="3:10" ht="12.75" customHeight="1">
      <c r="C854" s="191"/>
      <c r="E854" s="210"/>
      <c r="F854" s="210"/>
      <c r="G854" s="210"/>
      <c r="J854" s="147"/>
    </row>
    <row r="855" spans="3:10" ht="12.75" customHeight="1">
      <c r="C855" s="191"/>
      <c r="E855" s="210"/>
      <c r="F855" s="210"/>
      <c r="G855" s="210"/>
      <c r="J855" s="147"/>
    </row>
    <row r="856" spans="3:10" ht="12.75" customHeight="1">
      <c r="C856" s="191"/>
      <c r="E856" s="210"/>
      <c r="F856" s="210"/>
      <c r="G856" s="210"/>
      <c r="J856" s="147"/>
    </row>
    <row r="857" spans="3:10" ht="12.75" customHeight="1">
      <c r="C857" s="191"/>
      <c r="E857" s="210"/>
      <c r="F857" s="210"/>
      <c r="G857" s="210"/>
      <c r="J857" s="147"/>
    </row>
    <row r="858" spans="3:10" ht="12.75" customHeight="1">
      <c r="C858" s="191"/>
      <c r="E858" s="210"/>
      <c r="F858" s="210"/>
      <c r="G858" s="210"/>
      <c r="J858" s="147"/>
    </row>
    <row r="859" spans="3:10" ht="12.75" customHeight="1">
      <c r="C859" s="191"/>
      <c r="E859" s="210"/>
      <c r="F859" s="210"/>
      <c r="G859" s="210"/>
      <c r="J859" s="147"/>
    </row>
    <row r="860" spans="3:10" ht="12.75" customHeight="1">
      <c r="C860" s="191"/>
      <c r="E860" s="210"/>
      <c r="F860" s="210"/>
      <c r="G860" s="210"/>
      <c r="J860" s="147"/>
    </row>
    <row r="861" spans="3:10" ht="12.75" customHeight="1">
      <c r="C861" s="191"/>
      <c r="E861" s="210"/>
      <c r="F861" s="210"/>
      <c r="G861" s="210"/>
      <c r="J861" s="147"/>
    </row>
    <row r="862" spans="3:10" ht="12.75" customHeight="1">
      <c r="C862" s="191"/>
      <c r="E862" s="210"/>
      <c r="F862" s="210"/>
      <c r="G862" s="210"/>
      <c r="J862" s="147"/>
    </row>
    <row r="863" spans="3:10" ht="12.75" customHeight="1">
      <c r="C863" s="191"/>
      <c r="E863" s="210"/>
      <c r="F863" s="210"/>
      <c r="G863" s="210"/>
      <c r="J863" s="147"/>
    </row>
    <row r="864" spans="3:10" ht="12.75" customHeight="1">
      <c r="C864" s="191"/>
      <c r="E864" s="210"/>
      <c r="F864" s="210"/>
      <c r="G864" s="210"/>
      <c r="J864" s="147"/>
    </row>
    <row r="865" spans="3:10" ht="12.75" customHeight="1">
      <c r="C865" s="191"/>
      <c r="E865" s="210"/>
      <c r="F865" s="210"/>
      <c r="G865" s="210"/>
      <c r="J865" s="147"/>
    </row>
    <row r="866" spans="3:10" ht="12.75" customHeight="1">
      <c r="C866" s="191"/>
      <c r="E866" s="210"/>
      <c r="F866" s="210"/>
      <c r="G866" s="210"/>
      <c r="J866" s="147"/>
    </row>
    <row r="867" spans="3:10" ht="12.75" customHeight="1">
      <c r="C867" s="191"/>
      <c r="E867" s="210"/>
      <c r="F867" s="210"/>
      <c r="G867" s="210"/>
      <c r="J867" s="147"/>
    </row>
    <row r="868" spans="3:10" ht="12.75" customHeight="1">
      <c r="C868" s="191"/>
      <c r="E868" s="210"/>
      <c r="F868" s="210"/>
      <c r="G868" s="210"/>
      <c r="J868" s="147"/>
    </row>
    <row r="869" spans="3:10" ht="12.75" customHeight="1">
      <c r="C869" s="191"/>
      <c r="E869" s="210"/>
      <c r="F869" s="210"/>
      <c r="G869" s="210"/>
      <c r="J869" s="147"/>
    </row>
    <row r="870" spans="3:10" ht="12.75" customHeight="1">
      <c r="C870" s="191"/>
      <c r="E870" s="210"/>
      <c r="F870" s="210"/>
      <c r="G870" s="210"/>
      <c r="J870" s="147"/>
    </row>
    <row r="871" spans="3:10" ht="12.75" customHeight="1">
      <c r="C871" s="191"/>
      <c r="E871" s="210"/>
      <c r="F871" s="210"/>
      <c r="G871" s="210"/>
      <c r="J871" s="147"/>
    </row>
    <row r="872" spans="3:10" ht="12.75" customHeight="1">
      <c r="C872" s="191"/>
      <c r="E872" s="210"/>
      <c r="F872" s="210"/>
      <c r="G872" s="210"/>
      <c r="J872" s="147"/>
    </row>
    <row r="873" spans="3:10" ht="12.75" customHeight="1">
      <c r="C873" s="191"/>
      <c r="E873" s="210"/>
      <c r="F873" s="210"/>
      <c r="G873" s="210"/>
      <c r="J873" s="147"/>
    </row>
    <row r="874" spans="3:10" ht="12.75" customHeight="1">
      <c r="C874" s="191"/>
      <c r="E874" s="210"/>
      <c r="F874" s="210"/>
      <c r="G874" s="210"/>
      <c r="J874" s="147"/>
    </row>
    <row r="875" spans="3:10" ht="12.75" customHeight="1">
      <c r="C875" s="191"/>
      <c r="E875" s="210"/>
      <c r="F875" s="210"/>
      <c r="G875" s="210"/>
      <c r="J875" s="147"/>
    </row>
    <row r="876" spans="3:10" ht="12.75" customHeight="1">
      <c r="C876" s="191"/>
      <c r="E876" s="210"/>
      <c r="F876" s="210"/>
      <c r="G876" s="210"/>
      <c r="J876" s="147"/>
    </row>
    <row r="877" spans="3:10" ht="12.75" customHeight="1">
      <c r="C877" s="191"/>
      <c r="E877" s="210"/>
      <c r="F877" s="210"/>
      <c r="G877" s="210"/>
      <c r="J877" s="147"/>
    </row>
    <row r="878" spans="3:10" ht="12.75" customHeight="1">
      <c r="C878" s="191"/>
      <c r="E878" s="210"/>
      <c r="F878" s="210"/>
      <c r="G878" s="210"/>
      <c r="J878" s="147"/>
    </row>
    <row r="879" spans="3:10" ht="12.75" customHeight="1">
      <c r="C879" s="191"/>
      <c r="E879" s="210"/>
      <c r="F879" s="210"/>
      <c r="G879" s="210"/>
      <c r="J879" s="147"/>
    </row>
    <row r="880" spans="3:10" ht="12.75" customHeight="1">
      <c r="C880" s="191"/>
      <c r="E880" s="210"/>
      <c r="F880" s="210"/>
      <c r="G880" s="210"/>
      <c r="J880" s="147"/>
    </row>
    <row r="881" spans="3:10" ht="12.75" customHeight="1">
      <c r="C881" s="191"/>
      <c r="E881" s="210"/>
      <c r="F881" s="210"/>
      <c r="G881" s="210"/>
      <c r="J881" s="147"/>
    </row>
    <row r="882" spans="3:10" ht="12.75" customHeight="1">
      <c r="C882" s="191"/>
      <c r="E882" s="210"/>
      <c r="F882" s="210"/>
      <c r="G882" s="210"/>
      <c r="J882" s="147"/>
    </row>
    <row r="883" spans="3:10" ht="12.75" customHeight="1">
      <c r="C883" s="191"/>
      <c r="E883" s="210"/>
      <c r="F883" s="210"/>
      <c r="G883" s="210"/>
      <c r="J883" s="147"/>
    </row>
    <row r="884" spans="3:10" ht="12.75" customHeight="1">
      <c r="C884" s="191"/>
      <c r="E884" s="210"/>
      <c r="F884" s="210"/>
      <c r="G884" s="210"/>
      <c r="J884" s="147"/>
    </row>
    <row r="885" spans="3:10" ht="12.75" customHeight="1">
      <c r="C885" s="191"/>
      <c r="E885" s="210"/>
      <c r="F885" s="210"/>
      <c r="G885" s="210"/>
      <c r="J885" s="147"/>
    </row>
    <row r="886" spans="3:10" ht="12.75" customHeight="1">
      <c r="C886" s="191"/>
      <c r="E886" s="210"/>
      <c r="F886" s="210"/>
      <c r="G886" s="210"/>
      <c r="J886" s="147"/>
    </row>
    <row r="887" spans="3:10" ht="12.75" customHeight="1">
      <c r="C887" s="191"/>
      <c r="E887" s="210"/>
      <c r="F887" s="210"/>
      <c r="G887" s="210"/>
      <c r="J887" s="147"/>
    </row>
    <row r="888" spans="3:10" ht="12.75" customHeight="1">
      <c r="C888" s="191"/>
      <c r="E888" s="210"/>
      <c r="F888" s="210"/>
      <c r="G888" s="210"/>
      <c r="J888" s="147"/>
    </row>
    <row r="889" spans="3:10" ht="12.75" customHeight="1">
      <c r="C889" s="191"/>
      <c r="E889" s="210"/>
      <c r="F889" s="210"/>
      <c r="G889" s="210"/>
      <c r="J889" s="147"/>
    </row>
    <row r="890" spans="3:10" ht="12.75" customHeight="1">
      <c r="C890" s="191"/>
      <c r="E890" s="210"/>
      <c r="F890" s="210"/>
      <c r="G890" s="210"/>
      <c r="J890" s="147"/>
    </row>
    <row r="891" spans="3:10" ht="12.75" customHeight="1">
      <c r="C891" s="191"/>
      <c r="E891" s="210"/>
      <c r="F891" s="210"/>
      <c r="G891" s="210"/>
      <c r="J891" s="147"/>
    </row>
    <row r="892" spans="3:10" ht="12.75" customHeight="1">
      <c r="C892" s="191"/>
      <c r="E892" s="210"/>
      <c r="F892" s="210"/>
      <c r="G892" s="210"/>
      <c r="J892" s="147"/>
    </row>
    <row r="893" spans="3:10" ht="12.75" customHeight="1">
      <c r="C893" s="191"/>
      <c r="E893" s="210"/>
      <c r="F893" s="210"/>
      <c r="G893" s="210"/>
      <c r="J893" s="147"/>
    </row>
    <row r="894" spans="3:10" ht="12.75" customHeight="1">
      <c r="C894" s="191"/>
      <c r="E894" s="210"/>
      <c r="F894" s="210"/>
      <c r="G894" s="210"/>
      <c r="J894" s="147"/>
    </row>
    <row r="895" spans="3:10" ht="12.75" customHeight="1">
      <c r="C895" s="191"/>
      <c r="E895" s="210"/>
      <c r="F895" s="210"/>
      <c r="G895" s="210"/>
      <c r="J895" s="147"/>
    </row>
    <row r="896" spans="3:10" ht="12.75" customHeight="1">
      <c r="C896" s="191"/>
      <c r="E896" s="210"/>
      <c r="F896" s="210"/>
      <c r="G896" s="210"/>
      <c r="J896" s="147"/>
    </row>
    <row r="897" spans="3:10" ht="12.75" customHeight="1">
      <c r="C897" s="191"/>
      <c r="E897" s="210"/>
      <c r="F897" s="210"/>
      <c r="G897" s="210"/>
      <c r="J897" s="147"/>
    </row>
    <row r="898" spans="3:10" ht="12.75" customHeight="1">
      <c r="C898" s="191"/>
      <c r="E898" s="210"/>
      <c r="F898" s="210"/>
      <c r="G898" s="210"/>
      <c r="J898" s="147"/>
    </row>
    <row r="899" spans="3:10" ht="12.75" customHeight="1">
      <c r="C899" s="191"/>
      <c r="E899" s="210"/>
      <c r="F899" s="210"/>
      <c r="G899" s="210"/>
      <c r="J899" s="147"/>
    </row>
    <row r="900" spans="3:10" ht="12.75" customHeight="1">
      <c r="C900" s="191"/>
      <c r="E900" s="210"/>
      <c r="F900" s="210"/>
      <c r="G900" s="210"/>
      <c r="J900" s="147"/>
    </row>
    <row r="901" spans="3:10" ht="12.75" customHeight="1">
      <c r="C901" s="191"/>
      <c r="E901" s="210"/>
      <c r="F901" s="210"/>
      <c r="G901" s="210"/>
      <c r="J901" s="147"/>
    </row>
    <row r="902" spans="3:10" ht="12.75" customHeight="1">
      <c r="C902" s="191"/>
      <c r="E902" s="210"/>
      <c r="F902" s="210"/>
      <c r="G902" s="210"/>
      <c r="J902" s="147"/>
    </row>
    <row r="903" spans="3:10" ht="12.75" customHeight="1">
      <c r="C903" s="191"/>
      <c r="E903" s="210"/>
      <c r="F903" s="210"/>
      <c r="G903" s="210"/>
      <c r="J903" s="147"/>
    </row>
    <row r="904" spans="3:10" ht="12.75" customHeight="1">
      <c r="C904" s="191"/>
      <c r="E904" s="210"/>
      <c r="F904" s="210"/>
      <c r="G904" s="210"/>
      <c r="J904" s="147"/>
    </row>
    <row r="905" spans="3:10" ht="12.75" customHeight="1">
      <c r="C905" s="191"/>
      <c r="E905" s="210"/>
      <c r="F905" s="210"/>
      <c r="G905" s="210"/>
      <c r="J905" s="147"/>
    </row>
    <row r="906" spans="3:10" ht="12.75" customHeight="1">
      <c r="C906" s="191"/>
      <c r="E906" s="210"/>
      <c r="F906" s="210"/>
      <c r="G906" s="210"/>
      <c r="J906" s="147"/>
    </row>
    <row r="907" spans="3:10" ht="12.75" customHeight="1">
      <c r="C907" s="191"/>
      <c r="E907" s="210"/>
      <c r="F907" s="210"/>
      <c r="G907" s="210"/>
      <c r="J907" s="147"/>
    </row>
    <row r="908" spans="3:10" ht="12.75" customHeight="1">
      <c r="C908" s="191"/>
      <c r="E908" s="210"/>
      <c r="F908" s="210"/>
      <c r="G908" s="210"/>
      <c r="J908" s="147"/>
    </row>
    <row r="909" spans="3:10" ht="12.75" customHeight="1">
      <c r="C909" s="191"/>
      <c r="E909" s="210"/>
      <c r="F909" s="210"/>
      <c r="G909" s="210"/>
      <c r="J909" s="147"/>
    </row>
    <row r="910" spans="3:10" ht="12.75" customHeight="1">
      <c r="C910" s="191"/>
      <c r="E910" s="210"/>
      <c r="F910" s="210"/>
      <c r="G910" s="210"/>
      <c r="J910" s="147"/>
    </row>
    <row r="911" spans="3:10" ht="12.75" customHeight="1">
      <c r="C911" s="191"/>
      <c r="E911" s="210"/>
      <c r="F911" s="210"/>
      <c r="G911" s="210"/>
      <c r="J911" s="147"/>
    </row>
    <row r="912" spans="3:10" ht="12.75" customHeight="1">
      <c r="C912" s="191"/>
      <c r="E912" s="210"/>
      <c r="F912" s="210"/>
      <c r="G912" s="210"/>
      <c r="J912" s="147"/>
    </row>
    <row r="913" spans="3:10" ht="12.75" customHeight="1">
      <c r="C913" s="191"/>
      <c r="E913" s="210"/>
      <c r="F913" s="210"/>
      <c r="G913" s="210"/>
      <c r="J913" s="147"/>
    </row>
    <row r="914" spans="3:10" ht="12.75" customHeight="1">
      <c r="C914" s="191"/>
      <c r="E914" s="210"/>
      <c r="F914" s="210"/>
      <c r="G914" s="210"/>
      <c r="J914" s="147"/>
    </row>
    <row r="915" spans="3:10" ht="12.75" customHeight="1">
      <c r="C915" s="191"/>
      <c r="E915" s="210"/>
      <c r="F915" s="210"/>
      <c r="G915" s="210"/>
      <c r="J915" s="147"/>
    </row>
    <row r="916" spans="3:10" ht="12.75" customHeight="1">
      <c r="C916" s="191"/>
      <c r="E916" s="210"/>
      <c r="F916" s="210"/>
      <c r="G916" s="210"/>
      <c r="J916" s="147"/>
    </row>
    <row r="917" spans="3:10" ht="12.75" customHeight="1">
      <c r="C917" s="191"/>
      <c r="E917" s="210"/>
      <c r="F917" s="210"/>
      <c r="G917" s="210"/>
      <c r="J917" s="147"/>
    </row>
    <row r="918" spans="3:10" ht="12.75" customHeight="1">
      <c r="C918" s="191"/>
      <c r="E918" s="210"/>
      <c r="F918" s="210"/>
      <c r="G918" s="210"/>
      <c r="J918" s="147"/>
    </row>
    <row r="919" spans="3:10" ht="12.75" customHeight="1">
      <c r="C919" s="191"/>
      <c r="E919" s="210"/>
      <c r="F919" s="210"/>
      <c r="G919" s="210"/>
      <c r="J919" s="147"/>
    </row>
    <row r="920" spans="3:10" ht="12.75" customHeight="1">
      <c r="C920" s="191"/>
      <c r="E920" s="210"/>
      <c r="F920" s="210"/>
      <c r="G920" s="210"/>
      <c r="J920" s="147"/>
    </row>
    <row r="921" spans="3:10" ht="12.75" customHeight="1">
      <c r="C921" s="191"/>
      <c r="E921" s="210"/>
      <c r="F921" s="210"/>
      <c r="G921" s="210"/>
      <c r="J921" s="147"/>
    </row>
    <row r="922" spans="3:10" ht="12.75" customHeight="1">
      <c r="C922" s="191"/>
      <c r="E922" s="210"/>
      <c r="F922" s="210"/>
      <c r="G922" s="210"/>
      <c r="J922" s="147"/>
    </row>
    <row r="923" spans="3:10" ht="12.75" customHeight="1">
      <c r="C923" s="191"/>
      <c r="E923" s="210"/>
      <c r="F923" s="210"/>
      <c r="G923" s="210"/>
      <c r="J923" s="147"/>
    </row>
    <row r="924" spans="3:10" ht="12.75" customHeight="1">
      <c r="C924" s="191"/>
      <c r="E924" s="210"/>
      <c r="F924" s="210"/>
      <c r="G924" s="210"/>
      <c r="J924" s="147"/>
    </row>
    <row r="925" spans="3:10" ht="12.75" customHeight="1">
      <c r="C925" s="191"/>
      <c r="E925" s="210"/>
      <c r="F925" s="210"/>
      <c r="G925" s="210"/>
      <c r="J925" s="147"/>
    </row>
    <row r="926" spans="3:10" ht="12.75" customHeight="1">
      <c r="C926" s="191"/>
      <c r="E926" s="210"/>
      <c r="F926" s="210"/>
      <c r="G926" s="210"/>
      <c r="J926" s="147"/>
    </row>
    <row r="927" spans="3:10" ht="12.75" customHeight="1">
      <c r="C927" s="191"/>
      <c r="E927" s="210"/>
      <c r="F927" s="210"/>
      <c r="G927" s="210"/>
      <c r="J927" s="147"/>
    </row>
    <row r="928" spans="3:10" ht="12.75" customHeight="1">
      <c r="C928" s="191"/>
      <c r="E928" s="210"/>
      <c r="F928" s="210"/>
      <c r="G928" s="210"/>
      <c r="J928" s="147"/>
    </row>
    <row r="929" spans="3:10" ht="12.75" customHeight="1">
      <c r="C929" s="191"/>
      <c r="E929" s="210"/>
      <c r="F929" s="210"/>
      <c r="G929" s="210"/>
      <c r="J929" s="147"/>
    </row>
    <row r="930" spans="3:10" ht="12.75" customHeight="1">
      <c r="C930" s="191"/>
      <c r="E930" s="210"/>
      <c r="F930" s="210"/>
      <c r="G930" s="210"/>
      <c r="J930" s="147"/>
    </row>
    <row r="931" spans="3:10" ht="12.75" customHeight="1">
      <c r="C931" s="191"/>
      <c r="E931" s="210"/>
      <c r="F931" s="210"/>
      <c r="G931" s="210"/>
      <c r="J931" s="147"/>
    </row>
    <row r="932" spans="3:10" ht="12.75" customHeight="1">
      <c r="C932" s="191"/>
      <c r="E932" s="210"/>
      <c r="F932" s="210"/>
      <c r="G932" s="210"/>
      <c r="J932" s="147"/>
    </row>
    <row r="933" spans="3:10" ht="12.75" customHeight="1">
      <c r="C933" s="191"/>
      <c r="E933" s="210"/>
      <c r="F933" s="210"/>
      <c r="G933" s="210"/>
      <c r="J933" s="147"/>
    </row>
    <row r="934" spans="3:10" ht="12.75" customHeight="1">
      <c r="C934" s="191"/>
      <c r="E934" s="210"/>
      <c r="F934" s="210"/>
      <c r="G934" s="210"/>
      <c r="J934" s="147"/>
    </row>
    <row r="935" spans="3:10" ht="12.75" customHeight="1">
      <c r="C935" s="191"/>
      <c r="E935" s="210"/>
      <c r="F935" s="210"/>
      <c r="G935" s="210"/>
      <c r="J935" s="147"/>
    </row>
    <row r="936" spans="3:10" ht="12.75" customHeight="1">
      <c r="C936" s="191"/>
      <c r="E936" s="210"/>
      <c r="F936" s="210"/>
      <c r="G936" s="210"/>
      <c r="J936" s="147"/>
    </row>
    <row r="937" spans="3:10" ht="12.75" customHeight="1">
      <c r="C937" s="191"/>
      <c r="E937" s="210"/>
      <c r="F937" s="210"/>
      <c r="G937" s="210"/>
      <c r="J937" s="147"/>
    </row>
    <row r="938" spans="3:10" ht="12.75" customHeight="1">
      <c r="C938" s="191"/>
      <c r="E938" s="210"/>
      <c r="F938" s="210"/>
      <c r="G938" s="210"/>
      <c r="J938" s="147"/>
    </row>
    <row r="939" spans="3:10" ht="12.75" customHeight="1">
      <c r="C939" s="191"/>
      <c r="E939" s="210"/>
      <c r="F939" s="210"/>
      <c r="G939" s="210"/>
      <c r="J939" s="147"/>
    </row>
    <row r="940" spans="3:10" ht="12.75" customHeight="1">
      <c r="C940" s="191"/>
      <c r="E940" s="210"/>
      <c r="F940" s="210"/>
      <c r="G940" s="210"/>
      <c r="J940" s="147"/>
    </row>
    <row r="941" spans="3:10" ht="12.75" customHeight="1">
      <c r="C941" s="191"/>
      <c r="E941" s="210"/>
      <c r="F941" s="210"/>
      <c r="G941" s="210"/>
      <c r="J941" s="147"/>
    </row>
    <row r="942" spans="3:10" ht="12.75" customHeight="1">
      <c r="C942" s="191"/>
      <c r="E942" s="210"/>
      <c r="F942" s="210"/>
      <c r="G942" s="210"/>
      <c r="J942" s="147"/>
    </row>
    <row r="943" spans="3:10" ht="12.75" customHeight="1">
      <c r="C943" s="191"/>
      <c r="E943" s="210"/>
      <c r="F943" s="210"/>
      <c r="G943" s="210"/>
      <c r="J943" s="147"/>
    </row>
    <row r="944" spans="3:10" ht="12.75" customHeight="1">
      <c r="C944" s="191"/>
      <c r="E944" s="210"/>
      <c r="F944" s="210"/>
      <c r="G944" s="210"/>
      <c r="J944" s="147"/>
    </row>
    <row r="945" spans="3:10" ht="12.75" customHeight="1">
      <c r="C945" s="191"/>
      <c r="E945" s="210"/>
      <c r="F945" s="210"/>
      <c r="G945" s="210"/>
      <c r="J945" s="147"/>
    </row>
    <row r="946" spans="3:10" ht="12.75" customHeight="1">
      <c r="C946" s="191"/>
      <c r="E946" s="210"/>
      <c r="F946" s="210"/>
      <c r="G946" s="210"/>
      <c r="J946" s="147"/>
    </row>
    <row r="947" spans="3:10" ht="12.75" customHeight="1">
      <c r="C947" s="191"/>
      <c r="E947" s="210"/>
      <c r="F947" s="210"/>
      <c r="G947" s="210"/>
      <c r="J947" s="147"/>
    </row>
    <row r="948" spans="3:10" ht="12.75" customHeight="1">
      <c r="C948" s="191"/>
      <c r="E948" s="210"/>
      <c r="F948" s="210"/>
      <c r="G948" s="210"/>
      <c r="J948" s="147"/>
    </row>
    <row r="949" spans="3:10" ht="12.75" customHeight="1">
      <c r="C949" s="191"/>
      <c r="E949" s="210"/>
      <c r="F949" s="210"/>
      <c r="G949" s="210"/>
      <c r="J949" s="147"/>
    </row>
    <row r="950" spans="3:10" ht="12.75" customHeight="1">
      <c r="C950" s="191"/>
      <c r="E950" s="210"/>
      <c r="F950" s="210"/>
      <c r="G950" s="210"/>
      <c r="J950" s="147"/>
    </row>
    <row r="951" spans="3:10" ht="12.75" customHeight="1">
      <c r="C951" s="191"/>
      <c r="E951" s="210"/>
      <c r="F951" s="210"/>
      <c r="G951" s="210"/>
      <c r="J951" s="147"/>
    </row>
    <row r="952" spans="3:10" ht="12.75" customHeight="1">
      <c r="C952" s="191"/>
      <c r="E952" s="210"/>
      <c r="F952" s="210"/>
      <c r="G952" s="210"/>
      <c r="J952" s="147"/>
    </row>
    <row r="953" spans="3:10" ht="12.75" customHeight="1">
      <c r="C953" s="191"/>
      <c r="E953" s="210"/>
      <c r="F953" s="210"/>
      <c r="G953" s="210"/>
      <c r="J953" s="147"/>
    </row>
    <row r="954" spans="3:10" ht="12.75" customHeight="1">
      <c r="C954" s="191"/>
      <c r="E954" s="210"/>
      <c r="F954" s="210"/>
      <c r="G954" s="210"/>
      <c r="J954" s="147"/>
    </row>
    <row r="955" spans="3:10" ht="12.75" customHeight="1">
      <c r="C955" s="191"/>
      <c r="E955" s="210"/>
      <c r="F955" s="210"/>
      <c r="G955" s="210"/>
      <c r="J955" s="147"/>
    </row>
    <row r="956" spans="3:10" ht="12.75" customHeight="1">
      <c r="C956" s="191"/>
      <c r="E956" s="210"/>
      <c r="F956" s="210"/>
      <c r="G956" s="210"/>
      <c r="J956" s="147"/>
    </row>
    <row r="957" spans="3:10" ht="12.75" customHeight="1">
      <c r="C957" s="191"/>
      <c r="E957" s="210"/>
      <c r="F957" s="210"/>
      <c r="G957" s="210"/>
      <c r="J957" s="147"/>
    </row>
    <row r="958" spans="3:10" ht="12.75" customHeight="1">
      <c r="C958" s="191"/>
      <c r="E958" s="210"/>
      <c r="F958" s="210"/>
      <c r="G958" s="210"/>
      <c r="J958" s="147"/>
    </row>
    <row r="959" spans="3:10" ht="12.75" customHeight="1">
      <c r="C959" s="191"/>
      <c r="E959" s="210"/>
      <c r="F959" s="210"/>
      <c r="G959" s="210"/>
      <c r="J959" s="147"/>
    </row>
    <row r="960" spans="3:10" ht="12.75" customHeight="1">
      <c r="C960" s="191"/>
      <c r="E960" s="210"/>
      <c r="F960" s="210"/>
      <c r="G960" s="210"/>
      <c r="J960" s="147"/>
    </row>
    <row r="961" spans="3:10" ht="12.75" customHeight="1">
      <c r="C961" s="191"/>
      <c r="E961" s="210"/>
      <c r="F961" s="210"/>
      <c r="G961" s="210"/>
      <c r="J961" s="147"/>
    </row>
    <row r="962" spans="3:10" ht="12.75" customHeight="1">
      <c r="C962" s="191"/>
      <c r="E962" s="210"/>
      <c r="F962" s="210"/>
      <c r="G962" s="210"/>
      <c r="J962" s="147"/>
    </row>
    <row r="963" spans="3:10" ht="12.75" customHeight="1">
      <c r="C963" s="191"/>
      <c r="E963" s="210"/>
      <c r="F963" s="210"/>
      <c r="G963" s="210"/>
      <c r="J963" s="147"/>
    </row>
    <row r="964" spans="3:10" ht="12.75" customHeight="1">
      <c r="C964" s="191"/>
      <c r="E964" s="210"/>
      <c r="F964" s="210"/>
      <c r="G964" s="210"/>
      <c r="J964" s="147"/>
    </row>
    <row r="965" spans="3:10" ht="12.75" customHeight="1">
      <c r="C965" s="191"/>
      <c r="E965" s="210"/>
      <c r="F965" s="210"/>
      <c r="G965" s="210"/>
      <c r="J965" s="147"/>
    </row>
    <row r="966" spans="3:10" ht="12.75" customHeight="1">
      <c r="C966" s="191"/>
      <c r="E966" s="210"/>
      <c r="F966" s="210"/>
      <c r="G966" s="210"/>
      <c r="J966" s="147"/>
    </row>
    <row r="967" spans="3:10" ht="12.75" customHeight="1">
      <c r="C967" s="191"/>
      <c r="E967" s="210"/>
      <c r="F967" s="210"/>
      <c r="G967" s="210"/>
      <c r="J967" s="147"/>
    </row>
    <row r="968" spans="3:10" ht="12.75" customHeight="1">
      <c r="C968" s="191"/>
      <c r="E968" s="210"/>
      <c r="F968" s="210"/>
      <c r="G968" s="210"/>
      <c r="J968" s="147"/>
    </row>
    <row r="969" spans="3:10" ht="12.75" customHeight="1">
      <c r="C969" s="191"/>
      <c r="E969" s="210"/>
      <c r="F969" s="210"/>
      <c r="G969" s="210"/>
      <c r="J969" s="147"/>
    </row>
    <row r="970" spans="3:10" ht="12.75" customHeight="1">
      <c r="C970" s="191"/>
      <c r="E970" s="210"/>
      <c r="F970" s="210"/>
      <c r="G970" s="210"/>
      <c r="J970" s="147"/>
    </row>
    <row r="971" spans="3:10" ht="12.75" customHeight="1">
      <c r="C971" s="191"/>
      <c r="E971" s="210"/>
      <c r="F971" s="210"/>
      <c r="G971" s="210"/>
      <c r="J971" s="147"/>
    </row>
    <row r="972" spans="3:10" ht="12.75" customHeight="1">
      <c r="C972" s="191"/>
      <c r="E972" s="210"/>
      <c r="F972" s="210"/>
      <c r="G972" s="210"/>
      <c r="J972" s="147"/>
    </row>
    <row r="973" spans="3:10" ht="12.75" customHeight="1">
      <c r="C973" s="191"/>
      <c r="E973" s="210"/>
      <c r="F973" s="210"/>
      <c r="G973" s="210"/>
      <c r="J973" s="147"/>
    </row>
    <row r="974" spans="3:10" ht="12.75" customHeight="1">
      <c r="C974" s="191"/>
      <c r="E974" s="210"/>
      <c r="F974" s="210"/>
      <c r="G974" s="210"/>
      <c r="J974" s="147"/>
    </row>
    <row r="975" spans="3:10" ht="12.75" customHeight="1">
      <c r="C975" s="191"/>
      <c r="E975" s="210"/>
      <c r="F975" s="210"/>
      <c r="G975" s="210"/>
      <c r="J975" s="147"/>
    </row>
    <row r="976" spans="3:10" ht="12.75" customHeight="1">
      <c r="C976" s="191"/>
      <c r="E976" s="210"/>
      <c r="F976" s="210"/>
      <c r="G976" s="210"/>
      <c r="J976" s="147"/>
    </row>
    <row r="977" spans="3:10" ht="12.75" customHeight="1">
      <c r="C977" s="191"/>
      <c r="E977" s="210"/>
      <c r="F977" s="210"/>
      <c r="G977" s="210"/>
      <c r="J977" s="147"/>
    </row>
    <row r="978" spans="3:10" ht="12.75" customHeight="1">
      <c r="C978" s="191"/>
      <c r="E978" s="210"/>
      <c r="F978" s="210"/>
      <c r="G978" s="210"/>
      <c r="J978" s="147"/>
    </row>
    <row r="979" spans="3:10" ht="12.75" customHeight="1">
      <c r="C979" s="191"/>
      <c r="E979" s="210"/>
      <c r="F979" s="210"/>
      <c r="G979" s="210"/>
      <c r="J979" s="147"/>
    </row>
    <row r="980" spans="3:10" ht="12.75" customHeight="1">
      <c r="C980" s="191"/>
      <c r="E980" s="210"/>
      <c r="F980" s="210"/>
      <c r="G980" s="210"/>
      <c r="J980" s="147"/>
    </row>
    <row r="981" spans="3:10" ht="12.75" customHeight="1">
      <c r="C981" s="191"/>
      <c r="E981" s="210"/>
      <c r="F981" s="210"/>
      <c r="G981" s="210"/>
      <c r="J981" s="147"/>
    </row>
    <row r="982" spans="3:10" ht="12.75" customHeight="1">
      <c r="C982" s="191"/>
      <c r="E982" s="210"/>
      <c r="F982" s="210"/>
      <c r="G982" s="210"/>
      <c r="J982" s="147"/>
    </row>
    <row r="983" spans="3:10" ht="12.75" customHeight="1">
      <c r="C983" s="191"/>
      <c r="E983" s="210"/>
      <c r="F983" s="210"/>
      <c r="G983" s="210"/>
      <c r="J983" s="147"/>
    </row>
    <row r="984" spans="3:10" ht="12.75" customHeight="1">
      <c r="C984" s="191"/>
      <c r="E984" s="210"/>
      <c r="F984" s="210"/>
      <c r="G984" s="210"/>
      <c r="J984" s="147"/>
    </row>
    <row r="985" spans="3:10" ht="12.75" customHeight="1">
      <c r="C985" s="191"/>
      <c r="E985" s="210"/>
      <c r="F985" s="210"/>
      <c r="G985" s="210"/>
      <c r="J985" s="147"/>
    </row>
    <row r="986" spans="3:10" ht="12.75" customHeight="1">
      <c r="C986" s="191"/>
      <c r="E986" s="210"/>
      <c r="F986" s="210"/>
      <c r="G986" s="210"/>
      <c r="J986" s="147"/>
    </row>
    <row r="987" spans="3:10" ht="12.75" customHeight="1">
      <c r="C987" s="191"/>
      <c r="E987" s="210"/>
      <c r="F987" s="210"/>
      <c r="G987" s="210"/>
      <c r="J987" s="147"/>
    </row>
    <row r="988" spans="3:10" ht="12.75" customHeight="1">
      <c r="C988" s="191"/>
      <c r="E988" s="210"/>
      <c r="F988" s="210"/>
      <c r="G988" s="210"/>
      <c r="J988" s="147"/>
    </row>
    <row r="989" spans="3:10" ht="12.75" customHeight="1">
      <c r="C989" s="191"/>
      <c r="E989" s="210"/>
      <c r="F989" s="210"/>
      <c r="G989" s="210"/>
      <c r="J989" s="147"/>
    </row>
    <row r="990" spans="3:10" ht="12.75" customHeight="1">
      <c r="C990" s="191"/>
      <c r="E990" s="210"/>
      <c r="F990" s="210"/>
      <c r="G990" s="210"/>
      <c r="J990" s="147"/>
    </row>
    <row r="991" spans="3:10" ht="12.75" customHeight="1">
      <c r="C991" s="191"/>
      <c r="E991" s="210"/>
      <c r="F991" s="210"/>
      <c r="G991" s="210"/>
      <c r="J991" s="147"/>
    </row>
    <row r="992" spans="3:10" ht="12.75" customHeight="1">
      <c r="C992" s="191"/>
      <c r="E992" s="210"/>
      <c r="F992" s="210"/>
      <c r="G992" s="210"/>
      <c r="J992" s="147"/>
    </row>
    <row r="993" spans="3:10" ht="12.75" customHeight="1">
      <c r="C993" s="191"/>
      <c r="E993" s="210"/>
      <c r="F993" s="210"/>
      <c r="G993" s="210"/>
      <c r="J993" s="147"/>
    </row>
    <row r="994" spans="3:10" ht="12.75" customHeight="1">
      <c r="C994" s="191"/>
      <c r="E994" s="210"/>
      <c r="F994" s="210"/>
      <c r="G994" s="210"/>
      <c r="J994" s="147"/>
    </row>
    <row r="995" spans="3:10" ht="12.75" customHeight="1">
      <c r="C995" s="191"/>
      <c r="E995" s="210"/>
      <c r="F995" s="210"/>
      <c r="G995" s="210"/>
      <c r="J995" s="147"/>
    </row>
    <row r="996" spans="3:10" ht="12.75" customHeight="1">
      <c r="C996" s="191"/>
      <c r="E996" s="210"/>
      <c r="F996" s="210"/>
      <c r="G996" s="210"/>
      <c r="J996" s="147"/>
    </row>
    <row r="997" spans="3:10" ht="12.75" customHeight="1">
      <c r="C997" s="191"/>
      <c r="E997" s="210"/>
      <c r="F997" s="210"/>
      <c r="G997" s="210"/>
      <c r="J997" s="147"/>
    </row>
    <row r="998" spans="3:10" ht="12.75" customHeight="1">
      <c r="C998" s="191"/>
      <c r="E998" s="210"/>
      <c r="F998" s="210"/>
      <c r="G998" s="210"/>
      <c r="J998" s="147"/>
    </row>
    <row r="999" spans="3:10" ht="12.75" customHeight="1">
      <c r="C999" s="191"/>
      <c r="E999" s="210"/>
      <c r="F999" s="210"/>
      <c r="G999" s="210"/>
      <c r="J999" s="147"/>
    </row>
    <row r="1000" spans="3:10" ht="12.75" customHeight="1">
      <c r="C1000" s="191"/>
      <c r="E1000" s="210"/>
      <c r="F1000" s="210"/>
      <c r="G1000" s="210"/>
      <c r="J1000" s="147"/>
    </row>
  </sheetData>
  <mergeCells count="4">
    <mergeCell ref="D2:H2"/>
    <mergeCell ref="A5:J5"/>
    <mergeCell ref="A13:J13"/>
    <mergeCell ref="A15:J15"/>
  </mergeCells>
  <hyperlinks>
    <hyperlink ref="D8" r:id="rId1" location="polycard_client=search-desktop&amp;search_layout=grid&amp;position=5&amp;type=product&amp;tracking_id=d310df42-6d23-4042-be54-551fd42f7c86&amp;wid=MCO3713302828&amp;sid=search" xr:uid="{00000000-0004-0000-1100-000000000000}"/>
    <hyperlink ref="D9" r:id="rId2" location="polycard_client=recommendations_pdp-v2p&amp;reco_backend=ranker_retrieval_system_org&amp;reco_model=coldstart_low_exposition&amp;reco_client=pdp-v2p&amp;reco_item_pos=0&amp;reco_backend_type=low_level&amp;reco_id=ae481b39-9ffb-4579-8852-0f71b1bbf312&amp;wid=MCO2799695908&amp;sid=recos" xr:uid="{00000000-0004-0000-1100-000001000000}"/>
    <hyperlink ref="D10" r:id="rId3" xr:uid="{00000000-0004-0000-1100-000002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9" width="19.109375" customWidth="1"/>
    <col min="10" max="10" width="34.77734375" customWidth="1"/>
    <col min="11" max="26" width="10" customWidth="1"/>
  </cols>
  <sheetData>
    <row r="1" spans="1:26" ht="12.75" customHeight="1">
      <c r="C1" s="191"/>
      <c r="D1" s="191"/>
      <c r="E1" s="221"/>
      <c r="F1" s="210"/>
      <c r="G1" s="210"/>
      <c r="H1" s="210"/>
      <c r="J1" s="147"/>
    </row>
    <row r="2" spans="1:26" ht="27.75" customHeight="1">
      <c r="C2" s="191"/>
      <c r="D2" s="319" t="s">
        <v>116</v>
      </c>
      <c r="E2" s="310"/>
      <c r="F2" s="310"/>
      <c r="G2" s="310"/>
      <c r="H2" s="310"/>
      <c r="J2" s="147"/>
    </row>
    <row r="3" spans="1:26" ht="12.75" customHeight="1">
      <c r="C3" s="191"/>
      <c r="D3" s="191"/>
      <c r="E3" s="221"/>
      <c r="F3" s="210"/>
      <c r="G3" s="210"/>
      <c r="H3" s="210"/>
      <c r="J3" s="147"/>
    </row>
    <row r="4" spans="1:26" ht="12.75" customHeight="1">
      <c r="C4" s="191"/>
      <c r="D4" s="191"/>
      <c r="E4" s="221"/>
      <c r="F4" s="210"/>
      <c r="G4" s="210"/>
      <c r="H4" s="210"/>
      <c r="J4" s="147"/>
    </row>
    <row r="5" spans="1:26" ht="43.5" customHeight="1">
      <c r="A5" s="320">
        <v>0</v>
      </c>
      <c r="B5" s="297"/>
      <c r="C5" s="297"/>
      <c r="D5" s="297"/>
      <c r="E5" s="297"/>
      <c r="F5" s="297"/>
      <c r="G5" s="297"/>
      <c r="H5" s="297"/>
      <c r="I5" s="297"/>
      <c r="J5" s="298"/>
    </row>
    <row r="6" spans="1:26" ht="15.75" customHeight="1">
      <c r="C6" s="191"/>
      <c r="D6" s="191"/>
      <c r="E6" s="221"/>
      <c r="F6" s="210"/>
      <c r="G6" s="210"/>
      <c r="H6" s="210"/>
      <c r="J6" s="147"/>
    </row>
    <row r="7" spans="1:26" ht="75.75" customHeight="1">
      <c r="A7" s="81" t="s">
        <v>118</v>
      </c>
      <c r="B7" s="106" t="s">
        <v>425</v>
      </c>
      <c r="C7" s="192" t="s">
        <v>426</v>
      </c>
      <c r="D7" s="222" t="s">
        <v>427</v>
      </c>
      <c r="E7" s="223" t="s">
        <v>428</v>
      </c>
      <c r="F7" s="165" t="s">
        <v>429</v>
      </c>
      <c r="G7" s="218" t="s">
        <v>430</v>
      </c>
      <c r="H7" s="164" t="s">
        <v>125</v>
      </c>
      <c r="I7" s="106" t="s">
        <v>431</v>
      </c>
      <c r="J7" s="106" t="s">
        <v>432</v>
      </c>
      <c r="K7" s="85"/>
      <c r="L7" s="85"/>
      <c r="M7" s="85"/>
      <c r="N7" s="85"/>
      <c r="O7" s="85"/>
      <c r="P7" s="85"/>
      <c r="Q7" s="85"/>
      <c r="R7" s="85"/>
      <c r="S7" s="85"/>
      <c r="T7" s="85"/>
      <c r="U7" s="85"/>
      <c r="V7" s="85"/>
      <c r="W7" s="85"/>
      <c r="X7" s="85"/>
      <c r="Y7" s="85"/>
      <c r="Z7" s="85"/>
    </row>
    <row r="8" spans="1:26" ht="111.75" customHeight="1">
      <c r="A8" s="119" t="s">
        <v>128</v>
      </c>
      <c r="B8" s="113" t="s">
        <v>433</v>
      </c>
      <c r="C8" s="199" t="s">
        <v>434</v>
      </c>
      <c r="D8" s="224" t="s">
        <v>435</v>
      </c>
      <c r="E8" s="225">
        <v>39900</v>
      </c>
      <c r="F8" s="225">
        <v>39900</v>
      </c>
      <c r="G8" s="225">
        <v>10.82</v>
      </c>
      <c r="H8" s="184" t="s">
        <v>436</v>
      </c>
      <c r="I8" s="189" t="s">
        <v>437</v>
      </c>
      <c r="J8" s="158" t="s">
        <v>438</v>
      </c>
    </row>
    <row r="9" spans="1:26" ht="105.75" customHeight="1">
      <c r="A9" s="119" t="s">
        <v>135</v>
      </c>
      <c r="B9" s="150" t="s">
        <v>381</v>
      </c>
      <c r="C9" s="199" t="s">
        <v>382</v>
      </c>
      <c r="D9" s="224" t="s">
        <v>439</v>
      </c>
      <c r="E9" s="225">
        <v>39900</v>
      </c>
      <c r="F9" s="225">
        <v>39900</v>
      </c>
      <c r="G9" s="225">
        <v>10.82</v>
      </c>
      <c r="H9" s="184" t="s">
        <v>292</v>
      </c>
      <c r="I9" s="150" t="s">
        <v>384</v>
      </c>
      <c r="J9" s="109" t="s">
        <v>440</v>
      </c>
    </row>
    <row r="10" spans="1:26" ht="109.5" customHeight="1">
      <c r="A10" s="119" t="s">
        <v>144</v>
      </c>
      <c r="B10" s="109" t="s">
        <v>289</v>
      </c>
      <c r="C10" s="199" t="s">
        <v>415</v>
      </c>
      <c r="D10" s="224" t="s">
        <v>441</v>
      </c>
      <c r="E10" s="225">
        <v>43900</v>
      </c>
      <c r="F10" s="225">
        <v>43900</v>
      </c>
      <c r="G10" s="103">
        <v>11.91</v>
      </c>
      <c r="H10" s="184" t="s">
        <v>292</v>
      </c>
      <c r="I10" s="150" t="s">
        <v>293</v>
      </c>
      <c r="J10" s="115" t="s">
        <v>442</v>
      </c>
    </row>
    <row r="11" spans="1:26" ht="15" hidden="1" customHeight="1">
      <c r="A11" s="96"/>
      <c r="B11" s="128"/>
      <c r="C11" s="201"/>
      <c r="D11" s="201"/>
      <c r="E11" s="226"/>
      <c r="F11" s="178"/>
      <c r="G11" s="178"/>
      <c r="H11" s="184" t="s">
        <v>443</v>
      </c>
      <c r="I11" s="128"/>
      <c r="J11" s="161"/>
    </row>
    <row r="12" spans="1:26" ht="12.75" customHeight="1">
      <c r="C12" s="191"/>
      <c r="D12" s="191"/>
      <c r="E12" s="221"/>
      <c r="F12" s="210"/>
      <c r="G12" s="210"/>
      <c r="H12" s="184"/>
      <c r="J12" s="147"/>
    </row>
    <row r="13" spans="1:26" ht="138.75" customHeight="1">
      <c r="A13" s="312" t="s">
        <v>444</v>
      </c>
      <c r="B13" s="297"/>
      <c r="C13" s="297"/>
      <c r="D13" s="297"/>
      <c r="E13" s="297"/>
      <c r="F13" s="297"/>
      <c r="G13" s="297"/>
      <c r="H13" s="297"/>
      <c r="I13" s="297"/>
      <c r="J13" s="298"/>
    </row>
    <row r="14" spans="1:26" ht="12.75" customHeight="1">
      <c r="C14" s="191"/>
      <c r="D14" s="191"/>
      <c r="E14" s="221"/>
      <c r="F14" s="210"/>
      <c r="G14" s="210"/>
      <c r="H14" s="210"/>
      <c r="J14" s="147"/>
    </row>
    <row r="15" spans="1:26" ht="75" customHeight="1">
      <c r="A15" s="312" t="s">
        <v>445</v>
      </c>
      <c r="B15" s="297"/>
      <c r="C15" s="297"/>
      <c r="D15" s="297"/>
      <c r="E15" s="297"/>
      <c r="F15" s="297"/>
      <c r="G15" s="297"/>
      <c r="H15" s="297"/>
      <c r="I15" s="297"/>
      <c r="J15" s="298"/>
    </row>
    <row r="16" spans="1:26" ht="12.75" customHeight="1">
      <c r="C16" s="191"/>
      <c r="D16" s="191"/>
      <c r="E16" s="221"/>
      <c r="F16" s="210"/>
      <c r="G16" s="210"/>
      <c r="H16" s="210"/>
      <c r="J16" s="147"/>
    </row>
    <row r="17" spans="3:10" ht="12.75" customHeight="1">
      <c r="C17" s="191"/>
      <c r="D17" s="191"/>
      <c r="E17" s="221"/>
      <c r="F17" s="210"/>
      <c r="G17" s="210"/>
      <c r="H17" s="210"/>
      <c r="J17" s="147"/>
    </row>
    <row r="18" spans="3:10" ht="12.75" customHeight="1">
      <c r="C18" s="191"/>
      <c r="D18" s="191"/>
      <c r="E18" s="221"/>
      <c r="F18" s="210"/>
      <c r="G18" s="210"/>
      <c r="H18" s="210"/>
      <c r="J18" s="147"/>
    </row>
    <row r="19" spans="3:10" ht="12.75" customHeight="1">
      <c r="C19" s="191"/>
      <c r="D19" s="191"/>
      <c r="E19" s="221"/>
      <c r="F19" s="210"/>
      <c r="G19" s="210"/>
      <c r="H19" s="210"/>
      <c r="J19" s="147"/>
    </row>
    <row r="20" spans="3:10" ht="12.75" customHeight="1">
      <c r="C20" s="191"/>
      <c r="D20" s="191"/>
      <c r="E20" s="221"/>
      <c r="F20" s="210"/>
      <c r="G20" s="210"/>
      <c r="H20" s="210"/>
      <c r="J20" s="147"/>
    </row>
    <row r="21" spans="3:10" ht="12.75" customHeight="1">
      <c r="C21" s="191"/>
      <c r="D21" s="191"/>
      <c r="E21" s="221"/>
      <c r="F21" s="210"/>
      <c r="G21" s="210"/>
      <c r="H21" s="210"/>
      <c r="J21" s="147"/>
    </row>
    <row r="22" spans="3:10" ht="12.75" customHeight="1">
      <c r="C22" s="191"/>
      <c r="D22" s="191"/>
      <c r="E22" s="221"/>
      <c r="F22" s="210"/>
      <c r="G22" s="210"/>
      <c r="H22" s="210"/>
      <c r="J22" s="147"/>
    </row>
    <row r="23" spans="3:10" ht="12.75" customHeight="1">
      <c r="C23" s="191"/>
      <c r="D23" s="191"/>
      <c r="E23" s="221"/>
      <c r="F23" s="210"/>
      <c r="G23" s="210"/>
      <c r="H23" s="210"/>
      <c r="J23" s="147"/>
    </row>
    <row r="24" spans="3:10" ht="12.75" customHeight="1">
      <c r="C24" s="191"/>
      <c r="D24" s="191"/>
      <c r="E24" s="221"/>
      <c r="F24" s="210"/>
      <c r="G24" s="210"/>
      <c r="H24" s="210"/>
      <c r="J24" s="147"/>
    </row>
    <row r="25" spans="3:10" ht="12.75" customHeight="1">
      <c r="C25" s="191"/>
      <c r="D25" s="191"/>
      <c r="E25" s="221"/>
      <c r="F25" s="210"/>
      <c r="G25" s="210"/>
      <c r="H25" s="210"/>
      <c r="J25" s="147"/>
    </row>
    <row r="26" spans="3:10" ht="12.75" customHeight="1">
      <c r="C26" s="191"/>
      <c r="D26" s="227"/>
      <c r="E26" s="228"/>
      <c r="F26" s="216"/>
      <c r="G26" s="216"/>
      <c r="H26" s="210"/>
      <c r="J26" s="147"/>
    </row>
    <row r="27" spans="3:10" ht="12.75" customHeight="1">
      <c r="C27" s="191"/>
      <c r="D27" s="191"/>
      <c r="E27" s="221"/>
      <c r="F27" s="210"/>
      <c r="G27" s="210"/>
      <c r="H27" s="210"/>
      <c r="J27" s="147"/>
    </row>
    <row r="28" spans="3:10" ht="12.75" customHeight="1">
      <c r="C28" s="191"/>
      <c r="D28" s="191"/>
      <c r="E28" s="221"/>
      <c r="F28" s="210"/>
      <c r="G28" s="210"/>
      <c r="H28" s="210"/>
      <c r="J28" s="147"/>
    </row>
    <row r="29" spans="3:10" ht="12.75" customHeight="1">
      <c r="C29" s="191"/>
      <c r="D29" s="191"/>
      <c r="E29" s="221"/>
      <c r="F29" s="210"/>
      <c r="G29" s="210"/>
      <c r="H29" s="210"/>
      <c r="J29" s="147"/>
    </row>
    <row r="30" spans="3:10" ht="12.75" customHeight="1">
      <c r="C30" s="191"/>
      <c r="D30" s="191"/>
      <c r="E30" s="221"/>
      <c r="F30" s="210"/>
      <c r="G30" s="210"/>
      <c r="H30" s="210"/>
      <c r="J30" s="147"/>
    </row>
    <row r="31" spans="3:10" ht="12.75" customHeight="1">
      <c r="C31" s="191"/>
      <c r="D31" s="191"/>
      <c r="E31" s="221"/>
      <c r="F31" s="210"/>
      <c r="G31" s="210"/>
      <c r="H31" s="210"/>
      <c r="J31" s="147"/>
    </row>
    <row r="32" spans="3:10" ht="12.75" customHeight="1">
      <c r="C32" s="191"/>
      <c r="D32" s="191"/>
      <c r="E32" s="221"/>
      <c r="F32" s="210"/>
      <c r="G32" s="210"/>
      <c r="H32" s="210"/>
      <c r="J32" s="147"/>
    </row>
    <row r="33" spans="3:10" ht="12.75" customHeight="1">
      <c r="C33" s="191"/>
      <c r="D33" s="191"/>
      <c r="E33" s="221"/>
      <c r="F33" s="210"/>
      <c r="G33" s="210"/>
      <c r="H33" s="210"/>
      <c r="J33" s="147"/>
    </row>
    <row r="34" spans="3:10" ht="12.75" customHeight="1">
      <c r="C34" s="191"/>
      <c r="D34" s="191"/>
      <c r="E34" s="221"/>
      <c r="F34" s="210"/>
      <c r="G34" s="210"/>
      <c r="H34" s="210"/>
      <c r="J34" s="147"/>
    </row>
    <row r="35" spans="3:10" ht="12.75" customHeight="1">
      <c r="C35" s="191"/>
      <c r="D35" s="191"/>
      <c r="E35" s="221"/>
      <c r="F35" s="210"/>
      <c r="G35" s="210"/>
      <c r="H35" s="210"/>
      <c r="J35" s="147"/>
    </row>
    <row r="36" spans="3:10" ht="12.75" customHeight="1">
      <c r="C36" s="191"/>
      <c r="D36" s="191"/>
      <c r="E36" s="221"/>
      <c r="F36" s="210"/>
      <c r="G36" s="210"/>
      <c r="H36" s="210"/>
      <c r="J36" s="147"/>
    </row>
    <row r="37" spans="3:10" ht="12.75" customHeight="1">
      <c r="C37" s="191"/>
      <c r="D37" s="191"/>
      <c r="E37" s="221"/>
      <c r="F37" s="210"/>
      <c r="G37" s="210"/>
      <c r="H37" s="210"/>
      <c r="J37" s="147"/>
    </row>
    <row r="38" spans="3:10" ht="12.75" customHeight="1">
      <c r="C38" s="191"/>
      <c r="D38" s="191"/>
      <c r="E38" s="221"/>
      <c r="F38" s="210"/>
      <c r="G38" s="210"/>
      <c r="H38" s="210"/>
      <c r="J38" s="147"/>
    </row>
    <row r="39" spans="3:10" ht="12.75" customHeight="1">
      <c r="C39" s="191"/>
      <c r="D39" s="191"/>
      <c r="E39" s="221"/>
      <c r="F39" s="210"/>
      <c r="G39" s="210"/>
      <c r="H39" s="210"/>
      <c r="J39" s="147"/>
    </row>
    <row r="40" spans="3:10" ht="12.75" customHeight="1">
      <c r="C40" s="191"/>
      <c r="D40" s="191"/>
      <c r="E40" s="221"/>
      <c r="F40" s="210"/>
      <c r="G40" s="210"/>
      <c r="H40" s="210"/>
      <c r="J40" s="147"/>
    </row>
    <row r="41" spans="3:10" ht="12.75" customHeight="1">
      <c r="C41" s="191"/>
      <c r="D41" s="191"/>
      <c r="E41" s="221"/>
      <c r="F41" s="210"/>
      <c r="G41" s="210"/>
      <c r="H41" s="210"/>
      <c r="J41" s="147"/>
    </row>
    <row r="42" spans="3:10" ht="12.75" customHeight="1">
      <c r="C42" s="191"/>
      <c r="D42" s="191"/>
      <c r="E42" s="221"/>
      <c r="F42" s="210"/>
      <c r="G42" s="210"/>
      <c r="H42" s="210"/>
      <c r="J42" s="147"/>
    </row>
    <row r="43" spans="3:10" ht="12.75" customHeight="1">
      <c r="C43" s="191"/>
      <c r="D43" s="191"/>
      <c r="E43" s="221"/>
      <c r="F43" s="210"/>
      <c r="G43" s="210"/>
      <c r="H43" s="210"/>
      <c r="J43" s="147"/>
    </row>
    <row r="44" spans="3:10" ht="12.75" customHeight="1">
      <c r="C44" s="191"/>
      <c r="D44" s="191"/>
      <c r="E44" s="221"/>
      <c r="F44" s="210"/>
      <c r="G44" s="210"/>
      <c r="H44" s="210"/>
      <c r="J44" s="147"/>
    </row>
    <row r="45" spans="3:10" ht="12.75" customHeight="1">
      <c r="C45" s="191"/>
      <c r="D45" s="191"/>
      <c r="E45" s="221"/>
      <c r="F45" s="210"/>
      <c r="G45" s="210"/>
      <c r="H45" s="210"/>
      <c r="J45" s="147"/>
    </row>
    <row r="46" spans="3:10" ht="12.75" customHeight="1">
      <c r="C46" s="191"/>
      <c r="D46" s="191"/>
      <c r="E46" s="221"/>
      <c r="F46" s="210"/>
      <c r="G46" s="210"/>
      <c r="H46" s="210"/>
      <c r="J46" s="147"/>
    </row>
    <row r="47" spans="3:10" ht="12.75" customHeight="1">
      <c r="C47" s="191"/>
      <c r="D47" s="191"/>
      <c r="E47" s="221"/>
      <c r="F47" s="210"/>
      <c r="G47" s="210"/>
      <c r="H47" s="210"/>
      <c r="J47" s="147"/>
    </row>
    <row r="48" spans="3:10" ht="12.75" customHeight="1">
      <c r="C48" s="191"/>
      <c r="D48" s="191"/>
      <c r="E48" s="221"/>
      <c r="F48" s="210"/>
      <c r="G48" s="210"/>
      <c r="H48" s="210"/>
      <c r="J48" s="147"/>
    </row>
    <row r="49" spans="3:10" ht="12.75" customHeight="1">
      <c r="C49" s="191"/>
      <c r="D49" s="191"/>
      <c r="E49" s="221"/>
      <c r="F49" s="210"/>
      <c r="G49" s="210"/>
      <c r="H49" s="210"/>
      <c r="J49" s="147"/>
    </row>
    <row r="50" spans="3:10" ht="12.75" customHeight="1">
      <c r="C50" s="191"/>
      <c r="D50" s="191"/>
      <c r="E50" s="221"/>
      <c r="F50" s="210"/>
      <c r="G50" s="210"/>
      <c r="H50" s="210"/>
      <c r="J50" s="147"/>
    </row>
    <row r="51" spans="3:10" ht="12.75" customHeight="1">
      <c r="C51" s="191"/>
      <c r="D51" s="191"/>
      <c r="E51" s="221"/>
      <c r="F51" s="210"/>
      <c r="G51" s="210"/>
      <c r="H51" s="210"/>
      <c r="J51" s="147"/>
    </row>
    <row r="52" spans="3:10" ht="12.75" customHeight="1">
      <c r="C52" s="191"/>
      <c r="D52" s="191"/>
      <c r="E52" s="221"/>
      <c r="F52" s="210"/>
      <c r="G52" s="210"/>
      <c r="H52" s="210"/>
      <c r="J52" s="147"/>
    </row>
    <row r="53" spans="3:10" ht="12.75" customHeight="1">
      <c r="C53" s="191"/>
      <c r="D53" s="191"/>
      <c r="E53" s="221"/>
      <c r="F53" s="210"/>
      <c r="G53" s="210"/>
      <c r="H53" s="210"/>
      <c r="J53" s="147"/>
    </row>
    <row r="54" spans="3:10" ht="12.75" customHeight="1">
      <c r="C54" s="191"/>
      <c r="D54" s="191"/>
      <c r="E54" s="221"/>
      <c r="F54" s="210"/>
      <c r="G54" s="210"/>
      <c r="H54" s="210"/>
      <c r="J54" s="147"/>
    </row>
    <row r="55" spans="3:10" ht="12.75" customHeight="1">
      <c r="C55" s="191"/>
      <c r="D55" s="191"/>
      <c r="E55" s="221"/>
      <c r="F55" s="210"/>
      <c r="G55" s="210"/>
      <c r="H55" s="210"/>
      <c r="J55" s="147"/>
    </row>
    <row r="56" spans="3:10" ht="12.75" customHeight="1">
      <c r="C56" s="191"/>
      <c r="D56" s="191"/>
      <c r="E56" s="221"/>
      <c r="F56" s="210"/>
      <c r="G56" s="210"/>
      <c r="H56" s="210"/>
      <c r="J56" s="147"/>
    </row>
    <row r="57" spans="3:10" ht="12.75" customHeight="1">
      <c r="C57" s="191"/>
      <c r="D57" s="191"/>
      <c r="E57" s="221"/>
      <c r="F57" s="210"/>
      <c r="G57" s="210"/>
      <c r="H57" s="210"/>
      <c r="J57" s="147"/>
    </row>
    <row r="58" spans="3:10" ht="12.75" customHeight="1">
      <c r="C58" s="191"/>
      <c r="D58" s="191"/>
      <c r="E58" s="221"/>
      <c r="F58" s="210"/>
      <c r="G58" s="210"/>
      <c r="H58" s="210"/>
      <c r="J58" s="147"/>
    </row>
    <row r="59" spans="3:10" ht="12.75" customHeight="1">
      <c r="C59" s="191"/>
      <c r="D59" s="191"/>
      <c r="E59" s="221"/>
      <c r="F59" s="210"/>
      <c r="G59" s="210"/>
      <c r="H59" s="210"/>
      <c r="J59" s="147"/>
    </row>
    <row r="60" spans="3:10" ht="12.75" customHeight="1">
      <c r="C60" s="191"/>
      <c r="D60" s="191"/>
      <c r="E60" s="221"/>
      <c r="F60" s="210"/>
      <c r="G60" s="210"/>
      <c r="H60" s="210"/>
      <c r="J60" s="147"/>
    </row>
    <row r="61" spans="3:10" ht="12.75" customHeight="1">
      <c r="C61" s="191"/>
      <c r="D61" s="191"/>
      <c r="E61" s="221"/>
      <c r="F61" s="210"/>
      <c r="G61" s="210"/>
      <c r="H61" s="210"/>
      <c r="J61" s="147"/>
    </row>
    <row r="62" spans="3:10" ht="12.75" customHeight="1">
      <c r="C62" s="191"/>
      <c r="D62" s="191"/>
      <c r="E62" s="221"/>
      <c r="F62" s="210"/>
      <c r="G62" s="210"/>
      <c r="H62" s="210"/>
      <c r="J62" s="147"/>
    </row>
    <row r="63" spans="3:10" ht="12.75" customHeight="1">
      <c r="C63" s="191"/>
      <c r="D63" s="191"/>
      <c r="E63" s="221"/>
      <c r="F63" s="210"/>
      <c r="G63" s="210"/>
      <c r="H63" s="210"/>
      <c r="J63" s="147"/>
    </row>
    <row r="64" spans="3:10" ht="12.75" customHeight="1">
      <c r="C64" s="191"/>
      <c r="D64" s="191"/>
      <c r="E64" s="221"/>
      <c r="F64" s="210"/>
      <c r="G64" s="210"/>
      <c r="H64" s="210"/>
      <c r="J64" s="147"/>
    </row>
    <row r="65" spans="3:10" ht="12.75" customHeight="1">
      <c r="C65" s="191"/>
      <c r="D65" s="191"/>
      <c r="E65" s="221"/>
      <c r="F65" s="210"/>
      <c r="G65" s="210"/>
      <c r="H65" s="210"/>
      <c r="J65" s="147"/>
    </row>
    <row r="66" spans="3:10" ht="12.75" customHeight="1">
      <c r="C66" s="191"/>
      <c r="D66" s="191"/>
      <c r="E66" s="221"/>
      <c r="F66" s="210"/>
      <c r="G66" s="210"/>
      <c r="H66" s="210"/>
      <c r="J66" s="147"/>
    </row>
    <row r="67" spans="3:10" ht="12.75" customHeight="1">
      <c r="C67" s="191"/>
      <c r="D67" s="191"/>
      <c r="E67" s="221"/>
      <c r="F67" s="210"/>
      <c r="G67" s="210"/>
      <c r="H67" s="210"/>
      <c r="J67" s="147"/>
    </row>
    <row r="68" spans="3:10" ht="12.75" customHeight="1">
      <c r="C68" s="191"/>
      <c r="D68" s="191"/>
      <c r="E68" s="221"/>
      <c r="F68" s="210"/>
      <c r="G68" s="210"/>
      <c r="H68" s="210"/>
      <c r="J68" s="147"/>
    </row>
    <row r="69" spans="3:10" ht="12.75" customHeight="1">
      <c r="C69" s="191"/>
      <c r="D69" s="191"/>
      <c r="E69" s="221"/>
      <c r="F69" s="210"/>
      <c r="G69" s="210"/>
      <c r="H69" s="210"/>
      <c r="J69" s="147"/>
    </row>
    <row r="70" spans="3:10" ht="12.75" customHeight="1">
      <c r="C70" s="191"/>
      <c r="D70" s="191"/>
      <c r="E70" s="221"/>
      <c r="F70" s="210"/>
      <c r="G70" s="210"/>
      <c r="H70" s="210"/>
      <c r="J70" s="147"/>
    </row>
    <row r="71" spans="3:10" ht="12.75" customHeight="1">
      <c r="C71" s="191"/>
      <c r="D71" s="191"/>
      <c r="E71" s="221"/>
      <c r="F71" s="210"/>
      <c r="G71" s="210"/>
      <c r="H71" s="210"/>
      <c r="J71" s="147"/>
    </row>
    <row r="72" spans="3:10" ht="12.75" customHeight="1">
      <c r="C72" s="191"/>
      <c r="D72" s="191"/>
      <c r="E72" s="221"/>
      <c r="F72" s="210"/>
      <c r="G72" s="210"/>
      <c r="H72" s="210"/>
      <c r="J72" s="147"/>
    </row>
    <row r="73" spans="3:10" ht="12.75" customHeight="1">
      <c r="C73" s="191"/>
      <c r="D73" s="191"/>
      <c r="E73" s="221"/>
      <c r="F73" s="210"/>
      <c r="G73" s="210"/>
      <c r="H73" s="210"/>
      <c r="J73" s="147"/>
    </row>
    <row r="74" spans="3:10" ht="12.75" customHeight="1">
      <c r="C74" s="191"/>
      <c r="D74" s="191"/>
      <c r="E74" s="221"/>
      <c r="F74" s="210"/>
      <c r="G74" s="210"/>
      <c r="H74" s="210"/>
      <c r="J74" s="147"/>
    </row>
    <row r="75" spans="3:10" ht="12.75" customHeight="1">
      <c r="C75" s="191"/>
      <c r="D75" s="191"/>
      <c r="E75" s="221"/>
      <c r="F75" s="210"/>
      <c r="G75" s="210"/>
      <c r="H75" s="210"/>
      <c r="J75" s="147"/>
    </row>
    <row r="76" spans="3:10" ht="12.75" customHeight="1">
      <c r="C76" s="191"/>
      <c r="D76" s="191"/>
      <c r="E76" s="221"/>
      <c r="F76" s="210"/>
      <c r="G76" s="210"/>
      <c r="H76" s="210"/>
      <c r="J76" s="147"/>
    </row>
    <row r="77" spans="3:10" ht="12.75" customHeight="1">
      <c r="C77" s="191"/>
      <c r="D77" s="191"/>
      <c r="E77" s="221"/>
      <c r="F77" s="210"/>
      <c r="G77" s="210"/>
      <c r="H77" s="210"/>
      <c r="J77" s="147"/>
    </row>
    <row r="78" spans="3:10" ht="12.75" customHeight="1">
      <c r="C78" s="191"/>
      <c r="D78" s="191"/>
      <c r="E78" s="221"/>
      <c r="F78" s="210"/>
      <c r="G78" s="210"/>
      <c r="H78" s="210"/>
      <c r="J78" s="147"/>
    </row>
    <row r="79" spans="3:10" ht="12.75" customHeight="1">
      <c r="C79" s="191"/>
      <c r="D79" s="191"/>
      <c r="E79" s="221"/>
      <c r="F79" s="210"/>
      <c r="G79" s="210"/>
      <c r="H79" s="210"/>
      <c r="J79" s="147"/>
    </row>
    <row r="80" spans="3:10" ht="12.75" customHeight="1">
      <c r="C80" s="191"/>
      <c r="D80" s="191"/>
      <c r="E80" s="221"/>
      <c r="F80" s="210"/>
      <c r="G80" s="210"/>
      <c r="H80" s="210"/>
      <c r="J80" s="147"/>
    </row>
    <row r="81" spans="3:10" ht="12.75" customHeight="1">
      <c r="C81" s="191"/>
      <c r="D81" s="191"/>
      <c r="E81" s="221"/>
      <c r="F81" s="210"/>
      <c r="G81" s="210"/>
      <c r="H81" s="210"/>
      <c r="J81" s="147"/>
    </row>
    <row r="82" spans="3:10" ht="12.75" customHeight="1">
      <c r="C82" s="191"/>
      <c r="D82" s="191"/>
      <c r="E82" s="221"/>
      <c r="F82" s="210"/>
      <c r="G82" s="210"/>
      <c r="H82" s="210"/>
      <c r="J82" s="147"/>
    </row>
    <row r="83" spans="3:10" ht="12.75" customHeight="1">
      <c r="C83" s="191"/>
      <c r="D83" s="191"/>
      <c r="E83" s="221"/>
      <c r="F83" s="210"/>
      <c r="G83" s="210"/>
      <c r="H83" s="210"/>
      <c r="J83" s="147"/>
    </row>
    <row r="84" spans="3:10" ht="12.75" customHeight="1">
      <c r="C84" s="191"/>
      <c r="D84" s="191"/>
      <c r="E84" s="221"/>
      <c r="F84" s="210"/>
      <c r="G84" s="210"/>
      <c r="H84" s="210"/>
      <c r="J84" s="147"/>
    </row>
    <row r="85" spans="3:10" ht="12.75" customHeight="1">
      <c r="C85" s="191"/>
      <c r="D85" s="191"/>
      <c r="E85" s="221"/>
      <c r="F85" s="210"/>
      <c r="G85" s="210"/>
      <c r="H85" s="210"/>
      <c r="J85" s="147"/>
    </row>
    <row r="86" spans="3:10" ht="12.75" customHeight="1">
      <c r="C86" s="191"/>
      <c r="D86" s="191"/>
      <c r="E86" s="221"/>
      <c r="F86" s="210"/>
      <c r="G86" s="210"/>
      <c r="H86" s="210"/>
      <c r="J86" s="147"/>
    </row>
    <row r="87" spans="3:10" ht="12.75" customHeight="1">
      <c r="C87" s="191"/>
      <c r="D87" s="191"/>
      <c r="E87" s="221"/>
      <c r="F87" s="210"/>
      <c r="G87" s="210"/>
      <c r="H87" s="210"/>
      <c r="J87" s="147"/>
    </row>
    <row r="88" spans="3:10" ht="12.75" customHeight="1">
      <c r="C88" s="191"/>
      <c r="D88" s="191"/>
      <c r="E88" s="221"/>
      <c r="F88" s="210"/>
      <c r="G88" s="210"/>
      <c r="H88" s="210"/>
      <c r="J88" s="147"/>
    </row>
    <row r="89" spans="3:10" ht="12.75" customHeight="1">
      <c r="C89" s="191"/>
      <c r="D89" s="191"/>
      <c r="E89" s="221"/>
      <c r="F89" s="210"/>
      <c r="G89" s="210"/>
      <c r="H89" s="210"/>
      <c r="J89" s="147"/>
    </row>
    <row r="90" spans="3:10" ht="12.75" customHeight="1">
      <c r="C90" s="191"/>
      <c r="D90" s="191"/>
      <c r="E90" s="221"/>
      <c r="F90" s="210"/>
      <c r="G90" s="210"/>
      <c r="H90" s="210"/>
      <c r="J90" s="147"/>
    </row>
    <row r="91" spans="3:10" ht="12.75" customHeight="1">
      <c r="C91" s="191"/>
      <c r="D91" s="191"/>
      <c r="E91" s="221"/>
      <c r="F91" s="210"/>
      <c r="G91" s="210"/>
      <c r="H91" s="210"/>
      <c r="J91" s="147"/>
    </row>
    <row r="92" spans="3:10" ht="12.75" customHeight="1">
      <c r="C92" s="191"/>
      <c r="D92" s="191"/>
      <c r="E92" s="221"/>
      <c r="F92" s="210"/>
      <c r="G92" s="210"/>
      <c r="H92" s="210"/>
      <c r="J92" s="147"/>
    </row>
    <row r="93" spans="3:10" ht="12.75" customHeight="1">
      <c r="C93" s="191"/>
      <c r="D93" s="191"/>
      <c r="E93" s="221"/>
      <c r="F93" s="210"/>
      <c r="G93" s="210"/>
      <c r="H93" s="210"/>
      <c r="J93" s="147"/>
    </row>
    <row r="94" spans="3:10" ht="12.75" customHeight="1">
      <c r="C94" s="191"/>
      <c r="D94" s="191"/>
      <c r="E94" s="221"/>
      <c r="F94" s="210"/>
      <c r="G94" s="210"/>
      <c r="H94" s="210"/>
      <c r="J94" s="147"/>
    </row>
    <row r="95" spans="3:10" ht="12.75" customHeight="1">
      <c r="C95" s="191"/>
      <c r="D95" s="191"/>
      <c r="E95" s="221"/>
      <c r="F95" s="210"/>
      <c r="G95" s="210"/>
      <c r="H95" s="210"/>
      <c r="J95" s="147"/>
    </row>
    <row r="96" spans="3:10" ht="12.75" customHeight="1">
      <c r="C96" s="191"/>
      <c r="D96" s="191"/>
      <c r="E96" s="221"/>
      <c r="F96" s="210"/>
      <c r="G96" s="210"/>
      <c r="H96" s="210"/>
      <c r="J96" s="147"/>
    </row>
    <row r="97" spans="3:10" ht="12.75" customHeight="1">
      <c r="C97" s="191"/>
      <c r="D97" s="191"/>
      <c r="E97" s="221"/>
      <c r="F97" s="210"/>
      <c r="G97" s="210"/>
      <c r="H97" s="210"/>
      <c r="J97" s="147"/>
    </row>
    <row r="98" spans="3:10" ht="12.75" customHeight="1">
      <c r="C98" s="191"/>
      <c r="D98" s="191"/>
      <c r="E98" s="221"/>
      <c r="F98" s="210"/>
      <c r="G98" s="210"/>
      <c r="H98" s="210"/>
      <c r="J98" s="147"/>
    </row>
    <row r="99" spans="3:10" ht="12.75" customHeight="1">
      <c r="C99" s="191"/>
      <c r="D99" s="191"/>
      <c r="E99" s="221"/>
      <c r="F99" s="210"/>
      <c r="G99" s="210"/>
      <c r="H99" s="210"/>
      <c r="J99" s="147"/>
    </row>
    <row r="100" spans="3:10" ht="12.75" customHeight="1">
      <c r="C100" s="191"/>
      <c r="D100" s="191"/>
      <c r="E100" s="221"/>
      <c r="F100" s="210"/>
      <c r="G100" s="210"/>
      <c r="H100" s="210"/>
      <c r="J100" s="147"/>
    </row>
    <row r="101" spans="3:10" ht="12.75" customHeight="1">
      <c r="C101" s="191"/>
      <c r="D101" s="191"/>
      <c r="E101" s="221"/>
      <c r="F101" s="210"/>
      <c r="G101" s="210"/>
      <c r="H101" s="210"/>
      <c r="J101" s="147"/>
    </row>
    <row r="102" spans="3:10" ht="12.75" customHeight="1">
      <c r="C102" s="191"/>
      <c r="D102" s="191"/>
      <c r="E102" s="221"/>
      <c r="F102" s="210"/>
      <c r="G102" s="210"/>
      <c r="H102" s="210"/>
      <c r="J102" s="147"/>
    </row>
    <row r="103" spans="3:10" ht="12.75" customHeight="1">
      <c r="C103" s="191"/>
      <c r="D103" s="191"/>
      <c r="E103" s="221"/>
      <c r="F103" s="210"/>
      <c r="G103" s="210"/>
      <c r="H103" s="210"/>
      <c r="J103" s="147"/>
    </row>
    <row r="104" spans="3:10" ht="12.75" customHeight="1">
      <c r="C104" s="191"/>
      <c r="D104" s="191"/>
      <c r="E104" s="221"/>
      <c r="F104" s="210"/>
      <c r="G104" s="210"/>
      <c r="H104" s="210"/>
      <c r="J104" s="147"/>
    </row>
    <row r="105" spans="3:10" ht="12.75" customHeight="1">
      <c r="C105" s="191"/>
      <c r="D105" s="191"/>
      <c r="E105" s="221"/>
      <c r="F105" s="210"/>
      <c r="G105" s="210"/>
      <c r="H105" s="210"/>
      <c r="J105" s="147"/>
    </row>
    <row r="106" spans="3:10" ht="12.75" customHeight="1">
      <c r="C106" s="191"/>
      <c r="D106" s="191"/>
      <c r="E106" s="221"/>
      <c r="F106" s="210"/>
      <c r="G106" s="210"/>
      <c r="H106" s="210"/>
      <c r="J106" s="147"/>
    </row>
    <row r="107" spans="3:10" ht="12.75" customHeight="1">
      <c r="C107" s="191"/>
      <c r="D107" s="191"/>
      <c r="E107" s="221"/>
      <c r="F107" s="210"/>
      <c r="G107" s="210"/>
      <c r="H107" s="210"/>
      <c r="J107" s="147"/>
    </row>
    <row r="108" spans="3:10" ht="12.75" customHeight="1">
      <c r="C108" s="191"/>
      <c r="D108" s="191"/>
      <c r="E108" s="221"/>
      <c r="F108" s="210"/>
      <c r="G108" s="210"/>
      <c r="H108" s="210"/>
      <c r="J108" s="147"/>
    </row>
    <row r="109" spans="3:10" ht="12.75" customHeight="1">
      <c r="C109" s="191"/>
      <c r="D109" s="191"/>
      <c r="E109" s="221"/>
      <c r="F109" s="210"/>
      <c r="G109" s="210"/>
      <c r="H109" s="210"/>
      <c r="J109" s="147"/>
    </row>
    <row r="110" spans="3:10" ht="12.75" customHeight="1">
      <c r="C110" s="191"/>
      <c r="D110" s="191"/>
      <c r="E110" s="221"/>
      <c r="F110" s="210"/>
      <c r="G110" s="210"/>
      <c r="H110" s="210"/>
      <c r="J110" s="147"/>
    </row>
    <row r="111" spans="3:10" ht="12.75" customHeight="1">
      <c r="C111" s="191"/>
      <c r="D111" s="191"/>
      <c r="E111" s="221"/>
      <c r="F111" s="210"/>
      <c r="G111" s="210"/>
      <c r="H111" s="210"/>
      <c r="J111" s="147"/>
    </row>
    <row r="112" spans="3:10" ht="12.75" customHeight="1">
      <c r="C112" s="191"/>
      <c r="D112" s="191"/>
      <c r="E112" s="221"/>
      <c r="F112" s="210"/>
      <c r="G112" s="210"/>
      <c r="H112" s="210"/>
      <c r="J112" s="147"/>
    </row>
    <row r="113" spans="3:10" ht="12.75" customHeight="1">
      <c r="C113" s="191"/>
      <c r="D113" s="191"/>
      <c r="E113" s="221"/>
      <c r="F113" s="210"/>
      <c r="G113" s="210"/>
      <c r="H113" s="210"/>
      <c r="J113" s="147"/>
    </row>
    <row r="114" spans="3:10" ht="12.75" customHeight="1">
      <c r="C114" s="191"/>
      <c r="D114" s="191"/>
      <c r="E114" s="221"/>
      <c r="F114" s="210"/>
      <c r="G114" s="210"/>
      <c r="H114" s="210"/>
      <c r="J114" s="147"/>
    </row>
    <row r="115" spans="3:10" ht="12.75" customHeight="1">
      <c r="C115" s="191"/>
      <c r="D115" s="191"/>
      <c r="E115" s="221"/>
      <c r="F115" s="210"/>
      <c r="G115" s="210"/>
      <c r="H115" s="210"/>
      <c r="J115" s="147"/>
    </row>
    <row r="116" spans="3:10" ht="12.75" customHeight="1">
      <c r="C116" s="191"/>
      <c r="D116" s="191"/>
      <c r="E116" s="221"/>
      <c r="F116" s="210"/>
      <c r="G116" s="210"/>
      <c r="H116" s="210"/>
      <c r="J116" s="147"/>
    </row>
    <row r="117" spans="3:10" ht="12.75" customHeight="1">
      <c r="C117" s="191"/>
      <c r="D117" s="191"/>
      <c r="E117" s="221"/>
      <c r="F117" s="210"/>
      <c r="G117" s="210"/>
      <c r="H117" s="210"/>
      <c r="J117" s="147"/>
    </row>
    <row r="118" spans="3:10" ht="12.75" customHeight="1">
      <c r="C118" s="191"/>
      <c r="D118" s="191"/>
      <c r="E118" s="221"/>
      <c r="F118" s="210"/>
      <c r="G118" s="210"/>
      <c r="H118" s="210"/>
      <c r="J118" s="147"/>
    </row>
    <row r="119" spans="3:10" ht="12.75" customHeight="1">
      <c r="C119" s="191"/>
      <c r="D119" s="191"/>
      <c r="E119" s="221"/>
      <c r="F119" s="210"/>
      <c r="G119" s="210"/>
      <c r="H119" s="210"/>
      <c r="J119" s="147"/>
    </row>
    <row r="120" spans="3:10" ht="12.75" customHeight="1">
      <c r="C120" s="191"/>
      <c r="D120" s="191"/>
      <c r="E120" s="221"/>
      <c r="F120" s="210"/>
      <c r="G120" s="210"/>
      <c r="H120" s="210"/>
      <c r="J120" s="147"/>
    </row>
    <row r="121" spans="3:10" ht="12.75" customHeight="1">
      <c r="C121" s="191"/>
      <c r="D121" s="191"/>
      <c r="E121" s="221"/>
      <c r="F121" s="210"/>
      <c r="G121" s="210"/>
      <c r="H121" s="210"/>
      <c r="J121" s="147"/>
    </row>
    <row r="122" spans="3:10" ht="12.75" customHeight="1">
      <c r="C122" s="191"/>
      <c r="D122" s="191"/>
      <c r="E122" s="221"/>
      <c r="F122" s="210"/>
      <c r="G122" s="210"/>
      <c r="H122" s="210"/>
      <c r="J122" s="147"/>
    </row>
    <row r="123" spans="3:10" ht="12.75" customHeight="1">
      <c r="C123" s="191"/>
      <c r="D123" s="191"/>
      <c r="E123" s="221"/>
      <c r="F123" s="210"/>
      <c r="G123" s="210"/>
      <c r="H123" s="210"/>
      <c r="J123" s="147"/>
    </row>
    <row r="124" spans="3:10" ht="12.75" customHeight="1">
      <c r="C124" s="191"/>
      <c r="D124" s="191"/>
      <c r="E124" s="221"/>
      <c r="F124" s="210"/>
      <c r="G124" s="210"/>
      <c r="H124" s="210"/>
      <c r="J124" s="147"/>
    </row>
    <row r="125" spans="3:10" ht="12.75" customHeight="1">
      <c r="C125" s="191"/>
      <c r="D125" s="191"/>
      <c r="E125" s="221"/>
      <c r="F125" s="210"/>
      <c r="G125" s="210"/>
      <c r="H125" s="210"/>
      <c r="J125" s="147"/>
    </row>
    <row r="126" spans="3:10" ht="12.75" customHeight="1">
      <c r="C126" s="191"/>
      <c r="D126" s="191"/>
      <c r="E126" s="221"/>
      <c r="F126" s="210"/>
      <c r="G126" s="210"/>
      <c r="H126" s="210"/>
      <c r="J126" s="147"/>
    </row>
    <row r="127" spans="3:10" ht="12.75" customHeight="1">
      <c r="C127" s="191"/>
      <c r="D127" s="191"/>
      <c r="E127" s="221"/>
      <c r="F127" s="210"/>
      <c r="G127" s="210"/>
      <c r="H127" s="210"/>
      <c r="J127" s="147"/>
    </row>
    <row r="128" spans="3:10" ht="12.75" customHeight="1">
      <c r="C128" s="191"/>
      <c r="D128" s="191"/>
      <c r="E128" s="221"/>
      <c r="F128" s="210"/>
      <c r="G128" s="210"/>
      <c r="H128" s="210"/>
      <c r="J128" s="147"/>
    </row>
    <row r="129" spans="3:10" ht="12.75" customHeight="1">
      <c r="C129" s="191"/>
      <c r="D129" s="191"/>
      <c r="E129" s="221"/>
      <c r="F129" s="210"/>
      <c r="G129" s="210"/>
      <c r="H129" s="210"/>
      <c r="J129" s="147"/>
    </row>
    <row r="130" spans="3:10" ht="12.75" customHeight="1">
      <c r="C130" s="191"/>
      <c r="D130" s="191"/>
      <c r="E130" s="221"/>
      <c r="F130" s="210"/>
      <c r="G130" s="210"/>
      <c r="H130" s="210"/>
      <c r="J130" s="147"/>
    </row>
    <row r="131" spans="3:10" ht="12.75" customHeight="1">
      <c r="C131" s="191"/>
      <c r="D131" s="191"/>
      <c r="E131" s="221"/>
      <c r="F131" s="210"/>
      <c r="G131" s="210"/>
      <c r="H131" s="210"/>
      <c r="J131" s="147"/>
    </row>
    <row r="132" spans="3:10" ht="12.75" customHeight="1">
      <c r="C132" s="191"/>
      <c r="D132" s="191"/>
      <c r="E132" s="221"/>
      <c r="F132" s="210"/>
      <c r="G132" s="210"/>
      <c r="H132" s="210"/>
      <c r="J132" s="147"/>
    </row>
    <row r="133" spans="3:10" ht="12.75" customHeight="1">
      <c r="C133" s="191"/>
      <c r="D133" s="191"/>
      <c r="E133" s="221"/>
      <c r="F133" s="210"/>
      <c r="G133" s="210"/>
      <c r="H133" s="210"/>
      <c r="J133" s="147"/>
    </row>
    <row r="134" spans="3:10" ht="12.75" customHeight="1">
      <c r="C134" s="191"/>
      <c r="D134" s="191"/>
      <c r="E134" s="221"/>
      <c r="F134" s="210"/>
      <c r="G134" s="210"/>
      <c r="H134" s="210"/>
      <c r="J134" s="147"/>
    </row>
    <row r="135" spans="3:10" ht="12.75" customHeight="1">
      <c r="C135" s="191"/>
      <c r="D135" s="191"/>
      <c r="E135" s="221"/>
      <c r="F135" s="210"/>
      <c r="G135" s="210"/>
      <c r="H135" s="210"/>
      <c r="J135" s="147"/>
    </row>
    <row r="136" spans="3:10" ht="12.75" customHeight="1">
      <c r="C136" s="191"/>
      <c r="D136" s="191"/>
      <c r="E136" s="221"/>
      <c r="F136" s="210"/>
      <c r="G136" s="210"/>
      <c r="H136" s="210"/>
      <c r="J136" s="147"/>
    </row>
    <row r="137" spans="3:10" ht="12.75" customHeight="1">
      <c r="C137" s="191"/>
      <c r="D137" s="191"/>
      <c r="E137" s="221"/>
      <c r="F137" s="210"/>
      <c r="G137" s="210"/>
      <c r="H137" s="210"/>
      <c r="J137" s="147"/>
    </row>
    <row r="138" spans="3:10" ht="12.75" customHeight="1">
      <c r="C138" s="191"/>
      <c r="D138" s="191"/>
      <c r="E138" s="221"/>
      <c r="F138" s="210"/>
      <c r="G138" s="210"/>
      <c r="H138" s="210"/>
      <c r="J138" s="147"/>
    </row>
    <row r="139" spans="3:10" ht="12.75" customHeight="1">
      <c r="C139" s="191"/>
      <c r="D139" s="191"/>
      <c r="E139" s="221"/>
      <c r="F139" s="210"/>
      <c r="G139" s="210"/>
      <c r="H139" s="210"/>
      <c r="J139" s="147"/>
    </row>
    <row r="140" spans="3:10" ht="12.75" customHeight="1">
      <c r="C140" s="191"/>
      <c r="D140" s="191"/>
      <c r="E140" s="221"/>
      <c r="F140" s="210"/>
      <c r="G140" s="210"/>
      <c r="H140" s="210"/>
      <c r="J140" s="147"/>
    </row>
    <row r="141" spans="3:10" ht="12.75" customHeight="1">
      <c r="C141" s="191"/>
      <c r="D141" s="191"/>
      <c r="E141" s="221"/>
      <c r="F141" s="210"/>
      <c r="G141" s="210"/>
      <c r="H141" s="210"/>
      <c r="J141" s="147"/>
    </row>
    <row r="142" spans="3:10" ht="12.75" customHeight="1">
      <c r="C142" s="191"/>
      <c r="D142" s="191"/>
      <c r="E142" s="221"/>
      <c r="F142" s="210"/>
      <c r="G142" s="210"/>
      <c r="H142" s="210"/>
      <c r="J142" s="147"/>
    </row>
    <row r="143" spans="3:10" ht="12.75" customHeight="1">
      <c r="C143" s="191"/>
      <c r="D143" s="191"/>
      <c r="E143" s="221"/>
      <c r="F143" s="210"/>
      <c r="G143" s="210"/>
      <c r="H143" s="210"/>
      <c r="J143" s="147"/>
    </row>
    <row r="144" spans="3:10" ht="12.75" customHeight="1">
      <c r="C144" s="191"/>
      <c r="D144" s="191"/>
      <c r="E144" s="221"/>
      <c r="F144" s="210"/>
      <c r="G144" s="210"/>
      <c r="H144" s="210"/>
      <c r="J144" s="147"/>
    </row>
    <row r="145" spans="3:10" ht="12.75" customHeight="1">
      <c r="C145" s="191"/>
      <c r="D145" s="191"/>
      <c r="E145" s="221"/>
      <c r="F145" s="210"/>
      <c r="G145" s="210"/>
      <c r="H145" s="210"/>
      <c r="J145" s="147"/>
    </row>
    <row r="146" spans="3:10" ht="12.75" customHeight="1">
      <c r="C146" s="191"/>
      <c r="D146" s="191"/>
      <c r="E146" s="221"/>
      <c r="F146" s="210"/>
      <c r="G146" s="210"/>
      <c r="H146" s="210"/>
      <c r="J146" s="147"/>
    </row>
    <row r="147" spans="3:10" ht="12.75" customHeight="1">
      <c r="C147" s="191"/>
      <c r="D147" s="191"/>
      <c r="E147" s="221"/>
      <c r="F147" s="210"/>
      <c r="G147" s="210"/>
      <c r="H147" s="210"/>
      <c r="J147" s="147"/>
    </row>
    <row r="148" spans="3:10" ht="12.75" customHeight="1">
      <c r="C148" s="191"/>
      <c r="D148" s="191"/>
      <c r="E148" s="221"/>
      <c r="F148" s="210"/>
      <c r="G148" s="210"/>
      <c r="H148" s="210"/>
      <c r="J148" s="147"/>
    </row>
    <row r="149" spans="3:10" ht="12.75" customHeight="1">
      <c r="C149" s="191"/>
      <c r="D149" s="191"/>
      <c r="E149" s="221"/>
      <c r="F149" s="210"/>
      <c r="G149" s="210"/>
      <c r="H149" s="210"/>
      <c r="J149" s="147"/>
    </row>
    <row r="150" spans="3:10" ht="12.75" customHeight="1">
      <c r="C150" s="191"/>
      <c r="D150" s="191"/>
      <c r="E150" s="221"/>
      <c r="F150" s="210"/>
      <c r="G150" s="210"/>
      <c r="H150" s="210"/>
      <c r="J150" s="147"/>
    </row>
    <row r="151" spans="3:10" ht="12.75" customHeight="1">
      <c r="C151" s="191"/>
      <c r="D151" s="191"/>
      <c r="E151" s="221"/>
      <c r="F151" s="210"/>
      <c r="G151" s="210"/>
      <c r="H151" s="210"/>
      <c r="J151" s="147"/>
    </row>
    <row r="152" spans="3:10" ht="12.75" customHeight="1">
      <c r="C152" s="191"/>
      <c r="D152" s="191"/>
      <c r="E152" s="221"/>
      <c r="F152" s="210"/>
      <c r="G152" s="210"/>
      <c r="H152" s="210"/>
      <c r="J152" s="147"/>
    </row>
    <row r="153" spans="3:10" ht="12.75" customHeight="1">
      <c r="C153" s="191"/>
      <c r="D153" s="191"/>
      <c r="E153" s="221"/>
      <c r="F153" s="210"/>
      <c r="G153" s="210"/>
      <c r="H153" s="210"/>
      <c r="J153" s="147"/>
    </row>
    <row r="154" spans="3:10" ht="12.75" customHeight="1">
      <c r="C154" s="191"/>
      <c r="D154" s="191"/>
      <c r="E154" s="221"/>
      <c r="F154" s="210"/>
      <c r="G154" s="210"/>
      <c r="H154" s="210"/>
      <c r="J154" s="147"/>
    </row>
    <row r="155" spans="3:10" ht="12.75" customHeight="1">
      <c r="C155" s="191"/>
      <c r="D155" s="191"/>
      <c r="E155" s="221"/>
      <c r="F155" s="210"/>
      <c r="G155" s="210"/>
      <c r="H155" s="210"/>
      <c r="J155" s="147"/>
    </row>
    <row r="156" spans="3:10" ht="12.75" customHeight="1">
      <c r="C156" s="191"/>
      <c r="D156" s="191"/>
      <c r="E156" s="221"/>
      <c r="F156" s="210"/>
      <c r="G156" s="210"/>
      <c r="H156" s="210"/>
      <c r="J156" s="147"/>
    </row>
    <row r="157" spans="3:10" ht="12.75" customHeight="1">
      <c r="C157" s="191"/>
      <c r="D157" s="191"/>
      <c r="E157" s="221"/>
      <c r="F157" s="210"/>
      <c r="G157" s="210"/>
      <c r="H157" s="210"/>
      <c r="J157" s="147"/>
    </row>
    <row r="158" spans="3:10" ht="12.75" customHeight="1">
      <c r="C158" s="191"/>
      <c r="D158" s="191"/>
      <c r="E158" s="221"/>
      <c r="F158" s="210"/>
      <c r="G158" s="210"/>
      <c r="H158" s="210"/>
      <c r="J158" s="147"/>
    </row>
    <row r="159" spans="3:10" ht="12.75" customHeight="1">
      <c r="C159" s="191"/>
      <c r="D159" s="191"/>
      <c r="E159" s="221"/>
      <c r="F159" s="210"/>
      <c r="G159" s="210"/>
      <c r="H159" s="210"/>
      <c r="J159" s="147"/>
    </row>
    <row r="160" spans="3:10" ht="12.75" customHeight="1">
      <c r="C160" s="191"/>
      <c r="D160" s="191"/>
      <c r="E160" s="221"/>
      <c r="F160" s="210"/>
      <c r="G160" s="210"/>
      <c r="H160" s="210"/>
      <c r="J160" s="147"/>
    </row>
    <row r="161" spans="3:10" ht="12.75" customHeight="1">
      <c r="C161" s="191"/>
      <c r="D161" s="191"/>
      <c r="E161" s="221"/>
      <c r="F161" s="210"/>
      <c r="G161" s="210"/>
      <c r="H161" s="210"/>
      <c r="J161" s="147"/>
    </row>
    <row r="162" spans="3:10" ht="12.75" customHeight="1">
      <c r="C162" s="191"/>
      <c r="D162" s="191"/>
      <c r="E162" s="221"/>
      <c r="F162" s="210"/>
      <c r="G162" s="210"/>
      <c r="H162" s="210"/>
      <c r="J162" s="147"/>
    </row>
    <row r="163" spans="3:10" ht="12.75" customHeight="1">
      <c r="C163" s="191"/>
      <c r="D163" s="191"/>
      <c r="E163" s="221"/>
      <c r="F163" s="210"/>
      <c r="G163" s="210"/>
      <c r="H163" s="210"/>
      <c r="J163" s="147"/>
    </row>
    <row r="164" spans="3:10" ht="12.75" customHeight="1">
      <c r="C164" s="191"/>
      <c r="D164" s="191"/>
      <c r="E164" s="221"/>
      <c r="F164" s="210"/>
      <c r="G164" s="210"/>
      <c r="H164" s="210"/>
      <c r="J164" s="147"/>
    </row>
    <row r="165" spans="3:10" ht="12.75" customHeight="1">
      <c r="C165" s="191"/>
      <c r="D165" s="191"/>
      <c r="E165" s="221"/>
      <c r="F165" s="210"/>
      <c r="G165" s="210"/>
      <c r="H165" s="210"/>
      <c r="J165" s="147"/>
    </row>
    <row r="166" spans="3:10" ht="12.75" customHeight="1">
      <c r="C166" s="191"/>
      <c r="D166" s="191"/>
      <c r="E166" s="221"/>
      <c r="F166" s="210"/>
      <c r="G166" s="210"/>
      <c r="H166" s="210"/>
      <c r="J166" s="147"/>
    </row>
    <row r="167" spans="3:10" ht="12.75" customHeight="1">
      <c r="C167" s="191"/>
      <c r="D167" s="191"/>
      <c r="E167" s="221"/>
      <c r="F167" s="210"/>
      <c r="G167" s="210"/>
      <c r="H167" s="210"/>
      <c r="J167" s="147"/>
    </row>
    <row r="168" spans="3:10" ht="12.75" customHeight="1">
      <c r="C168" s="191"/>
      <c r="D168" s="191"/>
      <c r="E168" s="221"/>
      <c r="F168" s="210"/>
      <c r="G168" s="210"/>
      <c r="H168" s="210"/>
      <c r="J168" s="147"/>
    </row>
    <row r="169" spans="3:10" ht="12.75" customHeight="1">
      <c r="C169" s="191"/>
      <c r="D169" s="191"/>
      <c r="E169" s="221"/>
      <c r="F169" s="210"/>
      <c r="G169" s="210"/>
      <c r="H169" s="210"/>
      <c r="J169" s="147"/>
    </row>
    <row r="170" spans="3:10" ht="12.75" customHeight="1">
      <c r="C170" s="191"/>
      <c r="D170" s="191"/>
      <c r="E170" s="221"/>
      <c r="F170" s="210"/>
      <c r="G170" s="210"/>
      <c r="H170" s="210"/>
      <c r="J170" s="147"/>
    </row>
    <row r="171" spans="3:10" ht="12.75" customHeight="1">
      <c r="C171" s="191"/>
      <c r="D171" s="191"/>
      <c r="E171" s="221"/>
      <c r="F171" s="210"/>
      <c r="G171" s="210"/>
      <c r="H171" s="210"/>
      <c r="J171" s="147"/>
    </row>
    <row r="172" spans="3:10" ht="12.75" customHeight="1">
      <c r="C172" s="191"/>
      <c r="D172" s="191"/>
      <c r="E172" s="221"/>
      <c r="F172" s="210"/>
      <c r="G172" s="210"/>
      <c r="H172" s="210"/>
      <c r="J172" s="147"/>
    </row>
    <row r="173" spans="3:10" ht="12.75" customHeight="1">
      <c r="C173" s="191"/>
      <c r="D173" s="191"/>
      <c r="E173" s="221"/>
      <c r="F173" s="210"/>
      <c r="G173" s="210"/>
      <c r="H173" s="210"/>
      <c r="J173" s="147"/>
    </row>
    <row r="174" spans="3:10" ht="12.75" customHeight="1">
      <c r="C174" s="191"/>
      <c r="D174" s="191"/>
      <c r="E174" s="221"/>
      <c r="F174" s="210"/>
      <c r="G174" s="210"/>
      <c r="H174" s="210"/>
      <c r="J174" s="147"/>
    </row>
    <row r="175" spans="3:10" ht="12.75" customHeight="1">
      <c r="C175" s="191"/>
      <c r="D175" s="191"/>
      <c r="E175" s="221"/>
      <c r="F175" s="210"/>
      <c r="G175" s="210"/>
      <c r="H175" s="210"/>
      <c r="J175" s="147"/>
    </row>
    <row r="176" spans="3:10" ht="12.75" customHeight="1">
      <c r="C176" s="191"/>
      <c r="D176" s="191"/>
      <c r="E176" s="221"/>
      <c r="F176" s="210"/>
      <c r="G176" s="210"/>
      <c r="H176" s="210"/>
      <c r="J176" s="147"/>
    </row>
    <row r="177" spans="3:10" ht="12.75" customHeight="1">
      <c r="C177" s="191"/>
      <c r="D177" s="191"/>
      <c r="E177" s="221"/>
      <c r="F177" s="210"/>
      <c r="G177" s="210"/>
      <c r="H177" s="210"/>
      <c r="J177" s="147"/>
    </row>
    <row r="178" spans="3:10" ht="12.75" customHeight="1">
      <c r="C178" s="191"/>
      <c r="D178" s="191"/>
      <c r="E178" s="221"/>
      <c r="F178" s="210"/>
      <c r="G178" s="210"/>
      <c r="H178" s="210"/>
      <c r="J178" s="147"/>
    </row>
    <row r="179" spans="3:10" ht="12.75" customHeight="1">
      <c r="C179" s="191"/>
      <c r="D179" s="191"/>
      <c r="E179" s="221"/>
      <c r="F179" s="210"/>
      <c r="G179" s="210"/>
      <c r="H179" s="210"/>
      <c r="J179" s="147"/>
    </row>
    <row r="180" spans="3:10" ht="12.75" customHeight="1">
      <c r="C180" s="191"/>
      <c r="D180" s="191"/>
      <c r="E180" s="221"/>
      <c r="F180" s="210"/>
      <c r="G180" s="210"/>
      <c r="H180" s="210"/>
      <c r="J180" s="147"/>
    </row>
    <row r="181" spans="3:10" ht="12.75" customHeight="1">
      <c r="C181" s="191"/>
      <c r="D181" s="191"/>
      <c r="E181" s="221"/>
      <c r="F181" s="210"/>
      <c r="G181" s="210"/>
      <c r="H181" s="210"/>
      <c r="J181" s="147"/>
    </row>
    <row r="182" spans="3:10" ht="12.75" customHeight="1">
      <c r="C182" s="191"/>
      <c r="D182" s="191"/>
      <c r="E182" s="221"/>
      <c r="F182" s="210"/>
      <c r="G182" s="210"/>
      <c r="H182" s="210"/>
      <c r="J182" s="147"/>
    </row>
    <row r="183" spans="3:10" ht="12.75" customHeight="1">
      <c r="C183" s="191"/>
      <c r="D183" s="191"/>
      <c r="E183" s="221"/>
      <c r="F183" s="210"/>
      <c r="G183" s="210"/>
      <c r="H183" s="210"/>
      <c r="J183" s="147"/>
    </row>
    <row r="184" spans="3:10" ht="12.75" customHeight="1">
      <c r="C184" s="191"/>
      <c r="D184" s="191"/>
      <c r="E184" s="221"/>
      <c r="F184" s="210"/>
      <c r="G184" s="210"/>
      <c r="H184" s="210"/>
      <c r="J184" s="147"/>
    </row>
    <row r="185" spans="3:10" ht="12.75" customHeight="1">
      <c r="C185" s="191"/>
      <c r="D185" s="191"/>
      <c r="E185" s="221"/>
      <c r="F185" s="210"/>
      <c r="G185" s="210"/>
      <c r="H185" s="210"/>
      <c r="J185" s="147"/>
    </row>
    <row r="186" spans="3:10" ht="12.75" customHeight="1">
      <c r="C186" s="191"/>
      <c r="D186" s="191"/>
      <c r="E186" s="221"/>
      <c r="F186" s="210"/>
      <c r="G186" s="210"/>
      <c r="H186" s="210"/>
      <c r="J186" s="147"/>
    </row>
    <row r="187" spans="3:10" ht="12.75" customHeight="1">
      <c r="C187" s="191"/>
      <c r="D187" s="191"/>
      <c r="E187" s="221"/>
      <c r="F187" s="210"/>
      <c r="G187" s="210"/>
      <c r="H187" s="210"/>
      <c r="J187" s="147"/>
    </row>
    <row r="188" spans="3:10" ht="12.75" customHeight="1">
      <c r="C188" s="191"/>
      <c r="D188" s="191"/>
      <c r="E188" s="221"/>
      <c r="F188" s="210"/>
      <c r="G188" s="210"/>
      <c r="H188" s="210"/>
      <c r="J188" s="147"/>
    </row>
    <row r="189" spans="3:10" ht="12.75" customHeight="1">
      <c r="C189" s="191"/>
      <c r="D189" s="191"/>
      <c r="E189" s="221"/>
      <c r="F189" s="210"/>
      <c r="G189" s="210"/>
      <c r="H189" s="210"/>
      <c r="J189" s="147"/>
    </row>
    <row r="190" spans="3:10" ht="12.75" customHeight="1">
      <c r="C190" s="191"/>
      <c r="D190" s="191"/>
      <c r="E190" s="221"/>
      <c r="F190" s="210"/>
      <c r="G190" s="210"/>
      <c r="H190" s="210"/>
      <c r="J190" s="147"/>
    </row>
    <row r="191" spans="3:10" ht="12.75" customHeight="1">
      <c r="C191" s="191"/>
      <c r="D191" s="191"/>
      <c r="E191" s="221"/>
      <c r="F191" s="210"/>
      <c r="G191" s="210"/>
      <c r="H191" s="210"/>
      <c r="J191" s="147"/>
    </row>
    <row r="192" spans="3:10" ht="12.75" customHeight="1">
      <c r="C192" s="191"/>
      <c r="D192" s="191"/>
      <c r="E192" s="221"/>
      <c r="F192" s="210"/>
      <c r="G192" s="210"/>
      <c r="H192" s="210"/>
      <c r="J192" s="147"/>
    </row>
    <row r="193" spans="3:10" ht="12.75" customHeight="1">
      <c r="C193" s="191"/>
      <c r="D193" s="191"/>
      <c r="E193" s="221"/>
      <c r="F193" s="210"/>
      <c r="G193" s="210"/>
      <c r="H193" s="210"/>
      <c r="J193" s="147"/>
    </row>
    <row r="194" spans="3:10" ht="12.75" customHeight="1">
      <c r="C194" s="191"/>
      <c r="D194" s="191"/>
      <c r="E194" s="221"/>
      <c r="F194" s="210"/>
      <c r="G194" s="210"/>
      <c r="H194" s="210"/>
      <c r="J194" s="147"/>
    </row>
    <row r="195" spans="3:10" ht="12.75" customHeight="1">
      <c r="C195" s="191"/>
      <c r="D195" s="191"/>
      <c r="E195" s="221"/>
      <c r="F195" s="210"/>
      <c r="G195" s="210"/>
      <c r="H195" s="210"/>
      <c r="J195" s="147"/>
    </row>
    <row r="196" spans="3:10" ht="12.75" customHeight="1">
      <c r="C196" s="191"/>
      <c r="D196" s="191"/>
      <c r="E196" s="221"/>
      <c r="F196" s="210"/>
      <c r="G196" s="210"/>
      <c r="H196" s="210"/>
      <c r="J196" s="147"/>
    </row>
    <row r="197" spans="3:10" ht="12.75" customHeight="1">
      <c r="C197" s="191"/>
      <c r="D197" s="191"/>
      <c r="E197" s="221"/>
      <c r="F197" s="210"/>
      <c r="G197" s="210"/>
      <c r="H197" s="210"/>
      <c r="J197" s="147"/>
    </row>
    <row r="198" spans="3:10" ht="12.75" customHeight="1">
      <c r="C198" s="191"/>
      <c r="D198" s="191"/>
      <c r="E198" s="221"/>
      <c r="F198" s="210"/>
      <c r="G198" s="210"/>
      <c r="H198" s="210"/>
      <c r="J198" s="147"/>
    </row>
    <row r="199" spans="3:10" ht="12.75" customHeight="1">
      <c r="C199" s="191"/>
      <c r="D199" s="191"/>
      <c r="E199" s="221"/>
      <c r="F199" s="210"/>
      <c r="G199" s="210"/>
      <c r="H199" s="210"/>
      <c r="J199" s="147"/>
    </row>
    <row r="200" spans="3:10" ht="12.75" customHeight="1">
      <c r="C200" s="191"/>
      <c r="D200" s="191"/>
      <c r="E200" s="221"/>
      <c r="F200" s="210"/>
      <c r="G200" s="210"/>
      <c r="H200" s="210"/>
      <c r="J200" s="147"/>
    </row>
    <row r="201" spans="3:10" ht="12.75" customHeight="1">
      <c r="C201" s="191"/>
      <c r="D201" s="191"/>
      <c r="E201" s="221"/>
      <c r="F201" s="210"/>
      <c r="G201" s="210"/>
      <c r="H201" s="210"/>
      <c r="J201" s="147"/>
    </row>
    <row r="202" spans="3:10" ht="12.75" customHeight="1">
      <c r="C202" s="191"/>
      <c r="D202" s="191"/>
      <c r="E202" s="221"/>
      <c r="F202" s="210"/>
      <c r="G202" s="210"/>
      <c r="H202" s="210"/>
      <c r="J202" s="147"/>
    </row>
    <row r="203" spans="3:10" ht="12.75" customHeight="1">
      <c r="C203" s="191"/>
      <c r="D203" s="191"/>
      <c r="E203" s="221"/>
      <c r="F203" s="210"/>
      <c r="G203" s="210"/>
      <c r="H203" s="210"/>
      <c r="J203" s="147"/>
    </row>
    <row r="204" spans="3:10" ht="12.75" customHeight="1">
      <c r="C204" s="191"/>
      <c r="D204" s="191"/>
      <c r="E204" s="221"/>
      <c r="F204" s="210"/>
      <c r="G204" s="210"/>
      <c r="H204" s="210"/>
      <c r="J204" s="147"/>
    </row>
    <row r="205" spans="3:10" ht="12.75" customHeight="1">
      <c r="C205" s="191"/>
      <c r="D205" s="191"/>
      <c r="E205" s="221"/>
      <c r="F205" s="210"/>
      <c r="G205" s="210"/>
      <c r="H205" s="210"/>
      <c r="J205" s="147"/>
    </row>
    <row r="206" spans="3:10" ht="12.75" customHeight="1">
      <c r="C206" s="191"/>
      <c r="D206" s="191"/>
      <c r="E206" s="221"/>
      <c r="F206" s="210"/>
      <c r="G206" s="210"/>
      <c r="H206" s="210"/>
      <c r="J206" s="147"/>
    </row>
    <row r="207" spans="3:10" ht="12.75" customHeight="1">
      <c r="C207" s="191"/>
      <c r="D207" s="191"/>
      <c r="E207" s="221"/>
      <c r="F207" s="210"/>
      <c r="G207" s="210"/>
      <c r="H207" s="210"/>
      <c r="J207" s="147"/>
    </row>
    <row r="208" spans="3:10" ht="12.75" customHeight="1">
      <c r="C208" s="191"/>
      <c r="D208" s="191"/>
      <c r="E208" s="221"/>
      <c r="F208" s="210"/>
      <c r="G208" s="210"/>
      <c r="H208" s="210"/>
      <c r="J208" s="147"/>
    </row>
    <row r="209" spans="3:10" ht="12.75" customHeight="1">
      <c r="C209" s="191"/>
      <c r="D209" s="191"/>
      <c r="E209" s="221"/>
      <c r="F209" s="210"/>
      <c r="G209" s="210"/>
      <c r="H209" s="210"/>
      <c r="J209" s="147"/>
    </row>
    <row r="210" spans="3:10" ht="12.75" customHeight="1">
      <c r="C210" s="191"/>
      <c r="D210" s="191"/>
      <c r="E210" s="221"/>
      <c r="F210" s="210"/>
      <c r="G210" s="210"/>
      <c r="H210" s="210"/>
      <c r="J210" s="147"/>
    </row>
    <row r="211" spans="3:10" ht="12.75" customHeight="1">
      <c r="C211" s="191"/>
      <c r="D211" s="191"/>
      <c r="E211" s="221"/>
      <c r="F211" s="210"/>
      <c r="G211" s="210"/>
      <c r="H211" s="210"/>
      <c r="J211" s="147"/>
    </row>
    <row r="212" spans="3:10" ht="12.75" customHeight="1">
      <c r="C212" s="191"/>
      <c r="D212" s="191"/>
      <c r="E212" s="221"/>
      <c r="F212" s="210"/>
      <c r="G212" s="210"/>
      <c r="H212" s="210"/>
      <c r="J212" s="147"/>
    </row>
    <row r="213" spans="3:10" ht="12.75" customHeight="1">
      <c r="C213" s="191"/>
      <c r="D213" s="191"/>
      <c r="E213" s="221"/>
      <c r="F213" s="210"/>
      <c r="G213" s="210"/>
      <c r="H213" s="210"/>
      <c r="J213" s="147"/>
    </row>
    <row r="214" spans="3:10" ht="12.75" customHeight="1">
      <c r="C214" s="191"/>
      <c r="D214" s="191"/>
      <c r="E214" s="221"/>
      <c r="F214" s="210"/>
      <c r="G214" s="210"/>
      <c r="H214" s="210"/>
      <c r="J214" s="147"/>
    </row>
    <row r="215" spans="3:10" ht="12.75" customHeight="1">
      <c r="C215" s="191"/>
      <c r="D215" s="191"/>
      <c r="E215" s="221"/>
      <c r="F215" s="210"/>
      <c r="G215" s="210"/>
      <c r="H215" s="210"/>
      <c r="J215" s="147"/>
    </row>
    <row r="216" spans="3:10" ht="12.75" customHeight="1">
      <c r="C216" s="191"/>
      <c r="D216" s="191"/>
      <c r="E216" s="221"/>
      <c r="F216" s="210"/>
      <c r="G216" s="210"/>
      <c r="H216" s="210"/>
      <c r="J216" s="147"/>
    </row>
    <row r="217" spans="3:10" ht="12.75" customHeight="1">
      <c r="C217" s="191"/>
      <c r="D217" s="191"/>
      <c r="E217" s="221"/>
      <c r="F217" s="210"/>
      <c r="G217" s="210"/>
      <c r="H217" s="210"/>
      <c r="J217" s="147"/>
    </row>
    <row r="218" spans="3:10" ht="12.75" customHeight="1">
      <c r="C218" s="191"/>
      <c r="D218" s="191"/>
      <c r="E218" s="221"/>
      <c r="F218" s="210"/>
      <c r="G218" s="210"/>
      <c r="H218" s="210"/>
      <c r="J218" s="147"/>
    </row>
    <row r="219" spans="3:10" ht="12.75" customHeight="1">
      <c r="C219" s="191"/>
      <c r="D219" s="191"/>
      <c r="E219" s="221"/>
      <c r="F219" s="210"/>
      <c r="G219" s="210"/>
      <c r="H219" s="210"/>
      <c r="J219" s="147"/>
    </row>
    <row r="220" spans="3:10" ht="12.75" customHeight="1">
      <c r="C220" s="191"/>
      <c r="D220" s="191"/>
      <c r="E220" s="221"/>
      <c r="F220" s="210"/>
      <c r="G220" s="210"/>
      <c r="H220" s="210"/>
      <c r="J220" s="147"/>
    </row>
    <row r="221" spans="3:10" ht="15.75" customHeight="1">
      <c r="C221" s="191"/>
      <c r="D221" s="191"/>
      <c r="E221" s="221"/>
      <c r="F221" s="210"/>
      <c r="G221" s="210"/>
      <c r="H221" s="210"/>
      <c r="J221" s="147"/>
    </row>
    <row r="222" spans="3:10" ht="15.75" customHeight="1">
      <c r="C222" s="191"/>
      <c r="D222" s="191"/>
      <c r="E222" s="221"/>
      <c r="F222" s="210"/>
      <c r="G222" s="210"/>
      <c r="H222" s="210"/>
      <c r="J222" s="147"/>
    </row>
    <row r="223" spans="3:10" ht="15.75" customHeight="1">
      <c r="C223" s="191"/>
      <c r="D223" s="191"/>
      <c r="E223" s="221"/>
      <c r="F223" s="210"/>
      <c r="G223" s="210"/>
      <c r="H223" s="210"/>
      <c r="J223" s="147"/>
    </row>
    <row r="224" spans="3:10" ht="15.75" customHeight="1">
      <c r="C224" s="191"/>
      <c r="D224" s="191"/>
      <c r="E224" s="221"/>
      <c r="F224" s="210"/>
      <c r="G224" s="210"/>
      <c r="H224" s="210"/>
      <c r="J224" s="147"/>
    </row>
    <row r="225" spans="3:10" ht="15.75" customHeight="1">
      <c r="C225" s="191"/>
      <c r="D225" s="191"/>
      <c r="E225" s="221"/>
      <c r="F225" s="210"/>
      <c r="G225" s="210"/>
      <c r="H225" s="210"/>
      <c r="J225" s="147"/>
    </row>
    <row r="226" spans="3:10" ht="15.75" customHeight="1">
      <c r="C226" s="191"/>
      <c r="D226" s="191"/>
      <c r="E226" s="221"/>
      <c r="F226" s="210"/>
      <c r="G226" s="210"/>
      <c r="H226" s="210"/>
      <c r="J226" s="147"/>
    </row>
    <row r="227" spans="3:10" ht="15.75" customHeight="1">
      <c r="C227" s="191"/>
      <c r="D227" s="191"/>
      <c r="E227" s="221"/>
      <c r="F227" s="210"/>
      <c r="G227" s="210"/>
      <c r="H227" s="210"/>
      <c r="J227" s="147"/>
    </row>
    <row r="228" spans="3:10" ht="15.75" customHeight="1">
      <c r="C228" s="191"/>
      <c r="D228" s="191"/>
      <c r="E228" s="221"/>
      <c r="F228" s="210"/>
      <c r="G228" s="210"/>
      <c r="H228" s="210"/>
      <c r="J228" s="147"/>
    </row>
    <row r="229" spans="3:10" ht="15.75" customHeight="1">
      <c r="C229" s="191"/>
      <c r="D229" s="191"/>
      <c r="E229" s="221"/>
      <c r="F229" s="210"/>
      <c r="G229" s="210"/>
      <c r="H229" s="210"/>
      <c r="J229" s="147"/>
    </row>
    <row r="230" spans="3:10" ht="15.75" customHeight="1">
      <c r="C230" s="191"/>
      <c r="D230" s="191"/>
      <c r="E230" s="221"/>
      <c r="F230" s="210"/>
      <c r="G230" s="210"/>
      <c r="H230" s="210"/>
      <c r="J230" s="147"/>
    </row>
    <row r="231" spans="3:10" ht="15.75" customHeight="1">
      <c r="C231" s="191"/>
      <c r="D231" s="191"/>
      <c r="E231" s="221"/>
      <c r="F231" s="210"/>
      <c r="G231" s="210"/>
      <c r="H231" s="210"/>
      <c r="J231" s="147"/>
    </row>
    <row r="232" spans="3:10" ht="15.75" customHeight="1">
      <c r="C232" s="191"/>
      <c r="D232" s="191"/>
      <c r="E232" s="221"/>
      <c r="F232" s="210"/>
      <c r="G232" s="210"/>
      <c r="H232" s="210"/>
      <c r="J232" s="147"/>
    </row>
    <row r="233" spans="3:10" ht="15.75" customHeight="1">
      <c r="C233" s="191"/>
      <c r="D233" s="191"/>
      <c r="E233" s="221"/>
      <c r="F233" s="210"/>
      <c r="G233" s="210"/>
      <c r="H233" s="210"/>
      <c r="J233" s="147"/>
    </row>
    <row r="234" spans="3:10" ht="15.75" customHeight="1">
      <c r="C234" s="191"/>
      <c r="D234" s="191"/>
      <c r="E234" s="221"/>
      <c r="F234" s="210"/>
      <c r="G234" s="210"/>
      <c r="H234" s="210"/>
      <c r="J234" s="147"/>
    </row>
    <row r="235" spans="3:10" ht="15.75" customHeight="1">
      <c r="C235" s="191"/>
      <c r="D235" s="191"/>
      <c r="E235" s="221"/>
      <c r="F235" s="210"/>
      <c r="G235" s="210"/>
      <c r="H235" s="210"/>
      <c r="J235" s="147"/>
    </row>
    <row r="236" spans="3:10" ht="15.75" customHeight="1">
      <c r="C236" s="191"/>
      <c r="D236" s="191"/>
      <c r="E236" s="221"/>
      <c r="F236" s="210"/>
      <c r="G236" s="210"/>
      <c r="H236" s="210"/>
      <c r="J236" s="147"/>
    </row>
    <row r="237" spans="3:10" ht="15.75" customHeight="1">
      <c r="C237" s="191"/>
      <c r="D237" s="191"/>
      <c r="E237" s="221"/>
      <c r="F237" s="210"/>
      <c r="G237" s="210"/>
      <c r="H237" s="210"/>
      <c r="J237" s="147"/>
    </row>
    <row r="238" spans="3:10" ht="15.75" customHeight="1">
      <c r="C238" s="191"/>
      <c r="D238" s="191"/>
      <c r="E238" s="221"/>
      <c r="F238" s="210"/>
      <c r="G238" s="210"/>
      <c r="H238" s="210"/>
      <c r="J238" s="147"/>
    </row>
    <row r="239" spans="3:10" ht="15.75" customHeight="1">
      <c r="C239" s="191"/>
      <c r="D239" s="191"/>
      <c r="E239" s="221"/>
      <c r="F239" s="210"/>
      <c r="G239" s="210"/>
      <c r="H239" s="210"/>
      <c r="J239" s="147"/>
    </row>
    <row r="240" spans="3:10" ht="15.75" customHeight="1">
      <c r="C240" s="191"/>
      <c r="D240" s="191"/>
      <c r="E240" s="221"/>
      <c r="F240" s="210"/>
      <c r="G240" s="210"/>
      <c r="H240" s="210"/>
      <c r="J240" s="147"/>
    </row>
    <row r="241" spans="3:10" ht="15.75" customHeight="1">
      <c r="C241" s="191"/>
      <c r="D241" s="191"/>
      <c r="E241" s="221"/>
      <c r="F241" s="210"/>
      <c r="G241" s="210"/>
      <c r="H241" s="210"/>
      <c r="J241" s="147"/>
    </row>
    <row r="242" spans="3:10" ht="15.75" customHeight="1">
      <c r="C242" s="191"/>
      <c r="D242" s="191"/>
      <c r="E242" s="221"/>
      <c r="F242" s="210"/>
      <c r="G242" s="210"/>
      <c r="H242" s="210"/>
      <c r="J242" s="147"/>
    </row>
    <row r="243" spans="3:10" ht="15.75" customHeight="1">
      <c r="C243" s="191"/>
      <c r="D243" s="191"/>
      <c r="E243" s="221"/>
      <c r="F243" s="210"/>
      <c r="G243" s="210"/>
      <c r="H243" s="210"/>
      <c r="J243" s="147"/>
    </row>
    <row r="244" spans="3:10" ht="15.75" customHeight="1">
      <c r="C244" s="191"/>
      <c r="D244" s="191"/>
      <c r="E244" s="221"/>
      <c r="F244" s="210"/>
      <c r="G244" s="210"/>
      <c r="H244" s="210"/>
      <c r="J244" s="147"/>
    </row>
    <row r="245" spans="3:10" ht="15.75" customHeight="1">
      <c r="C245" s="191"/>
      <c r="D245" s="191"/>
      <c r="E245" s="221"/>
      <c r="F245" s="210"/>
      <c r="G245" s="210"/>
      <c r="H245" s="210"/>
      <c r="J245" s="147"/>
    </row>
    <row r="246" spans="3:10" ht="15.75" customHeight="1">
      <c r="C246" s="191"/>
      <c r="D246" s="191"/>
      <c r="E246" s="221"/>
      <c r="F246" s="210"/>
      <c r="G246" s="210"/>
      <c r="H246" s="210"/>
      <c r="J246" s="147"/>
    </row>
    <row r="247" spans="3:10" ht="15.75" customHeight="1">
      <c r="C247" s="191"/>
      <c r="D247" s="191"/>
      <c r="E247" s="221"/>
      <c r="F247" s="210"/>
      <c r="G247" s="210"/>
      <c r="H247" s="210"/>
      <c r="J247" s="147"/>
    </row>
    <row r="248" spans="3:10" ht="15.75" customHeight="1">
      <c r="C248" s="191"/>
      <c r="D248" s="191"/>
      <c r="E248" s="221"/>
      <c r="F248" s="210"/>
      <c r="G248" s="210"/>
      <c r="H248" s="210"/>
      <c r="J248" s="147"/>
    </row>
    <row r="249" spans="3:10" ht="15.75" customHeight="1">
      <c r="C249" s="191"/>
      <c r="D249" s="191"/>
      <c r="E249" s="221"/>
      <c r="F249" s="210"/>
      <c r="G249" s="210"/>
      <c r="H249" s="210"/>
      <c r="J249" s="147"/>
    </row>
    <row r="250" spans="3:10" ht="15.75" customHeight="1">
      <c r="C250" s="191"/>
      <c r="D250" s="191"/>
      <c r="E250" s="221"/>
      <c r="F250" s="210"/>
      <c r="G250" s="210"/>
      <c r="H250" s="210"/>
      <c r="J250" s="147"/>
    </row>
    <row r="251" spans="3:10" ht="15.75" customHeight="1">
      <c r="C251" s="191"/>
      <c r="D251" s="191"/>
      <c r="E251" s="221"/>
      <c r="F251" s="210"/>
      <c r="G251" s="210"/>
      <c r="H251" s="210"/>
      <c r="J251" s="147"/>
    </row>
    <row r="252" spans="3:10" ht="15.75" customHeight="1">
      <c r="C252" s="191"/>
      <c r="D252" s="191"/>
      <c r="E252" s="221"/>
      <c r="F252" s="210"/>
      <c r="G252" s="210"/>
      <c r="H252" s="210"/>
      <c r="J252" s="147"/>
    </row>
    <row r="253" spans="3:10" ht="15.75" customHeight="1">
      <c r="C253" s="191"/>
      <c r="D253" s="191"/>
      <c r="E253" s="221"/>
      <c r="F253" s="210"/>
      <c r="G253" s="210"/>
      <c r="H253" s="210"/>
      <c r="J253" s="147"/>
    </row>
    <row r="254" spans="3:10" ht="15.75" customHeight="1">
      <c r="C254" s="191"/>
      <c r="D254" s="191"/>
      <c r="E254" s="221"/>
      <c r="F254" s="210"/>
      <c r="G254" s="210"/>
      <c r="H254" s="210"/>
      <c r="J254" s="147"/>
    </row>
    <row r="255" spans="3:10" ht="15.75" customHeight="1">
      <c r="C255" s="191"/>
      <c r="D255" s="191"/>
      <c r="E255" s="221"/>
      <c r="F255" s="210"/>
      <c r="G255" s="210"/>
      <c r="H255" s="210"/>
      <c r="J255" s="147"/>
    </row>
    <row r="256" spans="3:10" ht="15.75" customHeight="1">
      <c r="C256" s="191"/>
      <c r="D256" s="191"/>
      <c r="E256" s="221"/>
      <c r="F256" s="210"/>
      <c r="G256" s="210"/>
      <c r="H256" s="210"/>
      <c r="J256" s="147"/>
    </row>
    <row r="257" spans="3:10" ht="15.75" customHeight="1">
      <c r="C257" s="191"/>
      <c r="D257" s="191"/>
      <c r="E257" s="221"/>
      <c r="F257" s="210"/>
      <c r="G257" s="210"/>
      <c r="H257" s="210"/>
      <c r="J257" s="147"/>
    </row>
    <row r="258" spans="3:10" ht="15.75" customHeight="1">
      <c r="C258" s="191"/>
      <c r="D258" s="191"/>
      <c r="E258" s="221"/>
      <c r="F258" s="210"/>
      <c r="G258" s="210"/>
      <c r="H258" s="210"/>
      <c r="J258" s="147"/>
    </row>
    <row r="259" spans="3:10" ht="15.75" customHeight="1">
      <c r="C259" s="191"/>
      <c r="D259" s="191"/>
      <c r="E259" s="221"/>
      <c r="F259" s="210"/>
      <c r="G259" s="210"/>
      <c r="H259" s="210"/>
      <c r="J259" s="147"/>
    </row>
    <row r="260" spans="3:10" ht="15.75" customHeight="1">
      <c r="C260" s="191"/>
      <c r="D260" s="191"/>
      <c r="E260" s="221"/>
      <c r="F260" s="210"/>
      <c r="G260" s="210"/>
      <c r="H260" s="210"/>
      <c r="J260" s="147"/>
    </row>
    <row r="261" spans="3:10" ht="15.75" customHeight="1">
      <c r="C261" s="191"/>
      <c r="D261" s="191"/>
      <c r="E261" s="221"/>
      <c r="F261" s="210"/>
      <c r="G261" s="210"/>
      <c r="H261" s="210"/>
      <c r="J261" s="147"/>
    </row>
    <row r="262" spans="3:10" ht="15.75" customHeight="1">
      <c r="C262" s="191"/>
      <c r="D262" s="191"/>
      <c r="E262" s="221"/>
      <c r="F262" s="210"/>
      <c r="G262" s="210"/>
      <c r="H262" s="210"/>
      <c r="J262" s="147"/>
    </row>
    <row r="263" spans="3:10" ht="15.75" customHeight="1">
      <c r="C263" s="191"/>
      <c r="D263" s="191"/>
      <c r="E263" s="221"/>
      <c r="F263" s="210"/>
      <c r="G263" s="210"/>
      <c r="H263" s="210"/>
      <c r="J263" s="147"/>
    </row>
    <row r="264" spans="3:10" ht="15.75" customHeight="1">
      <c r="C264" s="191"/>
      <c r="D264" s="191"/>
      <c r="E264" s="221"/>
      <c r="F264" s="210"/>
      <c r="G264" s="210"/>
      <c r="H264" s="210"/>
      <c r="J264" s="147"/>
    </row>
    <row r="265" spans="3:10" ht="15.75" customHeight="1">
      <c r="C265" s="191"/>
      <c r="D265" s="191"/>
      <c r="E265" s="221"/>
      <c r="F265" s="210"/>
      <c r="G265" s="210"/>
      <c r="H265" s="210"/>
      <c r="J265" s="147"/>
    </row>
    <row r="266" spans="3:10" ht="15.75" customHeight="1">
      <c r="C266" s="191"/>
      <c r="D266" s="191"/>
      <c r="E266" s="221"/>
      <c r="F266" s="210"/>
      <c r="G266" s="210"/>
      <c r="H266" s="210"/>
      <c r="J266" s="147"/>
    </row>
    <row r="267" spans="3:10" ht="15.75" customHeight="1">
      <c r="C267" s="191"/>
      <c r="D267" s="191"/>
      <c r="E267" s="221"/>
      <c r="F267" s="210"/>
      <c r="G267" s="210"/>
      <c r="H267" s="210"/>
      <c r="J267" s="147"/>
    </row>
    <row r="268" spans="3:10" ht="15.75" customHeight="1">
      <c r="C268" s="191"/>
      <c r="D268" s="191"/>
      <c r="E268" s="221"/>
      <c r="F268" s="210"/>
      <c r="G268" s="210"/>
      <c r="H268" s="210"/>
      <c r="J268" s="147"/>
    </row>
    <row r="269" spans="3:10" ht="15.75" customHeight="1">
      <c r="C269" s="191"/>
      <c r="D269" s="191"/>
      <c r="E269" s="221"/>
      <c r="F269" s="210"/>
      <c r="G269" s="210"/>
      <c r="H269" s="210"/>
      <c r="J269" s="147"/>
    </row>
    <row r="270" spans="3:10" ht="15.75" customHeight="1">
      <c r="C270" s="191"/>
      <c r="D270" s="191"/>
      <c r="E270" s="221"/>
      <c r="F270" s="210"/>
      <c r="G270" s="210"/>
      <c r="H270" s="210"/>
      <c r="J270" s="147"/>
    </row>
    <row r="271" spans="3:10" ht="15.75" customHeight="1">
      <c r="C271" s="191"/>
      <c r="D271" s="191"/>
      <c r="E271" s="221"/>
      <c r="F271" s="210"/>
      <c r="G271" s="210"/>
      <c r="H271" s="210"/>
      <c r="J271" s="147"/>
    </row>
    <row r="272" spans="3:10" ht="15.75" customHeight="1">
      <c r="C272" s="191"/>
      <c r="D272" s="191"/>
      <c r="E272" s="221"/>
      <c r="F272" s="210"/>
      <c r="G272" s="210"/>
      <c r="H272" s="210"/>
      <c r="J272" s="147"/>
    </row>
    <row r="273" spans="3:10" ht="15.75" customHeight="1">
      <c r="C273" s="191"/>
      <c r="D273" s="191"/>
      <c r="E273" s="221"/>
      <c r="F273" s="210"/>
      <c r="G273" s="210"/>
      <c r="H273" s="210"/>
      <c r="J273" s="147"/>
    </row>
    <row r="274" spans="3:10" ht="15.75" customHeight="1">
      <c r="C274" s="191"/>
      <c r="D274" s="191"/>
      <c r="E274" s="221"/>
      <c r="F274" s="210"/>
      <c r="G274" s="210"/>
      <c r="H274" s="210"/>
      <c r="J274" s="147"/>
    </row>
    <row r="275" spans="3:10" ht="15.75" customHeight="1">
      <c r="C275" s="191"/>
      <c r="D275" s="191"/>
      <c r="E275" s="221"/>
      <c r="F275" s="210"/>
      <c r="G275" s="210"/>
      <c r="H275" s="210"/>
      <c r="J275" s="147"/>
    </row>
    <row r="276" spans="3:10" ht="15.75" customHeight="1">
      <c r="C276" s="191"/>
      <c r="D276" s="191"/>
      <c r="E276" s="221"/>
      <c r="F276" s="210"/>
      <c r="G276" s="210"/>
      <c r="H276" s="210"/>
      <c r="J276" s="147"/>
    </row>
    <row r="277" spans="3:10" ht="15.75" customHeight="1">
      <c r="C277" s="191"/>
      <c r="D277" s="191"/>
      <c r="E277" s="221"/>
      <c r="F277" s="210"/>
      <c r="G277" s="210"/>
      <c r="H277" s="210"/>
      <c r="J277" s="147"/>
    </row>
    <row r="278" spans="3:10" ht="15.75" customHeight="1">
      <c r="C278" s="191"/>
      <c r="D278" s="191"/>
      <c r="E278" s="221"/>
      <c r="F278" s="210"/>
      <c r="G278" s="210"/>
      <c r="H278" s="210"/>
      <c r="J278" s="147"/>
    </row>
    <row r="279" spans="3:10" ht="15.75" customHeight="1">
      <c r="C279" s="191"/>
      <c r="D279" s="191"/>
      <c r="E279" s="221"/>
      <c r="F279" s="210"/>
      <c r="G279" s="210"/>
      <c r="H279" s="210"/>
      <c r="J279" s="147"/>
    </row>
    <row r="280" spans="3:10" ht="15.75" customHeight="1">
      <c r="C280" s="191"/>
      <c r="D280" s="191"/>
      <c r="E280" s="221"/>
      <c r="F280" s="210"/>
      <c r="G280" s="210"/>
      <c r="H280" s="210"/>
      <c r="J280" s="147"/>
    </row>
    <row r="281" spans="3:10" ht="15.75" customHeight="1">
      <c r="C281" s="191"/>
      <c r="D281" s="191"/>
      <c r="E281" s="221"/>
      <c r="F281" s="210"/>
      <c r="G281" s="210"/>
      <c r="H281" s="210"/>
      <c r="J281" s="147"/>
    </row>
    <row r="282" spans="3:10" ht="15.75" customHeight="1">
      <c r="C282" s="191"/>
      <c r="D282" s="191"/>
      <c r="E282" s="221"/>
      <c r="F282" s="210"/>
      <c r="G282" s="210"/>
      <c r="H282" s="210"/>
      <c r="J282" s="147"/>
    </row>
    <row r="283" spans="3:10" ht="15.75" customHeight="1">
      <c r="C283" s="191"/>
      <c r="D283" s="191"/>
      <c r="E283" s="221"/>
      <c r="F283" s="210"/>
      <c r="G283" s="210"/>
      <c r="H283" s="210"/>
      <c r="J283" s="147"/>
    </row>
    <row r="284" spans="3:10" ht="15.75" customHeight="1">
      <c r="C284" s="191"/>
      <c r="D284" s="191"/>
      <c r="E284" s="221"/>
      <c r="F284" s="210"/>
      <c r="G284" s="210"/>
      <c r="H284" s="210"/>
      <c r="J284" s="147"/>
    </row>
    <row r="285" spans="3:10" ht="15.75" customHeight="1">
      <c r="C285" s="191"/>
      <c r="D285" s="191"/>
      <c r="E285" s="221"/>
      <c r="F285" s="210"/>
      <c r="G285" s="210"/>
      <c r="H285" s="210"/>
      <c r="J285" s="147"/>
    </row>
    <row r="286" spans="3:10" ht="15.75" customHeight="1">
      <c r="C286" s="191"/>
      <c r="D286" s="191"/>
      <c r="E286" s="221"/>
      <c r="F286" s="210"/>
      <c r="G286" s="210"/>
      <c r="H286" s="210"/>
      <c r="J286" s="147"/>
    </row>
    <row r="287" spans="3:10" ht="15.75" customHeight="1">
      <c r="C287" s="191"/>
      <c r="D287" s="191"/>
      <c r="E287" s="221"/>
      <c r="F287" s="210"/>
      <c r="G287" s="210"/>
      <c r="H287" s="210"/>
      <c r="J287" s="147"/>
    </row>
    <row r="288" spans="3:10" ht="15.75" customHeight="1">
      <c r="C288" s="191"/>
      <c r="D288" s="191"/>
      <c r="E288" s="221"/>
      <c r="F288" s="210"/>
      <c r="G288" s="210"/>
      <c r="H288" s="210"/>
      <c r="J288" s="147"/>
    </row>
    <row r="289" spans="3:10" ht="15.75" customHeight="1">
      <c r="C289" s="191"/>
      <c r="D289" s="191"/>
      <c r="E289" s="221"/>
      <c r="F289" s="210"/>
      <c r="G289" s="210"/>
      <c r="H289" s="210"/>
      <c r="J289" s="147"/>
    </row>
    <row r="290" spans="3:10" ht="15.75" customHeight="1">
      <c r="C290" s="191"/>
      <c r="D290" s="191"/>
      <c r="E290" s="221"/>
      <c r="F290" s="210"/>
      <c r="G290" s="210"/>
      <c r="H290" s="210"/>
      <c r="J290" s="147"/>
    </row>
    <row r="291" spans="3:10" ht="15.75" customHeight="1">
      <c r="C291" s="191"/>
      <c r="D291" s="191"/>
      <c r="E291" s="221"/>
      <c r="F291" s="210"/>
      <c r="G291" s="210"/>
      <c r="H291" s="210"/>
      <c r="J291" s="147"/>
    </row>
    <row r="292" spans="3:10" ht="15.75" customHeight="1">
      <c r="C292" s="191"/>
      <c r="D292" s="191"/>
      <c r="E292" s="221"/>
      <c r="F292" s="210"/>
      <c r="G292" s="210"/>
      <c r="H292" s="210"/>
      <c r="J292" s="147"/>
    </row>
    <row r="293" spans="3:10" ht="15.75" customHeight="1">
      <c r="C293" s="191"/>
      <c r="D293" s="191"/>
      <c r="E293" s="221"/>
      <c r="F293" s="210"/>
      <c r="G293" s="210"/>
      <c r="H293" s="210"/>
      <c r="J293" s="147"/>
    </row>
    <row r="294" spans="3:10" ht="15.75" customHeight="1">
      <c r="C294" s="191"/>
      <c r="D294" s="191"/>
      <c r="E294" s="221"/>
      <c r="F294" s="210"/>
      <c r="G294" s="210"/>
      <c r="H294" s="210"/>
      <c r="J294" s="147"/>
    </row>
    <row r="295" spans="3:10" ht="15.75" customHeight="1">
      <c r="C295" s="191"/>
      <c r="D295" s="191"/>
      <c r="E295" s="221"/>
      <c r="F295" s="210"/>
      <c r="G295" s="210"/>
      <c r="H295" s="210"/>
      <c r="J295" s="147"/>
    </row>
    <row r="296" spans="3:10" ht="15.75" customHeight="1">
      <c r="C296" s="191"/>
      <c r="D296" s="191"/>
      <c r="E296" s="221"/>
      <c r="F296" s="210"/>
      <c r="G296" s="210"/>
      <c r="H296" s="210"/>
      <c r="J296" s="147"/>
    </row>
    <row r="297" spans="3:10" ht="15.75" customHeight="1">
      <c r="C297" s="191"/>
      <c r="D297" s="191"/>
      <c r="E297" s="221"/>
      <c r="F297" s="210"/>
      <c r="G297" s="210"/>
      <c r="H297" s="210"/>
      <c r="J297" s="147"/>
    </row>
    <row r="298" spans="3:10" ht="15.75" customHeight="1">
      <c r="C298" s="191"/>
      <c r="D298" s="191"/>
      <c r="E298" s="221"/>
      <c r="F298" s="210"/>
      <c r="G298" s="210"/>
      <c r="H298" s="210"/>
      <c r="J298" s="147"/>
    </row>
    <row r="299" spans="3:10" ht="15.75" customHeight="1">
      <c r="C299" s="191"/>
      <c r="D299" s="191"/>
      <c r="E299" s="221"/>
      <c r="F299" s="210"/>
      <c r="G299" s="210"/>
      <c r="H299" s="210"/>
      <c r="J299" s="147"/>
    </row>
    <row r="300" spans="3:10" ht="15.75" customHeight="1">
      <c r="C300" s="191"/>
      <c r="D300" s="191"/>
      <c r="E300" s="221"/>
      <c r="F300" s="210"/>
      <c r="G300" s="210"/>
      <c r="H300" s="210"/>
      <c r="J300" s="147"/>
    </row>
    <row r="301" spans="3:10" ht="15.75" customHeight="1">
      <c r="C301" s="191"/>
      <c r="D301" s="191"/>
      <c r="E301" s="221"/>
      <c r="F301" s="210"/>
      <c r="G301" s="210"/>
      <c r="H301" s="210"/>
      <c r="J301" s="147"/>
    </row>
    <row r="302" spans="3:10" ht="15.75" customHeight="1">
      <c r="C302" s="191"/>
      <c r="D302" s="191"/>
      <c r="E302" s="221"/>
      <c r="F302" s="210"/>
      <c r="G302" s="210"/>
      <c r="H302" s="210"/>
      <c r="J302" s="147"/>
    </row>
    <row r="303" spans="3:10" ht="15.75" customHeight="1">
      <c r="C303" s="191"/>
      <c r="D303" s="191"/>
      <c r="E303" s="221"/>
      <c r="F303" s="210"/>
      <c r="G303" s="210"/>
      <c r="H303" s="210"/>
      <c r="J303" s="147"/>
    </row>
    <row r="304" spans="3:10" ht="15.75" customHeight="1">
      <c r="C304" s="191"/>
      <c r="D304" s="191"/>
      <c r="E304" s="221"/>
      <c r="F304" s="210"/>
      <c r="G304" s="210"/>
      <c r="H304" s="210"/>
      <c r="J304" s="147"/>
    </row>
    <row r="305" spans="3:10" ht="15.75" customHeight="1">
      <c r="C305" s="191"/>
      <c r="D305" s="191"/>
      <c r="E305" s="221"/>
      <c r="F305" s="210"/>
      <c r="G305" s="210"/>
      <c r="H305" s="210"/>
      <c r="J305" s="147"/>
    </row>
    <row r="306" spans="3:10" ht="15.75" customHeight="1">
      <c r="C306" s="191"/>
      <c r="D306" s="191"/>
      <c r="E306" s="221"/>
      <c r="F306" s="210"/>
      <c r="G306" s="210"/>
      <c r="H306" s="210"/>
      <c r="J306" s="147"/>
    </row>
    <row r="307" spans="3:10" ht="15.75" customHeight="1">
      <c r="C307" s="191"/>
      <c r="D307" s="191"/>
      <c r="E307" s="221"/>
      <c r="F307" s="210"/>
      <c r="G307" s="210"/>
      <c r="H307" s="210"/>
      <c r="J307" s="147"/>
    </row>
    <row r="308" spans="3:10" ht="15.75" customHeight="1">
      <c r="C308" s="191"/>
      <c r="D308" s="191"/>
      <c r="E308" s="221"/>
      <c r="F308" s="210"/>
      <c r="G308" s="210"/>
      <c r="H308" s="210"/>
      <c r="J308" s="147"/>
    </row>
    <row r="309" spans="3:10" ht="15.75" customHeight="1">
      <c r="C309" s="191"/>
      <c r="D309" s="191"/>
      <c r="E309" s="221"/>
      <c r="F309" s="210"/>
      <c r="G309" s="210"/>
      <c r="H309" s="210"/>
      <c r="J309" s="147"/>
    </row>
    <row r="310" spans="3:10" ht="15.75" customHeight="1">
      <c r="C310" s="191"/>
      <c r="D310" s="191"/>
      <c r="E310" s="221"/>
      <c r="F310" s="210"/>
      <c r="G310" s="210"/>
      <c r="H310" s="210"/>
      <c r="J310" s="147"/>
    </row>
    <row r="311" spans="3:10" ht="15.75" customHeight="1">
      <c r="C311" s="191"/>
      <c r="D311" s="191"/>
      <c r="E311" s="221"/>
      <c r="F311" s="210"/>
      <c r="G311" s="210"/>
      <c r="H311" s="210"/>
      <c r="J311" s="147"/>
    </row>
    <row r="312" spans="3:10" ht="15.75" customHeight="1">
      <c r="C312" s="191"/>
      <c r="D312" s="191"/>
      <c r="E312" s="221"/>
      <c r="F312" s="210"/>
      <c r="G312" s="210"/>
      <c r="H312" s="210"/>
      <c r="J312" s="147"/>
    </row>
    <row r="313" spans="3:10" ht="15.75" customHeight="1">
      <c r="C313" s="191"/>
      <c r="D313" s="191"/>
      <c r="E313" s="221"/>
      <c r="F313" s="210"/>
      <c r="G313" s="210"/>
      <c r="H313" s="210"/>
      <c r="J313" s="147"/>
    </row>
    <row r="314" spans="3:10" ht="15.75" customHeight="1">
      <c r="C314" s="191"/>
      <c r="D314" s="191"/>
      <c r="E314" s="221"/>
      <c r="F314" s="210"/>
      <c r="G314" s="210"/>
      <c r="H314" s="210"/>
      <c r="J314" s="147"/>
    </row>
    <row r="315" spans="3:10" ht="15.75" customHeight="1">
      <c r="C315" s="191"/>
      <c r="D315" s="191"/>
      <c r="E315" s="221"/>
      <c r="F315" s="210"/>
      <c r="G315" s="210"/>
      <c r="H315" s="210"/>
      <c r="J315" s="147"/>
    </row>
    <row r="316" spans="3:10" ht="15.75" customHeight="1">
      <c r="C316" s="191"/>
      <c r="D316" s="191"/>
      <c r="E316" s="221"/>
      <c r="F316" s="210"/>
      <c r="G316" s="210"/>
      <c r="H316" s="210"/>
      <c r="J316" s="147"/>
    </row>
    <row r="317" spans="3:10" ht="15.75" customHeight="1">
      <c r="C317" s="191"/>
      <c r="D317" s="191"/>
      <c r="E317" s="221"/>
      <c r="F317" s="210"/>
      <c r="G317" s="210"/>
      <c r="H317" s="210"/>
      <c r="J317" s="147"/>
    </row>
    <row r="318" spans="3:10" ht="15.75" customHeight="1">
      <c r="C318" s="191"/>
      <c r="D318" s="191"/>
      <c r="E318" s="221"/>
      <c r="F318" s="210"/>
      <c r="G318" s="210"/>
      <c r="H318" s="210"/>
      <c r="J318" s="147"/>
    </row>
    <row r="319" spans="3:10" ht="15.75" customHeight="1">
      <c r="C319" s="191"/>
      <c r="D319" s="191"/>
      <c r="E319" s="221"/>
      <c r="F319" s="210"/>
      <c r="G319" s="210"/>
      <c r="H319" s="210"/>
      <c r="J319" s="147"/>
    </row>
    <row r="320" spans="3:10" ht="15.75" customHeight="1">
      <c r="C320" s="191"/>
      <c r="D320" s="191"/>
      <c r="E320" s="221"/>
      <c r="F320" s="210"/>
      <c r="G320" s="210"/>
      <c r="H320" s="210"/>
      <c r="J320" s="147"/>
    </row>
    <row r="321" spans="3:10" ht="15.75" customHeight="1">
      <c r="C321" s="191"/>
      <c r="D321" s="191"/>
      <c r="E321" s="221"/>
      <c r="F321" s="210"/>
      <c r="G321" s="210"/>
      <c r="H321" s="210"/>
      <c r="J321" s="147"/>
    </row>
    <row r="322" spans="3:10" ht="15.75" customHeight="1">
      <c r="C322" s="191"/>
      <c r="D322" s="191"/>
      <c r="E322" s="221"/>
      <c r="F322" s="210"/>
      <c r="G322" s="210"/>
      <c r="H322" s="210"/>
      <c r="J322" s="147"/>
    </row>
    <row r="323" spans="3:10" ht="15.75" customHeight="1">
      <c r="C323" s="191"/>
      <c r="D323" s="191"/>
      <c r="E323" s="221"/>
      <c r="F323" s="210"/>
      <c r="G323" s="210"/>
      <c r="H323" s="210"/>
      <c r="J323" s="147"/>
    </row>
    <row r="324" spans="3:10" ht="15.75" customHeight="1">
      <c r="C324" s="191"/>
      <c r="D324" s="191"/>
      <c r="E324" s="221"/>
      <c r="F324" s="210"/>
      <c r="G324" s="210"/>
      <c r="H324" s="210"/>
      <c r="J324" s="147"/>
    </row>
    <row r="325" spans="3:10" ht="15.75" customHeight="1">
      <c r="C325" s="191"/>
      <c r="D325" s="191"/>
      <c r="E325" s="221"/>
      <c r="F325" s="210"/>
      <c r="G325" s="210"/>
      <c r="H325" s="210"/>
      <c r="J325" s="147"/>
    </row>
    <row r="326" spans="3:10" ht="15.75" customHeight="1">
      <c r="C326" s="191"/>
      <c r="D326" s="191"/>
      <c r="E326" s="221"/>
      <c r="F326" s="210"/>
      <c r="G326" s="210"/>
      <c r="H326" s="210"/>
      <c r="J326" s="147"/>
    </row>
    <row r="327" spans="3:10" ht="15.75" customHeight="1">
      <c r="C327" s="191"/>
      <c r="D327" s="191"/>
      <c r="E327" s="221"/>
      <c r="F327" s="210"/>
      <c r="G327" s="210"/>
      <c r="H327" s="210"/>
      <c r="J327" s="147"/>
    </row>
    <row r="328" spans="3:10" ht="15.75" customHeight="1">
      <c r="C328" s="191"/>
      <c r="D328" s="191"/>
      <c r="E328" s="221"/>
      <c r="F328" s="210"/>
      <c r="G328" s="210"/>
      <c r="H328" s="210"/>
      <c r="J328" s="147"/>
    </row>
    <row r="329" spans="3:10" ht="15.75" customHeight="1">
      <c r="C329" s="191"/>
      <c r="D329" s="191"/>
      <c r="E329" s="221"/>
      <c r="F329" s="210"/>
      <c r="G329" s="210"/>
      <c r="H329" s="210"/>
      <c r="J329" s="147"/>
    </row>
    <row r="330" spans="3:10" ht="15.75" customHeight="1">
      <c r="C330" s="191"/>
      <c r="D330" s="191"/>
      <c r="E330" s="221"/>
      <c r="F330" s="210"/>
      <c r="G330" s="210"/>
      <c r="H330" s="210"/>
      <c r="J330" s="147"/>
    </row>
    <row r="331" spans="3:10" ht="15.75" customHeight="1">
      <c r="C331" s="191"/>
      <c r="D331" s="191"/>
      <c r="E331" s="221"/>
      <c r="F331" s="210"/>
      <c r="G331" s="210"/>
      <c r="H331" s="210"/>
      <c r="J331" s="147"/>
    </row>
    <row r="332" spans="3:10" ht="15.75" customHeight="1">
      <c r="C332" s="191"/>
      <c r="D332" s="191"/>
      <c r="E332" s="221"/>
      <c r="F332" s="210"/>
      <c r="G332" s="210"/>
      <c r="H332" s="210"/>
      <c r="J332" s="147"/>
    </row>
    <row r="333" spans="3:10" ht="15.75" customHeight="1">
      <c r="C333" s="191"/>
      <c r="D333" s="191"/>
      <c r="E333" s="221"/>
      <c r="F333" s="210"/>
      <c r="G333" s="210"/>
      <c r="H333" s="210"/>
      <c r="J333" s="147"/>
    </row>
    <row r="334" spans="3:10" ht="15.75" customHeight="1">
      <c r="C334" s="191"/>
      <c r="D334" s="191"/>
      <c r="E334" s="221"/>
      <c r="F334" s="210"/>
      <c r="G334" s="210"/>
      <c r="H334" s="210"/>
      <c r="J334" s="147"/>
    </row>
    <row r="335" spans="3:10" ht="15.75" customHeight="1">
      <c r="C335" s="191"/>
      <c r="D335" s="191"/>
      <c r="E335" s="221"/>
      <c r="F335" s="210"/>
      <c r="G335" s="210"/>
      <c r="H335" s="210"/>
      <c r="J335" s="147"/>
    </row>
    <row r="336" spans="3:10" ht="15.75" customHeight="1">
      <c r="C336" s="191"/>
      <c r="D336" s="191"/>
      <c r="E336" s="221"/>
      <c r="F336" s="210"/>
      <c r="G336" s="210"/>
      <c r="H336" s="210"/>
      <c r="J336" s="147"/>
    </row>
    <row r="337" spans="3:10" ht="15.75" customHeight="1">
      <c r="C337" s="191"/>
      <c r="D337" s="191"/>
      <c r="E337" s="221"/>
      <c r="F337" s="210"/>
      <c r="G337" s="210"/>
      <c r="H337" s="210"/>
      <c r="J337" s="147"/>
    </row>
    <row r="338" spans="3:10" ht="15.75" customHeight="1">
      <c r="C338" s="191"/>
      <c r="D338" s="191"/>
      <c r="E338" s="221"/>
      <c r="F338" s="210"/>
      <c r="G338" s="210"/>
      <c r="H338" s="210"/>
      <c r="J338" s="147"/>
    </row>
    <row r="339" spans="3:10" ht="15.75" customHeight="1">
      <c r="C339" s="191"/>
      <c r="D339" s="191"/>
      <c r="E339" s="221"/>
      <c r="F339" s="210"/>
      <c r="G339" s="210"/>
      <c r="H339" s="210"/>
      <c r="J339" s="147"/>
    </row>
    <row r="340" spans="3:10" ht="15.75" customHeight="1">
      <c r="C340" s="191"/>
      <c r="D340" s="191"/>
      <c r="E340" s="221"/>
      <c r="F340" s="210"/>
      <c r="G340" s="210"/>
      <c r="H340" s="210"/>
      <c r="J340" s="147"/>
    </row>
    <row r="341" spans="3:10" ht="15.75" customHeight="1">
      <c r="C341" s="191"/>
      <c r="D341" s="191"/>
      <c r="E341" s="221"/>
      <c r="F341" s="210"/>
      <c r="G341" s="210"/>
      <c r="H341" s="210"/>
      <c r="J341" s="147"/>
    </row>
    <row r="342" spans="3:10" ht="15.75" customHeight="1">
      <c r="C342" s="191"/>
      <c r="D342" s="191"/>
      <c r="E342" s="221"/>
      <c r="F342" s="210"/>
      <c r="G342" s="210"/>
      <c r="H342" s="210"/>
      <c r="J342" s="147"/>
    </row>
    <row r="343" spans="3:10" ht="15.75" customHeight="1">
      <c r="C343" s="191"/>
      <c r="D343" s="191"/>
      <c r="E343" s="221"/>
      <c r="F343" s="210"/>
      <c r="G343" s="210"/>
      <c r="H343" s="210"/>
      <c r="J343" s="147"/>
    </row>
    <row r="344" spans="3:10" ht="15.75" customHeight="1">
      <c r="C344" s="191"/>
      <c r="D344" s="191"/>
      <c r="E344" s="221"/>
      <c r="F344" s="210"/>
      <c r="G344" s="210"/>
      <c r="H344" s="210"/>
      <c r="J344" s="147"/>
    </row>
    <row r="345" spans="3:10" ht="15.75" customHeight="1">
      <c r="C345" s="191"/>
      <c r="D345" s="191"/>
      <c r="E345" s="221"/>
      <c r="F345" s="210"/>
      <c r="G345" s="210"/>
      <c r="H345" s="210"/>
      <c r="J345" s="147"/>
    </row>
    <row r="346" spans="3:10" ht="15.75" customHeight="1">
      <c r="C346" s="191"/>
      <c r="D346" s="191"/>
      <c r="E346" s="221"/>
      <c r="F346" s="210"/>
      <c r="G346" s="210"/>
      <c r="H346" s="210"/>
      <c r="J346" s="147"/>
    </row>
    <row r="347" spans="3:10" ht="15.75" customHeight="1">
      <c r="C347" s="191"/>
      <c r="D347" s="191"/>
      <c r="E347" s="221"/>
      <c r="F347" s="210"/>
      <c r="G347" s="210"/>
      <c r="H347" s="210"/>
      <c r="J347" s="147"/>
    </row>
    <row r="348" spans="3:10" ht="15.75" customHeight="1">
      <c r="C348" s="191"/>
      <c r="D348" s="191"/>
      <c r="E348" s="221"/>
      <c r="F348" s="210"/>
      <c r="G348" s="210"/>
      <c r="H348" s="210"/>
      <c r="J348" s="147"/>
    </row>
    <row r="349" spans="3:10" ht="15.75" customHeight="1">
      <c r="C349" s="191"/>
      <c r="D349" s="191"/>
      <c r="E349" s="221"/>
      <c r="F349" s="210"/>
      <c r="G349" s="210"/>
      <c r="H349" s="210"/>
      <c r="J349" s="147"/>
    </row>
    <row r="350" spans="3:10" ht="15.75" customHeight="1">
      <c r="C350" s="191"/>
      <c r="D350" s="191"/>
      <c r="E350" s="221"/>
      <c r="F350" s="210"/>
      <c r="G350" s="210"/>
      <c r="H350" s="210"/>
      <c r="J350" s="147"/>
    </row>
    <row r="351" spans="3:10" ht="15.75" customHeight="1">
      <c r="C351" s="191"/>
      <c r="D351" s="191"/>
      <c r="E351" s="221"/>
      <c r="F351" s="210"/>
      <c r="G351" s="210"/>
      <c r="H351" s="210"/>
      <c r="J351" s="147"/>
    </row>
    <row r="352" spans="3:10" ht="15.75" customHeight="1">
      <c r="C352" s="191"/>
      <c r="D352" s="191"/>
      <c r="E352" s="221"/>
      <c r="F352" s="210"/>
      <c r="G352" s="210"/>
      <c r="H352" s="210"/>
      <c r="J352" s="147"/>
    </row>
    <row r="353" spans="3:10" ht="15.75" customHeight="1">
      <c r="C353" s="191"/>
      <c r="D353" s="191"/>
      <c r="E353" s="221"/>
      <c r="F353" s="210"/>
      <c r="G353" s="210"/>
      <c r="H353" s="210"/>
      <c r="J353" s="147"/>
    </row>
    <row r="354" spans="3:10" ht="15.75" customHeight="1">
      <c r="C354" s="191"/>
      <c r="D354" s="191"/>
      <c r="E354" s="221"/>
      <c r="F354" s="210"/>
      <c r="G354" s="210"/>
      <c r="H354" s="210"/>
      <c r="J354" s="147"/>
    </row>
    <row r="355" spans="3:10" ht="15.75" customHeight="1">
      <c r="C355" s="191"/>
      <c r="D355" s="191"/>
      <c r="E355" s="221"/>
      <c r="F355" s="210"/>
      <c r="G355" s="210"/>
      <c r="H355" s="210"/>
      <c r="J355" s="147"/>
    </row>
    <row r="356" spans="3:10" ht="15.75" customHeight="1">
      <c r="C356" s="191"/>
      <c r="D356" s="191"/>
      <c r="E356" s="221"/>
      <c r="F356" s="210"/>
      <c r="G356" s="210"/>
      <c r="H356" s="210"/>
      <c r="J356" s="147"/>
    </row>
    <row r="357" spans="3:10" ht="15.75" customHeight="1">
      <c r="C357" s="191"/>
      <c r="D357" s="191"/>
      <c r="E357" s="221"/>
      <c r="F357" s="210"/>
      <c r="G357" s="210"/>
      <c r="H357" s="210"/>
      <c r="J357" s="147"/>
    </row>
    <row r="358" spans="3:10" ht="15.75" customHeight="1">
      <c r="C358" s="191"/>
      <c r="D358" s="191"/>
      <c r="E358" s="221"/>
      <c r="F358" s="210"/>
      <c r="G358" s="210"/>
      <c r="H358" s="210"/>
      <c r="J358" s="147"/>
    </row>
    <row r="359" spans="3:10" ht="15.75" customHeight="1">
      <c r="C359" s="191"/>
      <c r="D359" s="191"/>
      <c r="E359" s="221"/>
      <c r="F359" s="210"/>
      <c r="G359" s="210"/>
      <c r="H359" s="210"/>
      <c r="J359" s="147"/>
    </row>
    <row r="360" spans="3:10" ht="15.75" customHeight="1">
      <c r="C360" s="191"/>
      <c r="D360" s="191"/>
      <c r="E360" s="221"/>
      <c r="F360" s="210"/>
      <c r="G360" s="210"/>
      <c r="H360" s="210"/>
      <c r="J360" s="147"/>
    </row>
    <row r="361" spans="3:10" ht="15.75" customHeight="1">
      <c r="C361" s="191"/>
      <c r="D361" s="191"/>
      <c r="E361" s="221"/>
      <c r="F361" s="210"/>
      <c r="G361" s="210"/>
      <c r="H361" s="210"/>
      <c r="J361" s="147"/>
    </row>
    <row r="362" spans="3:10" ht="15.75" customHeight="1">
      <c r="C362" s="191"/>
      <c r="D362" s="191"/>
      <c r="E362" s="221"/>
      <c r="F362" s="210"/>
      <c r="G362" s="210"/>
      <c r="H362" s="210"/>
      <c r="J362" s="147"/>
    </row>
    <row r="363" spans="3:10" ht="15.75" customHeight="1">
      <c r="C363" s="191"/>
      <c r="D363" s="191"/>
      <c r="E363" s="221"/>
      <c r="F363" s="210"/>
      <c r="G363" s="210"/>
      <c r="H363" s="210"/>
      <c r="J363" s="147"/>
    </row>
    <row r="364" spans="3:10" ht="15.75" customHeight="1">
      <c r="C364" s="191"/>
      <c r="D364" s="191"/>
      <c r="E364" s="221"/>
      <c r="F364" s="210"/>
      <c r="G364" s="210"/>
      <c r="H364" s="210"/>
      <c r="J364" s="147"/>
    </row>
    <row r="365" spans="3:10" ht="15.75" customHeight="1">
      <c r="C365" s="191"/>
      <c r="D365" s="191"/>
      <c r="E365" s="221"/>
      <c r="F365" s="210"/>
      <c r="G365" s="210"/>
      <c r="H365" s="210"/>
      <c r="J365" s="147"/>
    </row>
    <row r="366" spans="3:10" ht="15.75" customHeight="1">
      <c r="C366" s="191"/>
      <c r="D366" s="191"/>
      <c r="E366" s="221"/>
      <c r="F366" s="210"/>
      <c r="G366" s="210"/>
      <c r="H366" s="210"/>
      <c r="J366" s="147"/>
    </row>
    <row r="367" spans="3:10" ht="15.75" customHeight="1">
      <c r="C367" s="191"/>
      <c r="D367" s="191"/>
      <c r="E367" s="221"/>
      <c r="F367" s="210"/>
      <c r="G367" s="210"/>
      <c r="H367" s="210"/>
      <c r="J367" s="147"/>
    </row>
    <row r="368" spans="3:10" ht="15.75" customHeight="1">
      <c r="C368" s="191"/>
      <c r="D368" s="191"/>
      <c r="E368" s="221"/>
      <c r="F368" s="210"/>
      <c r="G368" s="210"/>
      <c r="H368" s="210"/>
      <c r="J368" s="147"/>
    </row>
    <row r="369" spans="3:10" ht="15.75" customHeight="1">
      <c r="C369" s="191"/>
      <c r="D369" s="191"/>
      <c r="E369" s="221"/>
      <c r="F369" s="210"/>
      <c r="G369" s="210"/>
      <c r="H369" s="210"/>
      <c r="J369" s="147"/>
    </row>
    <row r="370" spans="3:10" ht="15.75" customHeight="1">
      <c r="C370" s="191"/>
      <c r="D370" s="191"/>
      <c r="E370" s="221"/>
      <c r="F370" s="210"/>
      <c r="G370" s="210"/>
      <c r="H370" s="210"/>
      <c r="J370" s="147"/>
    </row>
    <row r="371" spans="3:10" ht="15.75" customHeight="1">
      <c r="C371" s="191"/>
      <c r="D371" s="191"/>
      <c r="E371" s="221"/>
      <c r="F371" s="210"/>
      <c r="G371" s="210"/>
      <c r="H371" s="210"/>
      <c r="J371" s="147"/>
    </row>
    <row r="372" spans="3:10" ht="15.75" customHeight="1">
      <c r="C372" s="191"/>
      <c r="D372" s="191"/>
      <c r="E372" s="221"/>
      <c r="F372" s="210"/>
      <c r="G372" s="210"/>
      <c r="H372" s="210"/>
      <c r="J372" s="147"/>
    </row>
    <row r="373" spans="3:10" ht="15.75" customHeight="1">
      <c r="C373" s="191"/>
      <c r="D373" s="191"/>
      <c r="E373" s="221"/>
      <c r="F373" s="210"/>
      <c r="G373" s="210"/>
      <c r="H373" s="210"/>
      <c r="J373" s="147"/>
    </row>
    <row r="374" spans="3:10" ht="15.75" customHeight="1">
      <c r="C374" s="191"/>
      <c r="D374" s="191"/>
      <c r="E374" s="221"/>
      <c r="F374" s="210"/>
      <c r="G374" s="210"/>
      <c r="H374" s="210"/>
      <c r="J374" s="147"/>
    </row>
    <row r="375" spans="3:10" ht="15.75" customHeight="1">
      <c r="C375" s="191"/>
      <c r="D375" s="191"/>
      <c r="E375" s="221"/>
      <c r="F375" s="210"/>
      <c r="G375" s="210"/>
      <c r="H375" s="210"/>
      <c r="J375" s="147"/>
    </row>
    <row r="376" spans="3:10" ht="15.75" customHeight="1">
      <c r="C376" s="191"/>
      <c r="D376" s="191"/>
      <c r="E376" s="221"/>
      <c r="F376" s="210"/>
      <c r="G376" s="210"/>
      <c r="H376" s="210"/>
      <c r="J376" s="147"/>
    </row>
    <row r="377" spans="3:10" ht="15.75" customHeight="1">
      <c r="C377" s="191"/>
      <c r="D377" s="191"/>
      <c r="E377" s="221"/>
      <c r="F377" s="210"/>
      <c r="G377" s="210"/>
      <c r="H377" s="210"/>
      <c r="J377" s="147"/>
    </row>
    <row r="378" spans="3:10" ht="15.75" customHeight="1">
      <c r="C378" s="191"/>
      <c r="D378" s="191"/>
      <c r="E378" s="221"/>
      <c r="F378" s="210"/>
      <c r="G378" s="210"/>
      <c r="H378" s="210"/>
      <c r="J378" s="147"/>
    </row>
    <row r="379" spans="3:10" ht="15.75" customHeight="1">
      <c r="C379" s="191"/>
      <c r="D379" s="191"/>
      <c r="E379" s="221"/>
      <c r="F379" s="210"/>
      <c r="G379" s="210"/>
      <c r="H379" s="210"/>
      <c r="J379" s="147"/>
    </row>
    <row r="380" spans="3:10" ht="15.75" customHeight="1">
      <c r="C380" s="191"/>
      <c r="D380" s="191"/>
      <c r="E380" s="221"/>
      <c r="F380" s="210"/>
      <c r="G380" s="210"/>
      <c r="H380" s="210"/>
      <c r="J380" s="147"/>
    </row>
    <row r="381" spans="3:10" ht="15.75" customHeight="1">
      <c r="C381" s="191"/>
      <c r="D381" s="191"/>
      <c r="E381" s="221"/>
      <c r="F381" s="210"/>
      <c r="G381" s="210"/>
      <c r="H381" s="210"/>
      <c r="J381" s="147"/>
    </row>
    <row r="382" spans="3:10" ht="15.75" customHeight="1">
      <c r="C382" s="191"/>
      <c r="D382" s="191"/>
      <c r="E382" s="221"/>
      <c r="F382" s="210"/>
      <c r="G382" s="210"/>
      <c r="H382" s="210"/>
      <c r="J382" s="147"/>
    </row>
    <row r="383" spans="3:10" ht="15.75" customHeight="1">
      <c r="C383" s="191"/>
      <c r="D383" s="191"/>
      <c r="E383" s="221"/>
      <c r="F383" s="210"/>
      <c r="G383" s="210"/>
      <c r="H383" s="210"/>
      <c r="J383" s="147"/>
    </row>
    <row r="384" spans="3:10" ht="15.75" customHeight="1">
      <c r="C384" s="191"/>
      <c r="D384" s="191"/>
      <c r="E384" s="221"/>
      <c r="F384" s="210"/>
      <c r="G384" s="210"/>
      <c r="H384" s="210"/>
      <c r="J384" s="147"/>
    </row>
    <row r="385" spans="3:10" ht="15.75" customHeight="1">
      <c r="C385" s="191"/>
      <c r="D385" s="191"/>
      <c r="E385" s="221"/>
      <c r="F385" s="210"/>
      <c r="G385" s="210"/>
      <c r="H385" s="210"/>
      <c r="J385" s="147"/>
    </row>
    <row r="386" spans="3:10" ht="15.75" customHeight="1">
      <c r="C386" s="191"/>
      <c r="D386" s="191"/>
      <c r="E386" s="221"/>
      <c r="F386" s="210"/>
      <c r="G386" s="210"/>
      <c r="H386" s="210"/>
      <c r="J386" s="147"/>
    </row>
    <row r="387" spans="3:10" ht="15.75" customHeight="1">
      <c r="C387" s="191"/>
      <c r="D387" s="191"/>
      <c r="E387" s="221"/>
      <c r="F387" s="210"/>
      <c r="G387" s="210"/>
      <c r="H387" s="210"/>
      <c r="J387" s="147"/>
    </row>
    <row r="388" spans="3:10" ht="15.75" customHeight="1">
      <c r="C388" s="191"/>
      <c r="D388" s="191"/>
      <c r="E388" s="221"/>
      <c r="F388" s="210"/>
      <c r="G388" s="210"/>
      <c r="H388" s="210"/>
      <c r="J388" s="147"/>
    </row>
    <row r="389" spans="3:10" ht="15.75" customHeight="1">
      <c r="C389" s="191"/>
      <c r="D389" s="191"/>
      <c r="E389" s="221"/>
      <c r="F389" s="210"/>
      <c r="G389" s="210"/>
      <c r="H389" s="210"/>
      <c r="J389" s="147"/>
    </row>
    <row r="390" spans="3:10" ht="15.75" customHeight="1">
      <c r="C390" s="191"/>
      <c r="D390" s="191"/>
      <c r="E390" s="221"/>
      <c r="F390" s="210"/>
      <c r="G390" s="210"/>
      <c r="H390" s="210"/>
      <c r="J390" s="147"/>
    </row>
    <row r="391" spans="3:10" ht="15.75" customHeight="1">
      <c r="C391" s="191"/>
      <c r="D391" s="191"/>
      <c r="E391" s="221"/>
      <c r="F391" s="210"/>
      <c r="G391" s="210"/>
      <c r="H391" s="210"/>
      <c r="J391" s="147"/>
    </row>
    <row r="392" spans="3:10" ht="15.75" customHeight="1">
      <c r="C392" s="191"/>
      <c r="D392" s="191"/>
      <c r="E392" s="221"/>
      <c r="F392" s="210"/>
      <c r="G392" s="210"/>
      <c r="H392" s="210"/>
      <c r="J392" s="147"/>
    </row>
    <row r="393" spans="3:10" ht="15.75" customHeight="1">
      <c r="C393" s="191"/>
      <c r="D393" s="191"/>
      <c r="E393" s="221"/>
      <c r="F393" s="210"/>
      <c r="G393" s="210"/>
      <c r="H393" s="210"/>
      <c r="J393" s="147"/>
    </row>
    <row r="394" spans="3:10" ht="15.75" customHeight="1">
      <c r="C394" s="191"/>
      <c r="D394" s="191"/>
      <c r="E394" s="221"/>
      <c r="F394" s="210"/>
      <c r="G394" s="210"/>
      <c r="H394" s="210"/>
      <c r="J394" s="147"/>
    </row>
    <row r="395" spans="3:10" ht="15.75" customHeight="1">
      <c r="C395" s="191"/>
      <c r="D395" s="191"/>
      <c r="E395" s="221"/>
      <c r="F395" s="210"/>
      <c r="G395" s="210"/>
      <c r="H395" s="210"/>
      <c r="J395" s="147"/>
    </row>
    <row r="396" spans="3:10" ht="15.75" customHeight="1">
      <c r="C396" s="191"/>
      <c r="D396" s="191"/>
      <c r="E396" s="221"/>
      <c r="F396" s="210"/>
      <c r="G396" s="210"/>
      <c r="H396" s="210"/>
      <c r="J396" s="147"/>
    </row>
    <row r="397" spans="3:10" ht="15.75" customHeight="1">
      <c r="C397" s="191"/>
      <c r="D397" s="191"/>
      <c r="E397" s="221"/>
      <c r="F397" s="210"/>
      <c r="G397" s="210"/>
      <c r="H397" s="210"/>
      <c r="J397" s="147"/>
    </row>
    <row r="398" spans="3:10" ht="15.75" customHeight="1">
      <c r="C398" s="191"/>
      <c r="D398" s="191"/>
      <c r="E398" s="221"/>
      <c r="F398" s="210"/>
      <c r="G398" s="210"/>
      <c r="H398" s="210"/>
      <c r="J398" s="147"/>
    </row>
    <row r="399" spans="3:10" ht="15.75" customHeight="1">
      <c r="C399" s="191"/>
      <c r="D399" s="191"/>
      <c r="E399" s="221"/>
      <c r="F399" s="210"/>
      <c r="G399" s="210"/>
      <c r="H399" s="210"/>
      <c r="J399" s="147"/>
    </row>
    <row r="400" spans="3:10" ht="15.75" customHeight="1">
      <c r="C400" s="191"/>
      <c r="D400" s="191"/>
      <c r="E400" s="221"/>
      <c r="F400" s="210"/>
      <c r="G400" s="210"/>
      <c r="H400" s="210"/>
      <c r="J400" s="147"/>
    </row>
    <row r="401" spans="3:10" ht="15.75" customHeight="1">
      <c r="C401" s="191"/>
      <c r="D401" s="191"/>
      <c r="E401" s="221"/>
      <c r="F401" s="210"/>
      <c r="G401" s="210"/>
      <c r="H401" s="210"/>
      <c r="J401" s="147"/>
    </row>
    <row r="402" spans="3:10" ht="15.75" customHeight="1">
      <c r="C402" s="191"/>
      <c r="D402" s="191"/>
      <c r="E402" s="221"/>
      <c r="F402" s="210"/>
      <c r="G402" s="210"/>
      <c r="H402" s="210"/>
      <c r="J402" s="147"/>
    </row>
    <row r="403" spans="3:10" ht="15.75" customHeight="1">
      <c r="C403" s="191"/>
      <c r="D403" s="191"/>
      <c r="E403" s="221"/>
      <c r="F403" s="210"/>
      <c r="G403" s="210"/>
      <c r="H403" s="210"/>
      <c r="J403" s="147"/>
    </row>
    <row r="404" spans="3:10" ht="15.75" customHeight="1">
      <c r="C404" s="191"/>
      <c r="D404" s="191"/>
      <c r="E404" s="221"/>
      <c r="F404" s="210"/>
      <c r="G404" s="210"/>
      <c r="H404" s="210"/>
      <c r="J404" s="147"/>
    </row>
    <row r="405" spans="3:10" ht="15.75" customHeight="1">
      <c r="C405" s="191"/>
      <c r="D405" s="191"/>
      <c r="E405" s="221"/>
      <c r="F405" s="210"/>
      <c r="G405" s="210"/>
      <c r="H405" s="210"/>
      <c r="J405" s="147"/>
    </row>
    <row r="406" spans="3:10" ht="15.75" customHeight="1">
      <c r="C406" s="191"/>
      <c r="D406" s="191"/>
      <c r="E406" s="221"/>
      <c r="F406" s="210"/>
      <c r="G406" s="210"/>
      <c r="H406" s="210"/>
      <c r="J406" s="147"/>
    </row>
    <row r="407" spans="3:10" ht="15.75" customHeight="1">
      <c r="C407" s="191"/>
      <c r="D407" s="191"/>
      <c r="E407" s="221"/>
      <c r="F407" s="210"/>
      <c r="G407" s="210"/>
      <c r="H407" s="210"/>
      <c r="J407" s="147"/>
    </row>
    <row r="408" spans="3:10" ht="15.75" customHeight="1">
      <c r="C408" s="191"/>
      <c r="D408" s="191"/>
      <c r="E408" s="221"/>
      <c r="F408" s="210"/>
      <c r="G408" s="210"/>
      <c r="H408" s="210"/>
      <c r="J408" s="147"/>
    </row>
    <row r="409" spans="3:10" ht="15.75" customHeight="1">
      <c r="C409" s="191"/>
      <c r="D409" s="191"/>
      <c r="E409" s="221"/>
      <c r="F409" s="210"/>
      <c r="G409" s="210"/>
      <c r="H409" s="210"/>
      <c r="J409" s="147"/>
    </row>
    <row r="410" spans="3:10" ht="15.75" customHeight="1">
      <c r="C410" s="191"/>
      <c r="D410" s="191"/>
      <c r="E410" s="221"/>
      <c r="F410" s="210"/>
      <c r="G410" s="210"/>
      <c r="H410" s="210"/>
      <c r="J410" s="147"/>
    </row>
    <row r="411" spans="3:10" ht="15.75" customHeight="1">
      <c r="C411" s="191"/>
      <c r="D411" s="191"/>
      <c r="E411" s="221"/>
      <c r="F411" s="210"/>
      <c r="G411" s="210"/>
      <c r="H411" s="210"/>
      <c r="J411" s="147"/>
    </row>
    <row r="412" spans="3:10" ht="15.75" customHeight="1">
      <c r="C412" s="191"/>
      <c r="D412" s="191"/>
      <c r="E412" s="221"/>
      <c r="F412" s="210"/>
      <c r="G412" s="210"/>
      <c r="H412" s="210"/>
      <c r="J412" s="147"/>
    </row>
    <row r="413" spans="3:10" ht="15.75" customHeight="1">
      <c r="C413" s="191"/>
      <c r="D413" s="191"/>
      <c r="E413" s="221"/>
      <c r="F413" s="210"/>
      <c r="G413" s="210"/>
      <c r="H413" s="210"/>
      <c r="J413" s="147"/>
    </row>
    <row r="414" spans="3:10" ht="15.75" customHeight="1">
      <c r="C414" s="191"/>
      <c r="D414" s="191"/>
      <c r="E414" s="221"/>
      <c r="F414" s="210"/>
      <c r="G414" s="210"/>
      <c r="H414" s="210"/>
      <c r="J414" s="147"/>
    </row>
    <row r="415" spans="3:10" ht="15.75" customHeight="1">
      <c r="C415" s="191"/>
      <c r="D415" s="191"/>
      <c r="E415" s="221"/>
      <c r="F415" s="210"/>
      <c r="G415" s="210"/>
      <c r="H415" s="210"/>
      <c r="J415" s="147"/>
    </row>
    <row r="416" spans="3:10" ht="15.75" customHeight="1">
      <c r="C416" s="191"/>
      <c r="D416" s="191"/>
      <c r="E416" s="221"/>
      <c r="F416" s="210"/>
      <c r="G416" s="210"/>
      <c r="H416" s="210"/>
      <c r="J416" s="147"/>
    </row>
    <row r="417" spans="3:10" ht="15.75" customHeight="1">
      <c r="C417" s="191"/>
      <c r="D417" s="191"/>
      <c r="E417" s="221"/>
      <c r="F417" s="210"/>
      <c r="G417" s="210"/>
      <c r="H417" s="210"/>
      <c r="J417" s="147"/>
    </row>
    <row r="418" spans="3:10" ht="15.75" customHeight="1">
      <c r="C418" s="191"/>
      <c r="D418" s="191"/>
      <c r="E418" s="221"/>
      <c r="F418" s="210"/>
      <c r="G418" s="210"/>
      <c r="H418" s="210"/>
      <c r="J418" s="147"/>
    </row>
    <row r="419" spans="3:10" ht="15.75" customHeight="1">
      <c r="C419" s="191"/>
      <c r="D419" s="191"/>
      <c r="E419" s="221"/>
      <c r="F419" s="210"/>
      <c r="G419" s="210"/>
      <c r="H419" s="210"/>
      <c r="J419" s="147"/>
    </row>
    <row r="420" spans="3:10" ht="15.75" customHeight="1">
      <c r="C420" s="191"/>
      <c r="D420" s="191"/>
      <c r="E420" s="221"/>
      <c r="F420" s="210"/>
      <c r="G420" s="210"/>
      <c r="H420" s="210"/>
      <c r="J420" s="147"/>
    </row>
    <row r="421" spans="3:10" ht="15.75" customHeight="1">
      <c r="C421" s="191"/>
      <c r="D421" s="191"/>
      <c r="E421" s="221"/>
      <c r="F421" s="210"/>
      <c r="G421" s="210"/>
      <c r="H421" s="210"/>
      <c r="J421" s="147"/>
    </row>
    <row r="422" spans="3:10" ht="15.75" customHeight="1">
      <c r="C422" s="191"/>
      <c r="D422" s="191"/>
      <c r="E422" s="221"/>
      <c r="F422" s="210"/>
      <c r="G422" s="210"/>
      <c r="H422" s="210"/>
      <c r="J422" s="147"/>
    </row>
    <row r="423" spans="3:10" ht="15.75" customHeight="1">
      <c r="C423" s="191"/>
      <c r="D423" s="191"/>
      <c r="E423" s="221"/>
      <c r="F423" s="210"/>
      <c r="G423" s="210"/>
      <c r="H423" s="210"/>
      <c r="J423" s="147"/>
    </row>
    <row r="424" spans="3:10" ht="15.75" customHeight="1">
      <c r="C424" s="191"/>
      <c r="D424" s="191"/>
      <c r="E424" s="221"/>
      <c r="F424" s="210"/>
      <c r="G424" s="210"/>
      <c r="H424" s="210"/>
      <c r="J424" s="147"/>
    </row>
    <row r="425" spans="3:10" ht="15.75" customHeight="1">
      <c r="C425" s="191"/>
      <c r="D425" s="191"/>
      <c r="E425" s="221"/>
      <c r="F425" s="210"/>
      <c r="G425" s="210"/>
      <c r="H425" s="210"/>
      <c r="J425" s="147"/>
    </row>
    <row r="426" spans="3:10" ht="15.75" customHeight="1">
      <c r="C426" s="191"/>
      <c r="D426" s="191"/>
      <c r="E426" s="221"/>
      <c r="F426" s="210"/>
      <c r="G426" s="210"/>
      <c r="H426" s="210"/>
      <c r="J426" s="147"/>
    </row>
    <row r="427" spans="3:10" ht="15.75" customHeight="1">
      <c r="C427" s="191"/>
      <c r="D427" s="191"/>
      <c r="E427" s="221"/>
      <c r="F427" s="210"/>
      <c r="G427" s="210"/>
      <c r="H427" s="210"/>
      <c r="J427" s="147"/>
    </row>
    <row r="428" spans="3:10" ht="15.75" customHeight="1">
      <c r="C428" s="191"/>
      <c r="D428" s="191"/>
      <c r="E428" s="221"/>
      <c r="F428" s="210"/>
      <c r="G428" s="210"/>
      <c r="H428" s="210"/>
      <c r="J428" s="147"/>
    </row>
    <row r="429" spans="3:10" ht="15.75" customHeight="1">
      <c r="C429" s="191"/>
      <c r="D429" s="191"/>
      <c r="E429" s="221"/>
      <c r="F429" s="210"/>
      <c r="G429" s="210"/>
      <c r="H429" s="210"/>
      <c r="J429" s="147"/>
    </row>
    <row r="430" spans="3:10" ht="15.75" customHeight="1">
      <c r="C430" s="191"/>
      <c r="D430" s="191"/>
      <c r="E430" s="221"/>
      <c r="F430" s="210"/>
      <c r="G430" s="210"/>
      <c r="H430" s="210"/>
      <c r="J430" s="147"/>
    </row>
    <row r="431" spans="3:10" ht="15.75" customHeight="1">
      <c r="C431" s="191"/>
      <c r="D431" s="191"/>
      <c r="E431" s="221"/>
      <c r="F431" s="210"/>
      <c r="G431" s="210"/>
      <c r="H431" s="210"/>
      <c r="J431" s="147"/>
    </row>
    <row r="432" spans="3:10" ht="15.75" customHeight="1">
      <c r="C432" s="191"/>
      <c r="D432" s="191"/>
      <c r="E432" s="221"/>
      <c r="F432" s="210"/>
      <c r="G432" s="210"/>
      <c r="H432" s="210"/>
      <c r="J432" s="147"/>
    </row>
    <row r="433" spans="3:10" ht="15.75" customHeight="1">
      <c r="C433" s="191"/>
      <c r="D433" s="191"/>
      <c r="E433" s="221"/>
      <c r="F433" s="210"/>
      <c r="G433" s="210"/>
      <c r="H433" s="210"/>
      <c r="J433" s="147"/>
    </row>
    <row r="434" spans="3:10" ht="15.75" customHeight="1">
      <c r="C434" s="191"/>
      <c r="D434" s="191"/>
      <c r="E434" s="221"/>
      <c r="F434" s="210"/>
      <c r="G434" s="210"/>
      <c r="H434" s="210"/>
      <c r="J434" s="147"/>
    </row>
    <row r="435" spans="3:10" ht="15.75" customHeight="1">
      <c r="C435" s="191"/>
      <c r="D435" s="191"/>
      <c r="E435" s="221"/>
      <c r="F435" s="210"/>
      <c r="G435" s="210"/>
      <c r="H435" s="210"/>
      <c r="J435" s="147"/>
    </row>
    <row r="436" spans="3:10" ht="15.75" customHeight="1">
      <c r="C436" s="191"/>
      <c r="D436" s="191"/>
      <c r="E436" s="221"/>
      <c r="F436" s="210"/>
      <c r="G436" s="210"/>
      <c r="H436" s="210"/>
      <c r="J436" s="147"/>
    </row>
    <row r="437" spans="3:10" ht="15.75" customHeight="1">
      <c r="C437" s="191"/>
      <c r="D437" s="191"/>
      <c r="E437" s="221"/>
      <c r="F437" s="210"/>
      <c r="G437" s="210"/>
      <c r="H437" s="210"/>
      <c r="J437" s="147"/>
    </row>
    <row r="438" spans="3:10" ht="15.75" customHeight="1">
      <c r="C438" s="191"/>
      <c r="D438" s="191"/>
      <c r="E438" s="221"/>
      <c r="F438" s="210"/>
      <c r="G438" s="210"/>
      <c r="H438" s="210"/>
      <c r="J438" s="147"/>
    </row>
    <row r="439" spans="3:10" ht="15.75" customHeight="1">
      <c r="C439" s="191"/>
      <c r="D439" s="191"/>
      <c r="E439" s="221"/>
      <c r="F439" s="210"/>
      <c r="G439" s="210"/>
      <c r="H439" s="210"/>
      <c r="J439" s="147"/>
    </row>
    <row r="440" spans="3:10" ht="15.75" customHeight="1">
      <c r="C440" s="191"/>
      <c r="D440" s="191"/>
      <c r="E440" s="221"/>
      <c r="F440" s="210"/>
      <c r="G440" s="210"/>
      <c r="H440" s="210"/>
      <c r="J440" s="147"/>
    </row>
    <row r="441" spans="3:10" ht="15.75" customHeight="1">
      <c r="C441" s="191"/>
      <c r="D441" s="191"/>
      <c r="E441" s="221"/>
      <c r="F441" s="210"/>
      <c r="G441" s="210"/>
      <c r="H441" s="210"/>
      <c r="J441" s="147"/>
    </row>
    <row r="442" spans="3:10" ht="15.75" customHeight="1">
      <c r="C442" s="191"/>
      <c r="D442" s="191"/>
      <c r="E442" s="221"/>
      <c r="F442" s="210"/>
      <c r="G442" s="210"/>
      <c r="H442" s="210"/>
      <c r="J442" s="147"/>
    </row>
    <row r="443" spans="3:10" ht="15.75" customHeight="1">
      <c r="C443" s="191"/>
      <c r="D443" s="191"/>
      <c r="E443" s="221"/>
      <c r="F443" s="210"/>
      <c r="G443" s="210"/>
      <c r="H443" s="210"/>
      <c r="J443" s="147"/>
    </row>
    <row r="444" spans="3:10" ht="15.75" customHeight="1">
      <c r="C444" s="191"/>
      <c r="D444" s="191"/>
      <c r="E444" s="221"/>
      <c r="F444" s="210"/>
      <c r="G444" s="210"/>
      <c r="H444" s="210"/>
      <c r="J444" s="147"/>
    </row>
    <row r="445" spans="3:10" ht="15.75" customHeight="1">
      <c r="C445" s="191"/>
      <c r="D445" s="191"/>
      <c r="E445" s="221"/>
      <c r="F445" s="210"/>
      <c r="G445" s="210"/>
      <c r="H445" s="210"/>
      <c r="J445" s="147"/>
    </row>
    <row r="446" spans="3:10" ht="15.75" customHeight="1">
      <c r="C446" s="191"/>
      <c r="D446" s="191"/>
      <c r="E446" s="221"/>
      <c r="F446" s="210"/>
      <c r="G446" s="210"/>
      <c r="H446" s="210"/>
      <c r="J446" s="147"/>
    </row>
    <row r="447" spans="3:10" ht="15.75" customHeight="1">
      <c r="C447" s="191"/>
      <c r="D447" s="191"/>
      <c r="E447" s="221"/>
      <c r="F447" s="210"/>
      <c r="G447" s="210"/>
      <c r="H447" s="210"/>
      <c r="J447" s="147"/>
    </row>
    <row r="448" spans="3:10" ht="15.75" customHeight="1">
      <c r="C448" s="191"/>
      <c r="D448" s="191"/>
      <c r="E448" s="221"/>
      <c r="F448" s="210"/>
      <c r="G448" s="210"/>
      <c r="H448" s="210"/>
      <c r="J448" s="147"/>
    </row>
    <row r="449" spans="3:10" ht="15.75" customHeight="1">
      <c r="C449" s="191"/>
      <c r="D449" s="191"/>
      <c r="E449" s="221"/>
      <c r="F449" s="210"/>
      <c r="G449" s="210"/>
      <c r="H449" s="210"/>
      <c r="J449" s="147"/>
    </row>
    <row r="450" spans="3:10" ht="15.75" customHeight="1">
      <c r="C450" s="191"/>
      <c r="D450" s="191"/>
      <c r="E450" s="221"/>
      <c r="F450" s="210"/>
      <c r="G450" s="210"/>
      <c r="H450" s="210"/>
      <c r="J450" s="147"/>
    </row>
    <row r="451" spans="3:10" ht="15.75" customHeight="1">
      <c r="C451" s="191"/>
      <c r="D451" s="191"/>
      <c r="E451" s="221"/>
      <c r="F451" s="210"/>
      <c r="G451" s="210"/>
      <c r="H451" s="210"/>
      <c r="J451" s="147"/>
    </row>
    <row r="452" spans="3:10" ht="15.75" customHeight="1">
      <c r="C452" s="191"/>
      <c r="D452" s="191"/>
      <c r="E452" s="221"/>
      <c r="F452" s="210"/>
      <c r="G452" s="210"/>
      <c r="H452" s="210"/>
      <c r="J452" s="147"/>
    </row>
    <row r="453" spans="3:10" ht="15.75" customHeight="1">
      <c r="C453" s="191"/>
      <c r="D453" s="191"/>
      <c r="E453" s="221"/>
      <c r="F453" s="210"/>
      <c r="G453" s="210"/>
      <c r="H453" s="210"/>
      <c r="J453" s="147"/>
    </row>
    <row r="454" spans="3:10" ht="15.75" customHeight="1">
      <c r="C454" s="191"/>
      <c r="D454" s="191"/>
      <c r="E454" s="221"/>
      <c r="F454" s="210"/>
      <c r="G454" s="210"/>
      <c r="H454" s="210"/>
      <c r="J454" s="147"/>
    </row>
    <row r="455" spans="3:10" ht="15.75" customHeight="1">
      <c r="C455" s="191"/>
      <c r="D455" s="191"/>
      <c r="E455" s="221"/>
      <c r="F455" s="210"/>
      <c r="G455" s="210"/>
      <c r="H455" s="210"/>
      <c r="J455" s="147"/>
    </row>
    <row r="456" spans="3:10" ht="15.75" customHeight="1">
      <c r="C456" s="191"/>
      <c r="D456" s="191"/>
      <c r="E456" s="221"/>
      <c r="F456" s="210"/>
      <c r="G456" s="210"/>
      <c r="H456" s="210"/>
      <c r="J456" s="147"/>
    </row>
    <row r="457" spans="3:10" ht="15.75" customHeight="1">
      <c r="C457" s="191"/>
      <c r="D457" s="191"/>
      <c r="E457" s="221"/>
      <c r="F457" s="210"/>
      <c r="G457" s="210"/>
      <c r="H457" s="210"/>
      <c r="J457" s="147"/>
    </row>
    <row r="458" spans="3:10" ht="15.75" customHeight="1">
      <c r="C458" s="191"/>
      <c r="D458" s="191"/>
      <c r="E458" s="221"/>
      <c r="F458" s="210"/>
      <c r="G458" s="210"/>
      <c r="H458" s="210"/>
      <c r="J458" s="147"/>
    </row>
    <row r="459" spans="3:10" ht="15.75" customHeight="1">
      <c r="C459" s="191"/>
      <c r="D459" s="191"/>
      <c r="E459" s="221"/>
      <c r="F459" s="210"/>
      <c r="G459" s="210"/>
      <c r="H459" s="210"/>
      <c r="J459" s="147"/>
    </row>
    <row r="460" spans="3:10" ht="15.75" customHeight="1">
      <c r="C460" s="191"/>
      <c r="D460" s="191"/>
      <c r="E460" s="221"/>
      <c r="F460" s="210"/>
      <c r="G460" s="210"/>
      <c r="H460" s="210"/>
      <c r="J460" s="147"/>
    </row>
    <row r="461" spans="3:10" ht="15.75" customHeight="1">
      <c r="C461" s="191"/>
      <c r="D461" s="191"/>
      <c r="E461" s="221"/>
      <c r="F461" s="210"/>
      <c r="G461" s="210"/>
      <c r="H461" s="210"/>
      <c r="J461" s="147"/>
    </row>
    <row r="462" spans="3:10" ht="15.75" customHeight="1">
      <c r="C462" s="191"/>
      <c r="D462" s="191"/>
      <c r="E462" s="221"/>
      <c r="F462" s="210"/>
      <c r="G462" s="210"/>
      <c r="H462" s="210"/>
      <c r="J462" s="147"/>
    </row>
    <row r="463" spans="3:10" ht="15.75" customHeight="1">
      <c r="C463" s="191"/>
      <c r="D463" s="191"/>
      <c r="E463" s="221"/>
      <c r="F463" s="210"/>
      <c r="G463" s="210"/>
      <c r="H463" s="210"/>
      <c r="J463" s="147"/>
    </row>
    <row r="464" spans="3:10" ht="15.75" customHeight="1">
      <c r="C464" s="191"/>
      <c r="D464" s="191"/>
      <c r="E464" s="221"/>
      <c r="F464" s="210"/>
      <c r="G464" s="210"/>
      <c r="H464" s="210"/>
      <c r="J464" s="147"/>
    </row>
    <row r="465" spans="3:10" ht="15.75" customHeight="1">
      <c r="C465" s="191"/>
      <c r="D465" s="191"/>
      <c r="E465" s="221"/>
      <c r="F465" s="210"/>
      <c r="G465" s="210"/>
      <c r="H465" s="210"/>
      <c r="J465" s="147"/>
    </row>
    <row r="466" spans="3:10" ht="15.75" customHeight="1">
      <c r="C466" s="191"/>
      <c r="D466" s="191"/>
      <c r="E466" s="221"/>
      <c r="F466" s="210"/>
      <c r="G466" s="210"/>
      <c r="H466" s="210"/>
      <c r="J466" s="147"/>
    </row>
    <row r="467" spans="3:10" ht="15.75" customHeight="1">
      <c r="C467" s="191"/>
      <c r="D467" s="191"/>
      <c r="E467" s="221"/>
      <c r="F467" s="210"/>
      <c r="G467" s="210"/>
      <c r="H467" s="210"/>
      <c r="J467" s="147"/>
    </row>
    <row r="468" spans="3:10" ht="15.75" customHeight="1">
      <c r="C468" s="191"/>
      <c r="D468" s="191"/>
      <c r="E468" s="221"/>
      <c r="F468" s="210"/>
      <c r="G468" s="210"/>
      <c r="H468" s="210"/>
      <c r="J468" s="147"/>
    </row>
    <row r="469" spans="3:10" ht="15.75" customHeight="1">
      <c r="C469" s="191"/>
      <c r="D469" s="191"/>
      <c r="E469" s="221"/>
      <c r="F469" s="210"/>
      <c r="G469" s="210"/>
      <c r="H469" s="210"/>
      <c r="J469" s="147"/>
    </row>
    <row r="470" spans="3:10" ht="15.75" customHeight="1">
      <c r="C470" s="191"/>
      <c r="D470" s="191"/>
      <c r="E470" s="221"/>
      <c r="F470" s="210"/>
      <c r="G470" s="210"/>
      <c r="H470" s="210"/>
      <c r="J470" s="147"/>
    </row>
    <row r="471" spans="3:10" ht="15.75" customHeight="1">
      <c r="C471" s="191"/>
      <c r="D471" s="191"/>
      <c r="E471" s="221"/>
      <c r="F471" s="210"/>
      <c r="G471" s="210"/>
      <c r="H471" s="210"/>
      <c r="J471" s="147"/>
    </row>
    <row r="472" spans="3:10" ht="15.75" customHeight="1">
      <c r="C472" s="191"/>
      <c r="D472" s="191"/>
      <c r="E472" s="221"/>
      <c r="F472" s="210"/>
      <c r="G472" s="210"/>
      <c r="H472" s="210"/>
      <c r="J472" s="147"/>
    </row>
    <row r="473" spans="3:10" ht="15.75" customHeight="1">
      <c r="C473" s="191"/>
      <c r="D473" s="191"/>
      <c r="E473" s="221"/>
      <c r="F473" s="210"/>
      <c r="G473" s="210"/>
      <c r="H473" s="210"/>
      <c r="J473" s="147"/>
    </row>
    <row r="474" spans="3:10" ht="15.75" customHeight="1">
      <c r="C474" s="191"/>
      <c r="D474" s="191"/>
      <c r="E474" s="221"/>
      <c r="F474" s="210"/>
      <c r="G474" s="210"/>
      <c r="H474" s="210"/>
      <c r="J474" s="147"/>
    </row>
    <row r="475" spans="3:10" ht="15.75" customHeight="1">
      <c r="C475" s="191"/>
      <c r="D475" s="191"/>
      <c r="E475" s="221"/>
      <c r="F475" s="210"/>
      <c r="G475" s="210"/>
      <c r="H475" s="210"/>
      <c r="J475" s="147"/>
    </row>
    <row r="476" spans="3:10" ht="15.75" customHeight="1">
      <c r="C476" s="191"/>
      <c r="D476" s="191"/>
      <c r="E476" s="221"/>
      <c r="F476" s="210"/>
      <c r="G476" s="210"/>
      <c r="H476" s="210"/>
      <c r="J476" s="147"/>
    </row>
    <row r="477" spans="3:10" ht="15.75" customHeight="1">
      <c r="C477" s="191"/>
      <c r="D477" s="191"/>
      <c r="E477" s="221"/>
      <c r="F477" s="210"/>
      <c r="G477" s="210"/>
      <c r="H477" s="210"/>
      <c r="J477" s="147"/>
    </row>
    <row r="478" spans="3:10" ht="15.75" customHeight="1">
      <c r="C478" s="191"/>
      <c r="D478" s="191"/>
      <c r="E478" s="221"/>
      <c r="F478" s="210"/>
      <c r="G478" s="210"/>
      <c r="H478" s="210"/>
      <c r="J478" s="147"/>
    </row>
    <row r="479" spans="3:10" ht="15.75" customHeight="1">
      <c r="C479" s="191"/>
      <c r="D479" s="191"/>
      <c r="E479" s="221"/>
      <c r="F479" s="210"/>
      <c r="G479" s="210"/>
      <c r="H479" s="210"/>
      <c r="J479" s="147"/>
    </row>
    <row r="480" spans="3:10" ht="15.75" customHeight="1">
      <c r="C480" s="191"/>
      <c r="D480" s="191"/>
      <c r="E480" s="221"/>
      <c r="F480" s="210"/>
      <c r="G480" s="210"/>
      <c r="H480" s="210"/>
      <c r="J480" s="147"/>
    </row>
    <row r="481" spans="3:10" ht="15.75" customHeight="1">
      <c r="C481" s="191"/>
      <c r="D481" s="191"/>
      <c r="E481" s="221"/>
      <c r="F481" s="210"/>
      <c r="G481" s="210"/>
      <c r="H481" s="210"/>
      <c r="J481" s="147"/>
    </row>
    <row r="482" spans="3:10" ht="15.75" customHeight="1">
      <c r="C482" s="191"/>
      <c r="D482" s="191"/>
      <c r="E482" s="221"/>
      <c r="F482" s="210"/>
      <c r="G482" s="210"/>
      <c r="H482" s="210"/>
      <c r="J482" s="147"/>
    </row>
    <row r="483" spans="3:10" ht="15.75" customHeight="1">
      <c r="C483" s="191"/>
      <c r="D483" s="191"/>
      <c r="E483" s="221"/>
      <c r="F483" s="210"/>
      <c r="G483" s="210"/>
      <c r="H483" s="210"/>
      <c r="J483" s="147"/>
    </row>
    <row r="484" spans="3:10" ht="15.75" customHeight="1">
      <c r="C484" s="191"/>
      <c r="D484" s="191"/>
      <c r="E484" s="221"/>
      <c r="F484" s="210"/>
      <c r="G484" s="210"/>
      <c r="H484" s="210"/>
      <c r="J484" s="147"/>
    </row>
    <row r="485" spans="3:10" ht="15.75" customHeight="1">
      <c r="C485" s="191"/>
      <c r="D485" s="191"/>
      <c r="E485" s="221"/>
      <c r="F485" s="210"/>
      <c r="G485" s="210"/>
      <c r="H485" s="210"/>
      <c r="J485" s="147"/>
    </row>
    <row r="486" spans="3:10" ht="15.75" customHeight="1">
      <c r="C486" s="191"/>
      <c r="D486" s="191"/>
      <c r="E486" s="221"/>
      <c r="F486" s="210"/>
      <c r="G486" s="210"/>
      <c r="H486" s="210"/>
      <c r="J486" s="147"/>
    </row>
    <row r="487" spans="3:10" ht="15.75" customHeight="1">
      <c r="C487" s="191"/>
      <c r="D487" s="191"/>
      <c r="E487" s="221"/>
      <c r="F487" s="210"/>
      <c r="G487" s="210"/>
      <c r="H487" s="210"/>
      <c r="J487" s="147"/>
    </row>
    <row r="488" spans="3:10" ht="15.75" customHeight="1">
      <c r="C488" s="191"/>
      <c r="D488" s="191"/>
      <c r="E488" s="221"/>
      <c r="F488" s="210"/>
      <c r="G488" s="210"/>
      <c r="H488" s="210"/>
      <c r="J488" s="147"/>
    </row>
    <row r="489" spans="3:10" ht="15.75" customHeight="1">
      <c r="C489" s="191"/>
      <c r="D489" s="191"/>
      <c r="E489" s="221"/>
      <c r="F489" s="210"/>
      <c r="G489" s="210"/>
      <c r="H489" s="210"/>
      <c r="J489" s="147"/>
    </row>
    <row r="490" spans="3:10" ht="15.75" customHeight="1">
      <c r="C490" s="191"/>
      <c r="D490" s="191"/>
      <c r="E490" s="221"/>
      <c r="F490" s="210"/>
      <c r="G490" s="210"/>
      <c r="H490" s="210"/>
      <c r="J490" s="147"/>
    </row>
    <row r="491" spans="3:10" ht="15.75" customHeight="1">
      <c r="C491" s="191"/>
      <c r="D491" s="191"/>
      <c r="E491" s="221"/>
      <c r="F491" s="210"/>
      <c r="G491" s="210"/>
      <c r="H491" s="210"/>
      <c r="J491" s="147"/>
    </row>
    <row r="492" spans="3:10" ht="15.75" customHeight="1">
      <c r="C492" s="191"/>
      <c r="D492" s="191"/>
      <c r="E492" s="221"/>
      <c r="F492" s="210"/>
      <c r="G492" s="210"/>
      <c r="H492" s="210"/>
      <c r="J492" s="147"/>
    </row>
    <row r="493" spans="3:10" ht="15.75" customHeight="1">
      <c r="C493" s="191"/>
      <c r="D493" s="191"/>
      <c r="E493" s="221"/>
      <c r="F493" s="210"/>
      <c r="G493" s="210"/>
      <c r="H493" s="210"/>
      <c r="J493" s="147"/>
    </row>
    <row r="494" spans="3:10" ht="15.75" customHeight="1">
      <c r="C494" s="191"/>
      <c r="D494" s="191"/>
      <c r="E494" s="221"/>
      <c r="F494" s="210"/>
      <c r="G494" s="210"/>
      <c r="H494" s="210"/>
      <c r="J494" s="147"/>
    </row>
    <row r="495" spans="3:10" ht="15.75" customHeight="1">
      <c r="C495" s="191"/>
      <c r="D495" s="191"/>
      <c r="E495" s="221"/>
      <c r="F495" s="210"/>
      <c r="G495" s="210"/>
      <c r="H495" s="210"/>
      <c r="J495" s="147"/>
    </row>
    <row r="496" spans="3:10" ht="15.75" customHeight="1">
      <c r="C496" s="191"/>
      <c r="D496" s="191"/>
      <c r="E496" s="221"/>
      <c r="F496" s="210"/>
      <c r="G496" s="210"/>
      <c r="H496" s="210"/>
      <c r="J496" s="147"/>
    </row>
    <row r="497" spans="3:10" ht="15.75" customHeight="1">
      <c r="C497" s="191"/>
      <c r="D497" s="191"/>
      <c r="E497" s="221"/>
      <c r="F497" s="210"/>
      <c r="G497" s="210"/>
      <c r="H497" s="210"/>
      <c r="J497" s="147"/>
    </row>
    <row r="498" spans="3:10" ht="15.75" customHeight="1">
      <c r="C498" s="191"/>
      <c r="D498" s="191"/>
      <c r="E498" s="221"/>
      <c r="F498" s="210"/>
      <c r="G498" s="210"/>
      <c r="H498" s="210"/>
      <c r="J498" s="147"/>
    </row>
    <row r="499" spans="3:10" ht="15.75" customHeight="1">
      <c r="C499" s="191"/>
      <c r="D499" s="191"/>
      <c r="E499" s="221"/>
      <c r="F499" s="210"/>
      <c r="G499" s="210"/>
      <c r="H499" s="210"/>
      <c r="J499" s="147"/>
    </row>
    <row r="500" spans="3:10" ht="15.75" customHeight="1">
      <c r="C500" s="191"/>
      <c r="D500" s="191"/>
      <c r="E500" s="221"/>
      <c r="F500" s="210"/>
      <c r="G500" s="210"/>
      <c r="H500" s="210"/>
      <c r="J500" s="147"/>
    </row>
    <row r="501" spans="3:10" ht="15.75" customHeight="1">
      <c r="C501" s="191"/>
      <c r="D501" s="191"/>
      <c r="E501" s="221"/>
      <c r="F501" s="210"/>
      <c r="G501" s="210"/>
      <c r="H501" s="210"/>
      <c r="J501" s="147"/>
    </row>
    <row r="502" spans="3:10" ht="15.75" customHeight="1">
      <c r="C502" s="191"/>
      <c r="D502" s="191"/>
      <c r="E502" s="221"/>
      <c r="F502" s="210"/>
      <c r="G502" s="210"/>
      <c r="H502" s="210"/>
      <c r="J502" s="147"/>
    </row>
    <row r="503" spans="3:10" ht="15.75" customHeight="1">
      <c r="C503" s="191"/>
      <c r="D503" s="191"/>
      <c r="E503" s="221"/>
      <c r="F503" s="210"/>
      <c r="G503" s="210"/>
      <c r="H503" s="210"/>
      <c r="J503" s="147"/>
    </row>
    <row r="504" spans="3:10" ht="15.75" customHeight="1">
      <c r="C504" s="191"/>
      <c r="D504" s="191"/>
      <c r="E504" s="221"/>
      <c r="F504" s="210"/>
      <c r="G504" s="210"/>
      <c r="H504" s="210"/>
      <c r="J504" s="147"/>
    </row>
    <row r="505" spans="3:10" ht="15.75" customHeight="1">
      <c r="C505" s="191"/>
      <c r="D505" s="191"/>
      <c r="E505" s="221"/>
      <c r="F505" s="210"/>
      <c r="G505" s="210"/>
      <c r="H505" s="210"/>
      <c r="J505" s="147"/>
    </row>
    <row r="506" spans="3:10" ht="15.75" customHeight="1">
      <c r="C506" s="191"/>
      <c r="D506" s="191"/>
      <c r="E506" s="221"/>
      <c r="F506" s="210"/>
      <c r="G506" s="210"/>
      <c r="H506" s="210"/>
      <c r="J506" s="147"/>
    </row>
    <row r="507" spans="3:10" ht="15.75" customHeight="1">
      <c r="C507" s="191"/>
      <c r="D507" s="191"/>
      <c r="E507" s="221"/>
      <c r="F507" s="210"/>
      <c r="G507" s="210"/>
      <c r="H507" s="210"/>
      <c r="J507" s="147"/>
    </row>
    <row r="508" spans="3:10" ht="15.75" customHeight="1">
      <c r="C508" s="191"/>
      <c r="D508" s="191"/>
      <c r="E508" s="221"/>
      <c r="F508" s="210"/>
      <c r="G508" s="210"/>
      <c r="H508" s="210"/>
      <c r="J508" s="147"/>
    </row>
    <row r="509" spans="3:10" ht="15.75" customHeight="1">
      <c r="C509" s="191"/>
      <c r="D509" s="191"/>
      <c r="E509" s="221"/>
      <c r="F509" s="210"/>
      <c r="G509" s="210"/>
      <c r="H509" s="210"/>
      <c r="J509" s="147"/>
    </row>
    <row r="510" spans="3:10" ht="15.75" customHeight="1">
      <c r="C510" s="191"/>
      <c r="D510" s="191"/>
      <c r="E510" s="221"/>
      <c r="F510" s="210"/>
      <c r="G510" s="210"/>
      <c r="H510" s="210"/>
      <c r="J510" s="147"/>
    </row>
    <row r="511" spans="3:10" ht="15.75" customHeight="1">
      <c r="C511" s="191"/>
      <c r="D511" s="191"/>
      <c r="E511" s="221"/>
      <c r="F511" s="210"/>
      <c r="G511" s="210"/>
      <c r="H511" s="210"/>
      <c r="J511" s="147"/>
    </row>
    <row r="512" spans="3:10" ht="15.75" customHeight="1">
      <c r="C512" s="191"/>
      <c r="D512" s="191"/>
      <c r="E512" s="221"/>
      <c r="F512" s="210"/>
      <c r="G512" s="210"/>
      <c r="H512" s="210"/>
      <c r="J512" s="147"/>
    </row>
    <row r="513" spans="3:10" ht="15.75" customHeight="1">
      <c r="C513" s="191"/>
      <c r="D513" s="191"/>
      <c r="E513" s="221"/>
      <c r="F513" s="210"/>
      <c r="G513" s="210"/>
      <c r="H513" s="210"/>
      <c r="J513" s="147"/>
    </row>
    <row r="514" spans="3:10" ht="15.75" customHeight="1">
      <c r="C514" s="191"/>
      <c r="D514" s="191"/>
      <c r="E514" s="221"/>
      <c r="F514" s="210"/>
      <c r="G514" s="210"/>
      <c r="H514" s="210"/>
      <c r="J514" s="147"/>
    </row>
    <row r="515" spans="3:10" ht="15.75" customHeight="1">
      <c r="C515" s="191"/>
      <c r="D515" s="191"/>
      <c r="E515" s="221"/>
      <c r="F515" s="210"/>
      <c r="G515" s="210"/>
      <c r="H515" s="210"/>
      <c r="J515" s="147"/>
    </row>
    <row r="516" spans="3:10" ht="15.75" customHeight="1">
      <c r="C516" s="191"/>
      <c r="D516" s="191"/>
      <c r="E516" s="221"/>
      <c r="F516" s="210"/>
      <c r="G516" s="210"/>
      <c r="H516" s="210"/>
      <c r="J516" s="147"/>
    </row>
    <row r="517" spans="3:10" ht="15.75" customHeight="1">
      <c r="C517" s="191"/>
      <c r="D517" s="191"/>
      <c r="E517" s="221"/>
      <c r="F517" s="210"/>
      <c r="G517" s="210"/>
      <c r="H517" s="210"/>
      <c r="J517" s="147"/>
    </row>
    <row r="518" spans="3:10" ht="15.75" customHeight="1">
      <c r="C518" s="191"/>
      <c r="D518" s="191"/>
      <c r="E518" s="221"/>
      <c r="F518" s="210"/>
      <c r="G518" s="210"/>
      <c r="H518" s="210"/>
      <c r="J518" s="147"/>
    </row>
    <row r="519" spans="3:10" ht="15.75" customHeight="1">
      <c r="C519" s="191"/>
      <c r="D519" s="191"/>
      <c r="E519" s="221"/>
      <c r="F519" s="210"/>
      <c r="G519" s="210"/>
      <c r="H519" s="210"/>
      <c r="J519" s="147"/>
    </row>
    <row r="520" spans="3:10" ht="15.75" customHeight="1">
      <c r="C520" s="191"/>
      <c r="D520" s="191"/>
      <c r="E520" s="221"/>
      <c r="F520" s="210"/>
      <c r="G520" s="210"/>
      <c r="H520" s="210"/>
      <c r="J520" s="147"/>
    </row>
    <row r="521" spans="3:10" ht="15.75" customHeight="1">
      <c r="C521" s="191"/>
      <c r="D521" s="191"/>
      <c r="E521" s="221"/>
      <c r="F521" s="210"/>
      <c r="G521" s="210"/>
      <c r="H521" s="210"/>
      <c r="J521" s="147"/>
    </row>
    <row r="522" spans="3:10" ht="15.75" customHeight="1">
      <c r="C522" s="191"/>
      <c r="D522" s="191"/>
      <c r="E522" s="221"/>
      <c r="F522" s="210"/>
      <c r="G522" s="210"/>
      <c r="H522" s="210"/>
      <c r="J522" s="147"/>
    </row>
    <row r="523" spans="3:10" ht="15.75" customHeight="1">
      <c r="C523" s="191"/>
      <c r="D523" s="191"/>
      <c r="E523" s="221"/>
      <c r="F523" s="210"/>
      <c r="G523" s="210"/>
      <c r="H523" s="210"/>
      <c r="J523" s="147"/>
    </row>
    <row r="524" spans="3:10" ht="15.75" customHeight="1">
      <c r="C524" s="191"/>
      <c r="D524" s="191"/>
      <c r="E524" s="221"/>
      <c r="F524" s="210"/>
      <c r="G524" s="210"/>
      <c r="H524" s="210"/>
      <c r="J524" s="147"/>
    </row>
    <row r="525" spans="3:10" ht="15.75" customHeight="1">
      <c r="C525" s="191"/>
      <c r="D525" s="191"/>
      <c r="E525" s="221"/>
      <c r="F525" s="210"/>
      <c r="G525" s="210"/>
      <c r="H525" s="210"/>
      <c r="J525" s="147"/>
    </row>
    <row r="526" spans="3:10" ht="15.75" customHeight="1">
      <c r="C526" s="191"/>
      <c r="D526" s="191"/>
      <c r="E526" s="221"/>
      <c r="F526" s="210"/>
      <c r="G526" s="210"/>
      <c r="H526" s="210"/>
      <c r="J526" s="147"/>
    </row>
    <row r="527" spans="3:10" ht="15.75" customHeight="1">
      <c r="C527" s="191"/>
      <c r="D527" s="191"/>
      <c r="E527" s="221"/>
      <c r="F527" s="210"/>
      <c r="G527" s="210"/>
      <c r="H527" s="210"/>
      <c r="J527" s="147"/>
    </row>
    <row r="528" spans="3:10" ht="15.75" customHeight="1">
      <c r="C528" s="191"/>
      <c r="D528" s="191"/>
      <c r="E528" s="221"/>
      <c r="F528" s="210"/>
      <c r="G528" s="210"/>
      <c r="H528" s="210"/>
      <c r="J528" s="147"/>
    </row>
    <row r="529" spans="3:10" ht="15.75" customHeight="1">
      <c r="C529" s="191"/>
      <c r="D529" s="191"/>
      <c r="E529" s="221"/>
      <c r="F529" s="210"/>
      <c r="G529" s="210"/>
      <c r="H529" s="210"/>
      <c r="J529" s="147"/>
    </row>
    <row r="530" spans="3:10" ht="15.75" customHeight="1">
      <c r="C530" s="191"/>
      <c r="D530" s="191"/>
      <c r="E530" s="221"/>
      <c r="F530" s="210"/>
      <c r="G530" s="210"/>
      <c r="H530" s="210"/>
      <c r="J530" s="147"/>
    </row>
    <row r="531" spans="3:10" ht="15.75" customHeight="1">
      <c r="C531" s="191"/>
      <c r="D531" s="191"/>
      <c r="E531" s="221"/>
      <c r="F531" s="210"/>
      <c r="G531" s="210"/>
      <c r="H531" s="210"/>
      <c r="J531" s="147"/>
    </row>
    <row r="532" spans="3:10" ht="15.75" customHeight="1">
      <c r="C532" s="191"/>
      <c r="D532" s="191"/>
      <c r="E532" s="221"/>
      <c r="F532" s="210"/>
      <c r="G532" s="210"/>
      <c r="H532" s="210"/>
      <c r="J532" s="147"/>
    </row>
    <row r="533" spans="3:10" ht="15.75" customHeight="1">
      <c r="C533" s="191"/>
      <c r="D533" s="191"/>
      <c r="E533" s="221"/>
      <c r="F533" s="210"/>
      <c r="G533" s="210"/>
      <c r="H533" s="210"/>
      <c r="J533" s="147"/>
    </row>
    <row r="534" spans="3:10" ht="15.75" customHeight="1">
      <c r="C534" s="191"/>
      <c r="D534" s="191"/>
      <c r="E534" s="221"/>
      <c r="F534" s="210"/>
      <c r="G534" s="210"/>
      <c r="H534" s="210"/>
      <c r="J534" s="147"/>
    </row>
    <row r="535" spans="3:10" ht="15.75" customHeight="1">
      <c r="C535" s="191"/>
      <c r="D535" s="191"/>
      <c r="E535" s="221"/>
      <c r="F535" s="210"/>
      <c r="G535" s="210"/>
      <c r="H535" s="210"/>
      <c r="J535" s="147"/>
    </row>
    <row r="536" spans="3:10" ht="15.75" customHeight="1">
      <c r="C536" s="191"/>
      <c r="D536" s="191"/>
      <c r="E536" s="221"/>
      <c r="F536" s="210"/>
      <c r="G536" s="210"/>
      <c r="H536" s="210"/>
      <c r="J536" s="147"/>
    </row>
    <row r="537" spans="3:10" ht="15.75" customHeight="1">
      <c r="C537" s="191"/>
      <c r="D537" s="191"/>
      <c r="E537" s="221"/>
      <c r="F537" s="210"/>
      <c r="G537" s="210"/>
      <c r="H537" s="210"/>
      <c r="J537" s="147"/>
    </row>
    <row r="538" spans="3:10" ht="15.75" customHeight="1">
      <c r="C538" s="191"/>
      <c r="D538" s="191"/>
      <c r="E538" s="221"/>
      <c r="F538" s="210"/>
      <c r="G538" s="210"/>
      <c r="H538" s="210"/>
      <c r="J538" s="147"/>
    </row>
    <row r="539" spans="3:10" ht="15.75" customHeight="1">
      <c r="C539" s="191"/>
      <c r="D539" s="191"/>
      <c r="E539" s="221"/>
      <c r="F539" s="210"/>
      <c r="G539" s="210"/>
      <c r="H539" s="210"/>
      <c r="J539" s="147"/>
    </row>
    <row r="540" spans="3:10" ht="15.75" customHeight="1">
      <c r="C540" s="191"/>
      <c r="D540" s="191"/>
      <c r="E540" s="221"/>
      <c r="F540" s="210"/>
      <c r="G540" s="210"/>
      <c r="H540" s="210"/>
      <c r="J540" s="147"/>
    </row>
    <row r="541" spans="3:10" ht="15.75" customHeight="1">
      <c r="C541" s="191"/>
      <c r="D541" s="191"/>
      <c r="E541" s="221"/>
      <c r="F541" s="210"/>
      <c r="G541" s="210"/>
      <c r="H541" s="210"/>
      <c r="J541" s="147"/>
    </row>
    <row r="542" spans="3:10" ht="15.75" customHeight="1">
      <c r="C542" s="191"/>
      <c r="D542" s="191"/>
      <c r="E542" s="221"/>
      <c r="F542" s="210"/>
      <c r="G542" s="210"/>
      <c r="H542" s="210"/>
      <c r="J542" s="147"/>
    </row>
    <row r="543" spans="3:10" ht="15.75" customHeight="1">
      <c r="C543" s="191"/>
      <c r="D543" s="191"/>
      <c r="E543" s="221"/>
      <c r="F543" s="210"/>
      <c r="G543" s="210"/>
      <c r="H543" s="210"/>
      <c r="J543" s="147"/>
    </row>
    <row r="544" spans="3:10" ht="15.75" customHeight="1">
      <c r="C544" s="191"/>
      <c r="D544" s="191"/>
      <c r="E544" s="221"/>
      <c r="F544" s="210"/>
      <c r="G544" s="210"/>
      <c r="H544" s="210"/>
      <c r="J544" s="147"/>
    </row>
    <row r="545" spans="3:10" ht="15.75" customHeight="1">
      <c r="C545" s="191"/>
      <c r="D545" s="191"/>
      <c r="E545" s="221"/>
      <c r="F545" s="210"/>
      <c r="G545" s="210"/>
      <c r="H545" s="210"/>
      <c r="J545" s="147"/>
    </row>
    <row r="546" spans="3:10" ht="15.75" customHeight="1">
      <c r="C546" s="191"/>
      <c r="D546" s="191"/>
      <c r="E546" s="221"/>
      <c r="F546" s="210"/>
      <c r="G546" s="210"/>
      <c r="H546" s="210"/>
      <c r="J546" s="147"/>
    </row>
    <row r="547" spans="3:10" ht="15.75" customHeight="1">
      <c r="C547" s="191"/>
      <c r="D547" s="191"/>
      <c r="E547" s="221"/>
      <c r="F547" s="210"/>
      <c r="G547" s="210"/>
      <c r="H547" s="210"/>
      <c r="J547" s="147"/>
    </row>
    <row r="548" spans="3:10" ht="15.75" customHeight="1">
      <c r="C548" s="191"/>
      <c r="D548" s="191"/>
      <c r="E548" s="221"/>
      <c r="F548" s="210"/>
      <c r="G548" s="210"/>
      <c r="H548" s="210"/>
      <c r="J548" s="147"/>
    </row>
    <row r="549" spans="3:10" ht="15.75" customHeight="1">
      <c r="C549" s="191"/>
      <c r="D549" s="191"/>
      <c r="E549" s="221"/>
      <c r="F549" s="210"/>
      <c r="G549" s="210"/>
      <c r="H549" s="210"/>
      <c r="J549" s="147"/>
    </row>
    <row r="550" spans="3:10" ht="15.75" customHeight="1">
      <c r="C550" s="191"/>
      <c r="D550" s="191"/>
      <c r="E550" s="221"/>
      <c r="F550" s="210"/>
      <c r="G550" s="210"/>
      <c r="H550" s="210"/>
      <c r="J550" s="147"/>
    </row>
    <row r="551" spans="3:10" ht="15.75" customHeight="1">
      <c r="C551" s="191"/>
      <c r="D551" s="191"/>
      <c r="E551" s="221"/>
      <c r="F551" s="210"/>
      <c r="G551" s="210"/>
      <c r="H551" s="210"/>
      <c r="J551" s="147"/>
    </row>
    <row r="552" spans="3:10" ht="15.75" customHeight="1">
      <c r="C552" s="191"/>
      <c r="D552" s="191"/>
      <c r="E552" s="221"/>
      <c r="F552" s="210"/>
      <c r="G552" s="210"/>
      <c r="H552" s="210"/>
      <c r="J552" s="147"/>
    </row>
    <row r="553" spans="3:10" ht="15.75" customHeight="1">
      <c r="C553" s="191"/>
      <c r="D553" s="191"/>
      <c r="E553" s="221"/>
      <c r="F553" s="210"/>
      <c r="G553" s="210"/>
      <c r="H553" s="210"/>
      <c r="J553" s="147"/>
    </row>
    <row r="554" spans="3:10" ht="15.75" customHeight="1">
      <c r="C554" s="191"/>
      <c r="D554" s="191"/>
      <c r="E554" s="221"/>
      <c r="F554" s="210"/>
      <c r="G554" s="210"/>
      <c r="H554" s="210"/>
      <c r="J554" s="147"/>
    </row>
    <row r="555" spans="3:10" ht="15.75" customHeight="1">
      <c r="C555" s="191"/>
      <c r="D555" s="191"/>
      <c r="E555" s="221"/>
      <c r="F555" s="210"/>
      <c r="G555" s="210"/>
      <c r="H555" s="210"/>
      <c r="J555" s="147"/>
    </row>
    <row r="556" spans="3:10" ht="15.75" customHeight="1">
      <c r="C556" s="191"/>
      <c r="D556" s="191"/>
      <c r="E556" s="221"/>
      <c r="F556" s="210"/>
      <c r="G556" s="210"/>
      <c r="H556" s="210"/>
      <c r="J556" s="147"/>
    </row>
    <row r="557" spans="3:10" ht="15.75" customHeight="1">
      <c r="C557" s="191"/>
      <c r="D557" s="191"/>
      <c r="E557" s="221"/>
      <c r="F557" s="210"/>
      <c r="G557" s="210"/>
      <c r="H557" s="210"/>
      <c r="J557" s="147"/>
    </row>
    <row r="558" spans="3:10" ht="15.75" customHeight="1">
      <c r="C558" s="191"/>
      <c r="D558" s="191"/>
      <c r="E558" s="221"/>
      <c r="F558" s="210"/>
      <c r="G558" s="210"/>
      <c r="H558" s="210"/>
      <c r="J558" s="147"/>
    </row>
    <row r="559" spans="3:10" ht="15.75" customHeight="1">
      <c r="C559" s="191"/>
      <c r="D559" s="191"/>
      <c r="E559" s="221"/>
      <c r="F559" s="210"/>
      <c r="G559" s="210"/>
      <c r="H559" s="210"/>
      <c r="J559" s="147"/>
    </row>
    <row r="560" spans="3:10" ht="15.75" customHeight="1">
      <c r="C560" s="191"/>
      <c r="D560" s="191"/>
      <c r="E560" s="221"/>
      <c r="F560" s="210"/>
      <c r="G560" s="210"/>
      <c r="H560" s="210"/>
      <c r="J560" s="147"/>
    </row>
    <row r="561" spans="3:10" ht="15.75" customHeight="1">
      <c r="C561" s="191"/>
      <c r="D561" s="191"/>
      <c r="E561" s="221"/>
      <c r="F561" s="210"/>
      <c r="G561" s="210"/>
      <c r="H561" s="210"/>
      <c r="J561" s="147"/>
    </row>
    <row r="562" spans="3:10" ht="15.75" customHeight="1">
      <c r="C562" s="191"/>
      <c r="D562" s="191"/>
      <c r="E562" s="221"/>
      <c r="F562" s="210"/>
      <c r="G562" s="210"/>
      <c r="H562" s="210"/>
      <c r="J562" s="147"/>
    </row>
    <row r="563" spans="3:10" ht="15.75" customHeight="1">
      <c r="C563" s="191"/>
      <c r="D563" s="191"/>
      <c r="E563" s="221"/>
      <c r="F563" s="210"/>
      <c r="G563" s="210"/>
      <c r="H563" s="210"/>
      <c r="J563" s="147"/>
    </row>
    <row r="564" spans="3:10" ht="15.75" customHeight="1">
      <c r="C564" s="191"/>
      <c r="D564" s="191"/>
      <c r="E564" s="221"/>
      <c r="F564" s="210"/>
      <c r="G564" s="210"/>
      <c r="H564" s="210"/>
      <c r="J564" s="147"/>
    </row>
    <row r="565" spans="3:10" ht="15.75" customHeight="1">
      <c r="C565" s="191"/>
      <c r="D565" s="191"/>
      <c r="E565" s="221"/>
      <c r="F565" s="210"/>
      <c r="G565" s="210"/>
      <c r="H565" s="210"/>
      <c r="J565" s="147"/>
    </row>
    <row r="566" spans="3:10" ht="15.75" customHeight="1">
      <c r="C566" s="191"/>
      <c r="D566" s="191"/>
      <c r="E566" s="221"/>
      <c r="F566" s="210"/>
      <c r="G566" s="210"/>
      <c r="H566" s="210"/>
      <c r="J566" s="147"/>
    </row>
    <row r="567" spans="3:10" ht="15.75" customHeight="1">
      <c r="C567" s="191"/>
      <c r="D567" s="191"/>
      <c r="E567" s="221"/>
      <c r="F567" s="210"/>
      <c r="G567" s="210"/>
      <c r="H567" s="210"/>
      <c r="J567" s="147"/>
    </row>
    <row r="568" spans="3:10" ht="15.75" customHeight="1">
      <c r="C568" s="191"/>
      <c r="D568" s="191"/>
      <c r="E568" s="221"/>
      <c r="F568" s="210"/>
      <c r="G568" s="210"/>
      <c r="H568" s="210"/>
      <c r="J568" s="147"/>
    </row>
    <row r="569" spans="3:10" ht="15.75" customHeight="1">
      <c r="C569" s="191"/>
      <c r="D569" s="191"/>
      <c r="E569" s="221"/>
      <c r="F569" s="210"/>
      <c r="G569" s="210"/>
      <c r="H569" s="210"/>
      <c r="J569" s="147"/>
    </row>
    <row r="570" spans="3:10" ht="15.75" customHeight="1">
      <c r="C570" s="191"/>
      <c r="D570" s="191"/>
      <c r="E570" s="221"/>
      <c r="F570" s="210"/>
      <c r="G570" s="210"/>
      <c r="H570" s="210"/>
      <c r="J570" s="147"/>
    </row>
    <row r="571" spans="3:10" ht="15.75" customHeight="1">
      <c r="C571" s="191"/>
      <c r="D571" s="191"/>
      <c r="E571" s="221"/>
      <c r="F571" s="210"/>
      <c r="G571" s="210"/>
      <c r="H571" s="210"/>
      <c r="J571" s="147"/>
    </row>
    <row r="572" spans="3:10" ht="15.75" customHeight="1">
      <c r="C572" s="191"/>
      <c r="D572" s="191"/>
      <c r="E572" s="221"/>
      <c r="F572" s="210"/>
      <c r="G572" s="210"/>
      <c r="H572" s="210"/>
      <c r="J572" s="147"/>
    </row>
    <row r="573" spans="3:10" ht="15.75" customHeight="1">
      <c r="C573" s="191"/>
      <c r="D573" s="191"/>
      <c r="E573" s="221"/>
      <c r="F573" s="210"/>
      <c r="G573" s="210"/>
      <c r="H573" s="210"/>
      <c r="J573" s="147"/>
    </row>
    <row r="574" spans="3:10" ht="15.75" customHeight="1">
      <c r="C574" s="191"/>
      <c r="D574" s="191"/>
      <c r="E574" s="221"/>
      <c r="F574" s="210"/>
      <c r="G574" s="210"/>
      <c r="H574" s="210"/>
      <c r="J574" s="147"/>
    </row>
    <row r="575" spans="3:10" ht="15.75" customHeight="1">
      <c r="C575" s="191"/>
      <c r="D575" s="191"/>
      <c r="E575" s="221"/>
      <c r="F575" s="210"/>
      <c r="G575" s="210"/>
      <c r="H575" s="210"/>
      <c r="J575" s="147"/>
    </row>
    <row r="576" spans="3:10" ht="15.75" customHeight="1">
      <c r="C576" s="191"/>
      <c r="D576" s="191"/>
      <c r="E576" s="221"/>
      <c r="F576" s="210"/>
      <c r="G576" s="210"/>
      <c r="H576" s="210"/>
      <c r="J576" s="147"/>
    </row>
    <row r="577" spans="3:10" ht="15.75" customHeight="1">
      <c r="C577" s="191"/>
      <c r="D577" s="191"/>
      <c r="E577" s="221"/>
      <c r="F577" s="210"/>
      <c r="G577" s="210"/>
      <c r="H577" s="210"/>
      <c r="J577" s="147"/>
    </row>
    <row r="578" spans="3:10" ht="15.75" customHeight="1">
      <c r="C578" s="191"/>
      <c r="D578" s="191"/>
      <c r="E578" s="221"/>
      <c r="F578" s="210"/>
      <c r="G578" s="210"/>
      <c r="H578" s="210"/>
      <c r="J578" s="147"/>
    </row>
    <row r="579" spans="3:10" ht="15.75" customHeight="1">
      <c r="C579" s="191"/>
      <c r="D579" s="191"/>
      <c r="E579" s="221"/>
      <c r="F579" s="210"/>
      <c r="G579" s="210"/>
      <c r="H579" s="210"/>
      <c r="J579" s="147"/>
    </row>
    <row r="580" spans="3:10" ht="15.75" customHeight="1">
      <c r="C580" s="191"/>
      <c r="D580" s="191"/>
      <c r="E580" s="221"/>
      <c r="F580" s="210"/>
      <c r="G580" s="210"/>
      <c r="H580" s="210"/>
      <c r="J580" s="147"/>
    </row>
    <row r="581" spans="3:10" ht="15.75" customHeight="1">
      <c r="C581" s="191"/>
      <c r="D581" s="191"/>
      <c r="E581" s="221"/>
      <c r="F581" s="210"/>
      <c r="G581" s="210"/>
      <c r="H581" s="210"/>
      <c r="J581" s="147"/>
    </row>
    <row r="582" spans="3:10" ht="15.75" customHeight="1">
      <c r="C582" s="191"/>
      <c r="D582" s="191"/>
      <c r="E582" s="221"/>
      <c r="F582" s="210"/>
      <c r="G582" s="210"/>
      <c r="H582" s="210"/>
      <c r="J582" s="147"/>
    </row>
    <row r="583" spans="3:10" ht="15.75" customHeight="1">
      <c r="C583" s="191"/>
      <c r="D583" s="191"/>
      <c r="E583" s="221"/>
      <c r="F583" s="210"/>
      <c r="G583" s="210"/>
      <c r="H583" s="210"/>
      <c r="J583" s="147"/>
    </row>
    <row r="584" spans="3:10" ht="15.75" customHeight="1">
      <c r="C584" s="191"/>
      <c r="D584" s="191"/>
      <c r="E584" s="221"/>
      <c r="F584" s="210"/>
      <c r="G584" s="210"/>
      <c r="H584" s="210"/>
      <c r="J584" s="147"/>
    </row>
    <row r="585" spans="3:10" ht="15.75" customHeight="1">
      <c r="C585" s="191"/>
      <c r="D585" s="191"/>
      <c r="E585" s="221"/>
      <c r="F585" s="210"/>
      <c r="G585" s="210"/>
      <c r="H585" s="210"/>
      <c r="J585" s="147"/>
    </row>
    <row r="586" spans="3:10" ht="15.75" customHeight="1">
      <c r="C586" s="191"/>
      <c r="D586" s="191"/>
      <c r="E586" s="221"/>
      <c r="F586" s="210"/>
      <c r="G586" s="210"/>
      <c r="H586" s="210"/>
      <c r="J586" s="147"/>
    </row>
    <row r="587" spans="3:10" ht="15.75" customHeight="1">
      <c r="C587" s="191"/>
      <c r="D587" s="191"/>
      <c r="E587" s="221"/>
      <c r="F587" s="210"/>
      <c r="G587" s="210"/>
      <c r="H587" s="210"/>
      <c r="J587" s="147"/>
    </row>
    <row r="588" spans="3:10" ht="15.75" customHeight="1">
      <c r="C588" s="191"/>
      <c r="D588" s="191"/>
      <c r="E588" s="221"/>
      <c r="F588" s="210"/>
      <c r="G588" s="210"/>
      <c r="H588" s="210"/>
      <c r="J588" s="147"/>
    </row>
    <row r="589" spans="3:10" ht="15.75" customHeight="1">
      <c r="C589" s="191"/>
      <c r="D589" s="191"/>
      <c r="E589" s="221"/>
      <c r="F589" s="210"/>
      <c r="G589" s="210"/>
      <c r="H589" s="210"/>
      <c r="J589" s="147"/>
    </row>
    <row r="590" spans="3:10" ht="15.75" customHeight="1">
      <c r="C590" s="191"/>
      <c r="D590" s="191"/>
      <c r="E590" s="221"/>
      <c r="F590" s="210"/>
      <c r="G590" s="210"/>
      <c r="H590" s="210"/>
      <c r="J590" s="147"/>
    </row>
    <row r="591" spans="3:10" ht="15.75" customHeight="1">
      <c r="C591" s="191"/>
      <c r="D591" s="191"/>
      <c r="E591" s="221"/>
      <c r="F591" s="210"/>
      <c r="G591" s="210"/>
      <c r="H591" s="210"/>
      <c r="J591" s="147"/>
    </row>
    <row r="592" spans="3:10" ht="15.75" customHeight="1">
      <c r="C592" s="191"/>
      <c r="D592" s="191"/>
      <c r="E592" s="221"/>
      <c r="F592" s="210"/>
      <c r="G592" s="210"/>
      <c r="H592" s="210"/>
      <c r="J592" s="147"/>
    </row>
    <row r="593" spans="3:10" ht="15.75" customHeight="1">
      <c r="C593" s="191"/>
      <c r="D593" s="191"/>
      <c r="E593" s="221"/>
      <c r="F593" s="210"/>
      <c r="G593" s="210"/>
      <c r="H593" s="210"/>
      <c r="J593" s="147"/>
    </row>
    <row r="594" spans="3:10" ht="15.75" customHeight="1">
      <c r="C594" s="191"/>
      <c r="D594" s="191"/>
      <c r="E594" s="221"/>
      <c r="F594" s="210"/>
      <c r="G594" s="210"/>
      <c r="H594" s="210"/>
      <c r="J594" s="147"/>
    </row>
    <row r="595" spans="3:10" ht="15.75" customHeight="1">
      <c r="C595" s="191"/>
      <c r="D595" s="191"/>
      <c r="E595" s="221"/>
      <c r="F595" s="210"/>
      <c r="G595" s="210"/>
      <c r="H595" s="210"/>
      <c r="J595" s="147"/>
    </row>
    <row r="596" spans="3:10" ht="15.75" customHeight="1">
      <c r="C596" s="191"/>
      <c r="D596" s="191"/>
      <c r="E596" s="221"/>
      <c r="F596" s="210"/>
      <c r="G596" s="210"/>
      <c r="H596" s="210"/>
      <c r="J596" s="147"/>
    </row>
    <row r="597" spans="3:10" ht="15.75" customHeight="1">
      <c r="C597" s="191"/>
      <c r="D597" s="191"/>
      <c r="E597" s="221"/>
      <c r="F597" s="210"/>
      <c r="G597" s="210"/>
      <c r="H597" s="210"/>
      <c r="J597" s="147"/>
    </row>
    <row r="598" spans="3:10" ht="15.75" customHeight="1">
      <c r="C598" s="191"/>
      <c r="D598" s="191"/>
      <c r="E598" s="221"/>
      <c r="F598" s="210"/>
      <c r="G598" s="210"/>
      <c r="H598" s="210"/>
      <c r="J598" s="147"/>
    </row>
    <row r="599" spans="3:10" ht="15.75" customHeight="1">
      <c r="C599" s="191"/>
      <c r="D599" s="191"/>
      <c r="E599" s="221"/>
      <c r="F599" s="210"/>
      <c r="G599" s="210"/>
      <c r="H599" s="210"/>
      <c r="J599" s="147"/>
    </row>
    <row r="600" spans="3:10" ht="15.75" customHeight="1">
      <c r="C600" s="191"/>
      <c r="D600" s="191"/>
      <c r="E600" s="221"/>
      <c r="F600" s="210"/>
      <c r="G600" s="210"/>
      <c r="H600" s="210"/>
      <c r="J600" s="147"/>
    </row>
    <row r="601" spans="3:10" ht="15.75" customHeight="1">
      <c r="C601" s="191"/>
      <c r="D601" s="191"/>
      <c r="E601" s="221"/>
      <c r="F601" s="210"/>
      <c r="G601" s="210"/>
      <c r="H601" s="210"/>
      <c r="J601" s="147"/>
    </row>
    <row r="602" spans="3:10" ht="15.75" customHeight="1">
      <c r="C602" s="191"/>
      <c r="D602" s="191"/>
      <c r="E602" s="221"/>
      <c r="F602" s="210"/>
      <c r="G602" s="210"/>
      <c r="H602" s="210"/>
      <c r="J602" s="147"/>
    </row>
    <row r="603" spans="3:10" ht="15.75" customHeight="1">
      <c r="C603" s="191"/>
      <c r="D603" s="191"/>
      <c r="E603" s="221"/>
      <c r="F603" s="210"/>
      <c r="G603" s="210"/>
      <c r="H603" s="210"/>
      <c r="J603" s="147"/>
    </row>
    <row r="604" spans="3:10" ht="15.75" customHeight="1">
      <c r="C604" s="191"/>
      <c r="D604" s="191"/>
      <c r="E604" s="221"/>
      <c r="F604" s="210"/>
      <c r="G604" s="210"/>
      <c r="H604" s="210"/>
      <c r="J604" s="147"/>
    </row>
    <row r="605" spans="3:10" ht="15.75" customHeight="1">
      <c r="C605" s="191"/>
      <c r="D605" s="191"/>
      <c r="E605" s="221"/>
      <c r="F605" s="210"/>
      <c r="G605" s="210"/>
      <c r="H605" s="210"/>
      <c r="J605" s="147"/>
    </row>
    <row r="606" spans="3:10" ht="15.75" customHeight="1">
      <c r="C606" s="191"/>
      <c r="D606" s="191"/>
      <c r="E606" s="221"/>
      <c r="F606" s="210"/>
      <c r="G606" s="210"/>
      <c r="H606" s="210"/>
      <c r="J606" s="147"/>
    </row>
    <row r="607" spans="3:10" ht="15.75" customHeight="1">
      <c r="C607" s="191"/>
      <c r="D607" s="191"/>
      <c r="E607" s="221"/>
      <c r="F607" s="210"/>
      <c r="G607" s="210"/>
      <c r="H607" s="210"/>
      <c r="J607" s="147"/>
    </row>
    <row r="608" spans="3:10" ht="15.75" customHeight="1">
      <c r="C608" s="191"/>
      <c r="D608" s="191"/>
      <c r="E608" s="221"/>
      <c r="F608" s="210"/>
      <c r="G608" s="210"/>
      <c r="H608" s="210"/>
      <c r="J608" s="147"/>
    </row>
    <row r="609" spans="3:10" ht="15.75" customHeight="1">
      <c r="C609" s="191"/>
      <c r="D609" s="191"/>
      <c r="E609" s="221"/>
      <c r="F609" s="210"/>
      <c r="G609" s="210"/>
      <c r="H609" s="210"/>
      <c r="J609" s="147"/>
    </row>
    <row r="610" spans="3:10" ht="15.75" customHeight="1">
      <c r="C610" s="191"/>
      <c r="D610" s="191"/>
      <c r="E610" s="221"/>
      <c r="F610" s="210"/>
      <c r="G610" s="210"/>
      <c r="H610" s="210"/>
      <c r="J610" s="147"/>
    </row>
    <row r="611" spans="3:10" ht="15.75" customHeight="1">
      <c r="C611" s="191"/>
      <c r="D611" s="191"/>
      <c r="E611" s="221"/>
      <c r="F611" s="210"/>
      <c r="G611" s="210"/>
      <c r="H611" s="210"/>
      <c r="J611" s="147"/>
    </row>
    <row r="612" spans="3:10" ht="15.75" customHeight="1">
      <c r="C612" s="191"/>
      <c r="D612" s="191"/>
      <c r="E612" s="221"/>
      <c r="F612" s="210"/>
      <c r="G612" s="210"/>
      <c r="H612" s="210"/>
      <c r="J612" s="147"/>
    </row>
    <row r="613" spans="3:10" ht="15.75" customHeight="1">
      <c r="C613" s="191"/>
      <c r="D613" s="191"/>
      <c r="E613" s="221"/>
      <c r="F613" s="210"/>
      <c r="G613" s="210"/>
      <c r="H613" s="210"/>
      <c r="J613" s="147"/>
    </row>
    <row r="614" spans="3:10" ht="15.75" customHeight="1">
      <c r="C614" s="191"/>
      <c r="D614" s="191"/>
      <c r="E614" s="221"/>
      <c r="F614" s="210"/>
      <c r="G614" s="210"/>
      <c r="H614" s="210"/>
      <c r="J614" s="147"/>
    </row>
    <row r="615" spans="3:10" ht="15.75" customHeight="1">
      <c r="C615" s="191"/>
      <c r="D615" s="191"/>
      <c r="E615" s="221"/>
      <c r="F615" s="210"/>
      <c r="G615" s="210"/>
      <c r="H615" s="210"/>
      <c r="J615" s="147"/>
    </row>
    <row r="616" spans="3:10" ht="15.75" customHeight="1">
      <c r="C616" s="191"/>
      <c r="D616" s="191"/>
      <c r="E616" s="221"/>
      <c r="F616" s="210"/>
      <c r="G616" s="210"/>
      <c r="H616" s="210"/>
      <c r="J616" s="147"/>
    </row>
    <row r="617" spans="3:10" ht="15.75" customHeight="1">
      <c r="C617" s="191"/>
      <c r="D617" s="191"/>
      <c r="E617" s="221"/>
      <c r="F617" s="210"/>
      <c r="G617" s="210"/>
      <c r="H617" s="210"/>
      <c r="J617" s="147"/>
    </row>
    <row r="618" spans="3:10" ht="15.75" customHeight="1">
      <c r="C618" s="191"/>
      <c r="D618" s="191"/>
      <c r="E618" s="221"/>
      <c r="F618" s="210"/>
      <c r="G618" s="210"/>
      <c r="H618" s="210"/>
      <c r="J618" s="147"/>
    </row>
    <row r="619" spans="3:10" ht="15.75" customHeight="1">
      <c r="C619" s="191"/>
      <c r="D619" s="191"/>
      <c r="E619" s="221"/>
      <c r="F619" s="210"/>
      <c r="G619" s="210"/>
      <c r="H619" s="210"/>
      <c r="J619" s="147"/>
    </row>
    <row r="620" spans="3:10" ht="15.75" customHeight="1">
      <c r="C620" s="191"/>
      <c r="D620" s="191"/>
      <c r="E620" s="221"/>
      <c r="F620" s="210"/>
      <c r="G620" s="210"/>
      <c r="H620" s="210"/>
      <c r="J620" s="147"/>
    </row>
    <row r="621" spans="3:10" ht="15.75" customHeight="1">
      <c r="C621" s="191"/>
      <c r="D621" s="191"/>
      <c r="E621" s="221"/>
      <c r="F621" s="210"/>
      <c r="G621" s="210"/>
      <c r="H621" s="210"/>
      <c r="J621" s="147"/>
    </row>
    <row r="622" spans="3:10" ht="15.75" customHeight="1">
      <c r="C622" s="191"/>
      <c r="D622" s="191"/>
      <c r="E622" s="221"/>
      <c r="F622" s="210"/>
      <c r="G622" s="210"/>
      <c r="H622" s="210"/>
      <c r="J622" s="147"/>
    </row>
    <row r="623" spans="3:10" ht="15.75" customHeight="1">
      <c r="C623" s="191"/>
      <c r="D623" s="191"/>
      <c r="E623" s="221"/>
      <c r="F623" s="210"/>
      <c r="G623" s="210"/>
      <c r="H623" s="210"/>
      <c r="J623" s="147"/>
    </row>
    <row r="624" spans="3:10" ht="15.75" customHeight="1">
      <c r="C624" s="191"/>
      <c r="D624" s="191"/>
      <c r="E624" s="221"/>
      <c r="F624" s="210"/>
      <c r="G624" s="210"/>
      <c r="H624" s="210"/>
      <c r="J624" s="147"/>
    </row>
    <row r="625" spans="3:10" ht="15.75" customHeight="1">
      <c r="C625" s="191"/>
      <c r="D625" s="191"/>
      <c r="E625" s="221"/>
      <c r="F625" s="210"/>
      <c r="G625" s="210"/>
      <c r="H625" s="210"/>
      <c r="J625" s="147"/>
    </row>
    <row r="626" spans="3:10" ht="15.75" customHeight="1">
      <c r="C626" s="191"/>
      <c r="D626" s="191"/>
      <c r="E626" s="221"/>
      <c r="F626" s="210"/>
      <c r="G626" s="210"/>
      <c r="H626" s="210"/>
      <c r="J626" s="147"/>
    </row>
    <row r="627" spans="3:10" ht="15.75" customHeight="1">
      <c r="C627" s="191"/>
      <c r="D627" s="191"/>
      <c r="E627" s="221"/>
      <c r="F627" s="210"/>
      <c r="G627" s="210"/>
      <c r="H627" s="210"/>
      <c r="J627" s="147"/>
    </row>
    <row r="628" spans="3:10" ht="15.75" customHeight="1">
      <c r="C628" s="191"/>
      <c r="D628" s="191"/>
      <c r="E628" s="221"/>
      <c r="F628" s="210"/>
      <c r="G628" s="210"/>
      <c r="H628" s="210"/>
      <c r="J628" s="147"/>
    </row>
    <row r="629" spans="3:10" ht="15.75" customHeight="1">
      <c r="C629" s="191"/>
      <c r="D629" s="191"/>
      <c r="E629" s="221"/>
      <c r="F629" s="210"/>
      <c r="G629" s="210"/>
      <c r="H629" s="210"/>
      <c r="J629" s="147"/>
    </row>
    <row r="630" spans="3:10" ht="15.75" customHeight="1">
      <c r="C630" s="191"/>
      <c r="D630" s="191"/>
      <c r="E630" s="221"/>
      <c r="F630" s="210"/>
      <c r="G630" s="210"/>
      <c r="H630" s="210"/>
      <c r="J630" s="147"/>
    </row>
    <row r="631" spans="3:10" ht="15.75" customHeight="1">
      <c r="C631" s="191"/>
      <c r="D631" s="191"/>
      <c r="E631" s="221"/>
      <c r="F631" s="210"/>
      <c r="G631" s="210"/>
      <c r="H631" s="210"/>
      <c r="J631" s="147"/>
    </row>
    <row r="632" spans="3:10" ht="15.75" customHeight="1">
      <c r="C632" s="191"/>
      <c r="D632" s="191"/>
      <c r="E632" s="221"/>
      <c r="F632" s="210"/>
      <c r="G632" s="210"/>
      <c r="H632" s="210"/>
      <c r="J632" s="147"/>
    </row>
    <row r="633" spans="3:10" ht="15.75" customHeight="1">
      <c r="C633" s="191"/>
      <c r="D633" s="191"/>
      <c r="E633" s="221"/>
      <c r="F633" s="210"/>
      <c r="G633" s="210"/>
      <c r="H633" s="210"/>
      <c r="J633" s="147"/>
    </row>
    <row r="634" spans="3:10" ht="15.75" customHeight="1">
      <c r="C634" s="191"/>
      <c r="D634" s="191"/>
      <c r="E634" s="221"/>
      <c r="F634" s="210"/>
      <c r="G634" s="210"/>
      <c r="H634" s="210"/>
      <c r="J634" s="147"/>
    </row>
    <row r="635" spans="3:10" ht="15.75" customHeight="1">
      <c r="C635" s="191"/>
      <c r="D635" s="191"/>
      <c r="E635" s="221"/>
      <c r="F635" s="210"/>
      <c r="G635" s="210"/>
      <c r="H635" s="210"/>
      <c r="J635" s="147"/>
    </row>
    <row r="636" spans="3:10" ht="15.75" customHeight="1">
      <c r="C636" s="191"/>
      <c r="D636" s="191"/>
      <c r="E636" s="221"/>
      <c r="F636" s="210"/>
      <c r="G636" s="210"/>
      <c r="H636" s="210"/>
      <c r="J636" s="147"/>
    </row>
    <row r="637" spans="3:10" ht="15.75" customHeight="1">
      <c r="C637" s="191"/>
      <c r="D637" s="191"/>
      <c r="E637" s="221"/>
      <c r="F637" s="210"/>
      <c r="G637" s="210"/>
      <c r="H637" s="210"/>
      <c r="J637" s="147"/>
    </row>
    <row r="638" spans="3:10" ht="15.75" customHeight="1">
      <c r="C638" s="191"/>
      <c r="D638" s="191"/>
      <c r="E638" s="221"/>
      <c r="F638" s="210"/>
      <c r="G638" s="210"/>
      <c r="H638" s="210"/>
      <c r="J638" s="147"/>
    </row>
    <row r="639" spans="3:10" ht="15.75" customHeight="1">
      <c r="C639" s="191"/>
      <c r="D639" s="191"/>
      <c r="E639" s="221"/>
      <c r="F639" s="210"/>
      <c r="G639" s="210"/>
      <c r="H639" s="210"/>
      <c r="J639" s="147"/>
    </row>
    <row r="640" spans="3:10" ht="15.75" customHeight="1">
      <c r="C640" s="191"/>
      <c r="D640" s="191"/>
      <c r="E640" s="221"/>
      <c r="F640" s="210"/>
      <c r="G640" s="210"/>
      <c r="H640" s="210"/>
      <c r="J640" s="147"/>
    </row>
    <row r="641" spans="3:10" ht="15.75" customHeight="1">
      <c r="C641" s="191"/>
      <c r="D641" s="191"/>
      <c r="E641" s="221"/>
      <c r="F641" s="210"/>
      <c r="G641" s="210"/>
      <c r="H641" s="210"/>
      <c r="J641" s="147"/>
    </row>
    <row r="642" spans="3:10" ht="15.75" customHeight="1">
      <c r="C642" s="191"/>
      <c r="D642" s="191"/>
      <c r="E642" s="221"/>
      <c r="F642" s="210"/>
      <c r="G642" s="210"/>
      <c r="H642" s="210"/>
      <c r="J642" s="147"/>
    </row>
    <row r="643" spans="3:10" ht="15.75" customHeight="1">
      <c r="C643" s="191"/>
      <c r="D643" s="191"/>
      <c r="E643" s="221"/>
      <c r="F643" s="210"/>
      <c r="G643" s="210"/>
      <c r="H643" s="210"/>
      <c r="J643" s="147"/>
    </row>
    <row r="644" spans="3:10" ht="15.75" customHeight="1">
      <c r="C644" s="191"/>
      <c r="D644" s="191"/>
      <c r="E644" s="221"/>
      <c r="F644" s="210"/>
      <c r="G644" s="210"/>
      <c r="H644" s="210"/>
      <c r="J644" s="147"/>
    </row>
    <row r="645" spans="3:10" ht="15.75" customHeight="1">
      <c r="C645" s="191"/>
      <c r="D645" s="191"/>
      <c r="E645" s="221"/>
      <c r="F645" s="210"/>
      <c r="G645" s="210"/>
      <c r="H645" s="210"/>
      <c r="J645" s="147"/>
    </row>
    <row r="646" spans="3:10" ht="15.75" customHeight="1">
      <c r="C646" s="191"/>
      <c r="D646" s="191"/>
      <c r="E646" s="221"/>
      <c r="F646" s="210"/>
      <c r="G646" s="210"/>
      <c r="H646" s="210"/>
      <c r="J646" s="147"/>
    </row>
    <row r="647" spans="3:10" ht="15.75" customHeight="1">
      <c r="C647" s="191"/>
      <c r="D647" s="191"/>
      <c r="E647" s="221"/>
      <c r="F647" s="210"/>
      <c r="G647" s="210"/>
      <c r="H647" s="210"/>
      <c r="J647" s="147"/>
    </row>
    <row r="648" spans="3:10" ht="15.75" customHeight="1">
      <c r="C648" s="191"/>
      <c r="D648" s="191"/>
      <c r="E648" s="221"/>
      <c r="F648" s="210"/>
      <c r="G648" s="210"/>
      <c r="H648" s="210"/>
      <c r="J648" s="147"/>
    </row>
    <row r="649" spans="3:10" ht="15.75" customHeight="1">
      <c r="C649" s="191"/>
      <c r="D649" s="191"/>
      <c r="E649" s="221"/>
      <c r="F649" s="210"/>
      <c r="G649" s="210"/>
      <c r="H649" s="210"/>
      <c r="J649" s="147"/>
    </row>
    <row r="650" spans="3:10" ht="15.75" customHeight="1">
      <c r="C650" s="191"/>
      <c r="D650" s="191"/>
      <c r="E650" s="221"/>
      <c r="F650" s="210"/>
      <c r="G650" s="210"/>
      <c r="H650" s="210"/>
      <c r="J650" s="147"/>
    </row>
    <row r="651" spans="3:10" ht="15.75" customHeight="1">
      <c r="C651" s="191"/>
      <c r="D651" s="191"/>
      <c r="E651" s="221"/>
      <c r="F651" s="210"/>
      <c r="G651" s="210"/>
      <c r="H651" s="210"/>
      <c r="J651" s="147"/>
    </row>
    <row r="652" spans="3:10" ht="15.75" customHeight="1">
      <c r="C652" s="191"/>
      <c r="D652" s="191"/>
      <c r="E652" s="221"/>
      <c r="F652" s="210"/>
      <c r="G652" s="210"/>
      <c r="H652" s="210"/>
      <c r="J652" s="147"/>
    </row>
    <row r="653" spans="3:10" ht="15.75" customHeight="1">
      <c r="C653" s="191"/>
      <c r="D653" s="191"/>
      <c r="E653" s="221"/>
      <c r="F653" s="210"/>
      <c r="G653" s="210"/>
      <c r="H653" s="210"/>
      <c r="J653" s="147"/>
    </row>
    <row r="654" spans="3:10" ht="15.75" customHeight="1">
      <c r="C654" s="191"/>
      <c r="D654" s="191"/>
      <c r="E654" s="221"/>
      <c r="F654" s="210"/>
      <c r="G654" s="210"/>
      <c r="H654" s="210"/>
      <c r="J654" s="147"/>
    </row>
    <row r="655" spans="3:10" ht="15.75" customHeight="1">
      <c r="C655" s="191"/>
      <c r="D655" s="191"/>
      <c r="E655" s="221"/>
      <c r="F655" s="210"/>
      <c r="G655" s="210"/>
      <c r="H655" s="210"/>
      <c r="J655" s="147"/>
    </row>
    <row r="656" spans="3:10" ht="15.75" customHeight="1">
      <c r="C656" s="191"/>
      <c r="D656" s="191"/>
      <c r="E656" s="221"/>
      <c r="F656" s="210"/>
      <c r="G656" s="210"/>
      <c r="H656" s="210"/>
      <c r="J656" s="147"/>
    </row>
    <row r="657" spans="3:10" ht="15.75" customHeight="1">
      <c r="C657" s="191"/>
      <c r="D657" s="191"/>
      <c r="E657" s="221"/>
      <c r="F657" s="210"/>
      <c r="G657" s="210"/>
      <c r="H657" s="210"/>
      <c r="J657" s="147"/>
    </row>
    <row r="658" spans="3:10" ht="15.75" customHeight="1">
      <c r="C658" s="191"/>
      <c r="D658" s="191"/>
      <c r="E658" s="221"/>
      <c r="F658" s="210"/>
      <c r="G658" s="210"/>
      <c r="H658" s="210"/>
      <c r="J658" s="147"/>
    </row>
    <row r="659" spans="3:10" ht="15.75" customHeight="1">
      <c r="C659" s="191"/>
      <c r="D659" s="191"/>
      <c r="E659" s="221"/>
      <c r="F659" s="210"/>
      <c r="G659" s="210"/>
      <c r="H659" s="210"/>
      <c r="J659" s="147"/>
    </row>
    <row r="660" spans="3:10" ht="15.75" customHeight="1">
      <c r="C660" s="191"/>
      <c r="D660" s="191"/>
      <c r="E660" s="221"/>
      <c r="F660" s="210"/>
      <c r="G660" s="210"/>
      <c r="H660" s="210"/>
      <c r="J660" s="147"/>
    </row>
    <row r="661" spans="3:10" ht="15.75" customHeight="1">
      <c r="C661" s="191"/>
      <c r="D661" s="191"/>
      <c r="E661" s="221"/>
      <c r="F661" s="210"/>
      <c r="G661" s="210"/>
      <c r="H661" s="210"/>
      <c r="J661" s="147"/>
    </row>
    <row r="662" spans="3:10" ht="15.75" customHeight="1">
      <c r="C662" s="191"/>
      <c r="D662" s="191"/>
      <c r="E662" s="221"/>
      <c r="F662" s="210"/>
      <c r="G662" s="210"/>
      <c r="H662" s="210"/>
      <c r="J662" s="147"/>
    </row>
    <row r="663" spans="3:10" ht="15.75" customHeight="1">
      <c r="C663" s="191"/>
      <c r="D663" s="191"/>
      <c r="E663" s="221"/>
      <c r="F663" s="210"/>
      <c r="G663" s="210"/>
      <c r="H663" s="210"/>
      <c r="J663" s="147"/>
    </row>
    <row r="664" spans="3:10" ht="15.75" customHeight="1">
      <c r="C664" s="191"/>
      <c r="D664" s="191"/>
      <c r="E664" s="221"/>
      <c r="F664" s="210"/>
      <c r="G664" s="210"/>
      <c r="H664" s="210"/>
      <c r="J664" s="147"/>
    </row>
    <row r="665" spans="3:10" ht="15.75" customHeight="1">
      <c r="C665" s="191"/>
      <c r="D665" s="191"/>
      <c r="E665" s="221"/>
      <c r="F665" s="210"/>
      <c r="G665" s="210"/>
      <c r="H665" s="210"/>
      <c r="J665" s="147"/>
    </row>
    <row r="666" spans="3:10" ht="15.75" customHeight="1">
      <c r="C666" s="191"/>
      <c r="D666" s="191"/>
      <c r="E666" s="221"/>
      <c r="F666" s="210"/>
      <c r="G666" s="210"/>
      <c r="H666" s="210"/>
      <c r="J666" s="147"/>
    </row>
    <row r="667" spans="3:10" ht="15.75" customHeight="1">
      <c r="C667" s="191"/>
      <c r="D667" s="191"/>
      <c r="E667" s="221"/>
      <c r="F667" s="210"/>
      <c r="G667" s="210"/>
      <c r="H667" s="210"/>
      <c r="J667" s="147"/>
    </row>
    <row r="668" spans="3:10" ht="15.75" customHeight="1">
      <c r="C668" s="191"/>
      <c r="D668" s="191"/>
      <c r="E668" s="221"/>
      <c r="F668" s="210"/>
      <c r="G668" s="210"/>
      <c r="H668" s="210"/>
      <c r="J668" s="147"/>
    </row>
    <row r="669" spans="3:10" ht="15.75" customHeight="1">
      <c r="C669" s="191"/>
      <c r="D669" s="191"/>
      <c r="E669" s="221"/>
      <c r="F669" s="210"/>
      <c r="G669" s="210"/>
      <c r="H669" s="210"/>
      <c r="J669" s="147"/>
    </row>
    <row r="670" spans="3:10" ht="15.75" customHeight="1">
      <c r="C670" s="191"/>
      <c r="D670" s="191"/>
      <c r="E670" s="221"/>
      <c r="F670" s="210"/>
      <c r="G670" s="210"/>
      <c r="H670" s="210"/>
      <c r="J670" s="147"/>
    </row>
    <row r="671" spans="3:10" ht="15.75" customHeight="1">
      <c r="C671" s="191"/>
      <c r="D671" s="191"/>
      <c r="E671" s="221"/>
      <c r="F671" s="210"/>
      <c r="G671" s="210"/>
      <c r="H671" s="210"/>
      <c r="J671" s="147"/>
    </row>
    <row r="672" spans="3:10" ht="15.75" customHeight="1">
      <c r="C672" s="191"/>
      <c r="D672" s="191"/>
      <c r="E672" s="221"/>
      <c r="F672" s="210"/>
      <c r="G672" s="210"/>
      <c r="H672" s="210"/>
      <c r="J672" s="147"/>
    </row>
    <row r="673" spans="3:10" ht="15.75" customHeight="1">
      <c r="C673" s="191"/>
      <c r="D673" s="191"/>
      <c r="E673" s="221"/>
      <c r="F673" s="210"/>
      <c r="G673" s="210"/>
      <c r="H673" s="210"/>
      <c r="J673" s="147"/>
    </row>
    <row r="674" spans="3:10" ht="15.75" customHeight="1">
      <c r="C674" s="191"/>
      <c r="D674" s="191"/>
      <c r="E674" s="221"/>
      <c r="F674" s="210"/>
      <c r="G674" s="210"/>
      <c r="H674" s="210"/>
      <c r="J674" s="147"/>
    </row>
    <row r="675" spans="3:10" ht="15.75" customHeight="1">
      <c r="C675" s="191"/>
      <c r="D675" s="191"/>
      <c r="E675" s="221"/>
      <c r="F675" s="210"/>
      <c r="G675" s="210"/>
      <c r="H675" s="210"/>
      <c r="J675" s="147"/>
    </row>
    <row r="676" spans="3:10" ht="15.75" customHeight="1">
      <c r="C676" s="191"/>
      <c r="D676" s="191"/>
      <c r="E676" s="221"/>
      <c r="F676" s="210"/>
      <c r="G676" s="210"/>
      <c r="H676" s="210"/>
      <c r="J676" s="147"/>
    </row>
    <row r="677" spans="3:10" ht="15.75" customHeight="1">
      <c r="C677" s="191"/>
      <c r="D677" s="191"/>
      <c r="E677" s="221"/>
      <c r="F677" s="210"/>
      <c r="G677" s="210"/>
      <c r="H677" s="210"/>
      <c r="J677" s="147"/>
    </row>
    <row r="678" spans="3:10" ht="15.75" customHeight="1">
      <c r="C678" s="191"/>
      <c r="D678" s="191"/>
      <c r="E678" s="221"/>
      <c r="F678" s="210"/>
      <c r="G678" s="210"/>
      <c r="H678" s="210"/>
      <c r="J678" s="147"/>
    </row>
    <row r="679" spans="3:10" ht="15.75" customHeight="1">
      <c r="C679" s="191"/>
      <c r="D679" s="191"/>
      <c r="E679" s="221"/>
      <c r="F679" s="210"/>
      <c r="G679" s="210"/>
      <c r="H679" s="210"/>
      <c r="J679" s="147"/>
    </row>
    <row r="680" spans="3:10" ht="15.75" customHeight="1">
      <c r="C680" s="191"/>
      <c r="D680" s="191"/>
      <c r="E680" s="221"/>
      <c r="F680" s="210"/>
      <c r="G680" s="210"/>
      <c r="H680" s="210"/>
      <c r="J680" s="147"/>
    </row>
    <row r="681" spans="3:10" ht="15.75" customHeight="1">
      <c r="C681" s="191"/>
      <c r="D681" s="191"/>
      <c r="E681" s="221"/>
      <c r="F681" s="210"/>
      <c r="G681" s="210"/>
      <c r="H681" s="210"/>
      <c r="J681" s="147"/>
    </row>
    <row r="682" spans="3:10" ht="15.75" customHeight="1">
      <c r="C682" s="191"/>
      <c r="D682" s="191"/>
      <c r="E682" s="221"/>
      <c r="F682" s="210"/>
      <c r="G682" s="210"/>
      <c r="H682" s="210"/>
      <c r="J682" s="147"/>
    </row>
    <row r="683" spans="3:10" ht="15.75" customHeight="1">
      <c r="C683" s="191"/>
      <c r="D683" s="191"/>
      <c r="E683" s="221"/>
      <c r="F683" s="210"/>
      <c r="G683" s="210"/>
      <c r="H683" s="210"/>
      <c r="J683" s="147"/>
    </row>
    <row r="684" spans="3:10" ht="15.75" customHeight="1">
      <c r="C684" s="191"/>
      <c r="D684" s="191"/>
      <c r="E684" s="221"/>
      <c r="F684" s="210"/>
      <c r="G684" s="210"/>
      <c r="H684" s="210"/>
      <c r="J684" s="147"/>
    </row>
    <row r="685" spans="3:10" ht="15.75" customHeight="1">
      <c r="C685" s="191"/>
      <c r="D685" s="191"/>
      <c r="E685" s="221"/>
      <c r="F685" s="210"/>
      <c r="G685" s="210"/>
      <c r="H685" s="210"/>
      <c r="J685" s="147"/>
    </row>
    <row r="686" spans="3:10" ht="15.75" customHeight="1">
      <c r="C686" s="191"/>
      <c r="D686" s="191"/>
      <c r="E686" s="221"/>
      <c r="F686" s="210"/>
      <c r="G686" s="210"/>
      <c r="H686" s="210"/>
      <c r="J686" s="147"/>
    </row>
    <row r="687" spans="3:10" ht="15.75" customHeight="1">
      <c r="C687" s="191"/>
      <c r="D687" s="191"/>
      <c r="E687" s="221"/>
      <c r="F687" s="210"/>
      <c r="G687" s="210"/>
      <c r="H687" s="210"/>
      <c r="J687" s="147"/>
    </row>
    <row r="688" spans="3:10" ht="15.75" customHeight="1">
      <c r="C688" s="191"/>
      <c r="D688" s="191"/>
      <c r="E688" s="221"/>
      <c r="F688" s="210"/>
      <c r="G688" s="210"/>
      <c r="H688" s="210"/>
      <c r="J688" s="147"/>
    </row>
    <row r="689" spans="3:10" ht="15.75" customHeight="1">
      <c r="C689" s="191"/>
      <c r="D689" s="191"/>
      <c r="E689" s="221"/>
      <c r="F689" s="210"/>
      <c r="G689" s="210"/>
      <c r="H689" s="210"/>
      <c r="J689" s="147"/>
    </row>
    <row r="690" spans="3:10" ht="15.75" customHeight="1">
      <c r="C690" s="191"/>
      <c r="D690" s="191"/>
      <c r="E690" s="221"/>
      <c r="F690" s="210"/>
      <c r="G690" s="210"/>
      <c r="H690" s="210"/>
      <c r="J690" s="147"/>
    </row>
    <row r="691" spans="3:10" ht="15.75" customHeight="1">
      <c r="C691" s="191"/>
      <c r="D691" s="191"/>
      <c r="E691" s="221"/>
      <c r="F691" s="210"/>
      <c r="G691" s="210"/>
      <c r="H691" s="210"/>
      <c r="J691" s="147"/>
    </row>
    <row r="692" spans="3:10" ht="15.75" customHeight="1">
      <c r="C692" s="191"/>
      <c r="D692" s="191"/>
      <c r="E692" s="221"/>
      <c r="F692" s="210"/>
      <c r="G692" s="210"/>
      <c r="H692" s="210"/>
      <c r="J692" s="147"/>
    </row>
    <row r="693" spans="3:10" ht="15.75" customHeight="1">
      <c r="C693" s="191"/>
      <c r="D693" s="191"/>
      <c r="E693" s="221"/>
      <c r="F693" s="210"/>
      <c r="G693" s="210"/>
      <c r="H693" s="210"/>
      <c r="J693" s="147"/>
    </row>
    <row r="694" spans="3:10" ht="15.75" customHeight="1">
      <c r="C694" s="191"/>
      <c r="D694" s="191"/>
      <c r="E694" s="221"/>
      <c r="F694" s="210"/>
      <c r="G694" s="210"/>
      <c r="H694" s="210"/>
      <c r="J694" s="147"/>
    </row>
    <row r="695" spans="3:10" ht="15.75" customHeight="1">
      <c r="C695" s="191"/>
      <c r="D695" s="191"/>
      <c r="E695" s="221"/>
      <c r="F695" s="210"/>
      <c r="G695" s="210"/>
      <c r="H695" s="210"/>
      <c r="J695" s="147"/>
    </row>
    <row r="696" spans="3:10" ht="15.75" customHeight="1">
      <c r="C696" s="191"/>
      <c r="D696" s="191"/>
      <c r="E696" s="221"/>
      <c r="F696" s="210"/>
      <c r="G696" s="210"/>
      <c r="H696" s="210"/>
      <c r="J696" s="147"/>
    </row>
    <row r="697" spans="3:10" ht="15.75" customHeight="1">
      <c r="C697" s="191"/>
      <c r="D697" s="191"/>
      <c r="E697" s="221"/>
      <c r="F697" s="210"/>
      <c r="G697" s="210"/>
      <c r="H697" s="210"/>
      <c r="J697" s="147"/>
    </row>
    <row r="698" spans="3:10" ht="15.75" customHeight="1">
      <c r="C698" s="191"/>
      <c r="D698" s="191"/>
      <c r="E698" s="221"/>
      <c r="F698" s="210"/>
      <c r="G698" s="210"/>
      <c r="H698" s="210"/>
      <c r="J698" s="147"/>
    </row>
    <row r="699" spans="3:10" ht="15.75" customHeight="1">
      <c r="C699" s="191"/>
      <c r="D699" s="191"/>
      <c r="E699" s="221"/>
      <c r="F699" s="210"/>
      <c r="G699" s="210"/>
      <c r="H699" s="210"/>
      <c r="J699" s="147"/>
    </row>
    <row r="700" spans="3:10" ht="15.75" customHeight="1">
      <c r="C700" s="191"/>
      <c r="D700" s="191"/>
      <c r="E700" s="221"/>
      <c r="F700" s="210"/>
      <c r="G700" s="210"/>
      <c r="H700" s="210"/>
      <c r="J700" s="147"/>
    </row>
    <row r="701" spans="3:10" ht="15.75" customHeight="1">
      <c r="C701" s="191"/>
      <c r="D701" s="191"/>
      <c r="E701" s="221"/>
      <c r="F701" s="210"/>
      <c r="G701" s="210"/>
      <c r="H701" s="210"/>
      <c r="J701" s="147"/>
    </row>
    <row r="702" spans="3:10" ht="15.75" customHeight="1">
      <c r="C702" s="191"/>
      <c r="D702" s="191"/>
      <c r="E702" s="221"/>
      <c r="F702" s="210"/>
      <c r="G702" s="210"/>
      <c r="H702" s="210"/>
      <c r="J702" s="147"/>
    </row>
    <row r="703" spans="3:10" ht="15.75" customHeight="1">
      <c r="C703" s="191"/>
      <c r="D703" s="191"/>
      <c r="E703" s="221"/>
      <c r="F703" s="210"/>
      <c r="G703" s="210"/>
      <c r="H703" s="210"/>
      <c r="J703" s="147"/>
    </row>
    <row r="704" spans="3:10" ht="15.75" customHeight="1">
      <c r="C704" s="191"/>
      <c r="D704" s="191"/>
      <c r="E704" s="221"/>
      <c r="F704" s="210"/>
      <c r="G704" s="210"/>
      <c r="H704" s="210"/>
      <c r="J704" s="147"/>
    </row>
    <row r="705" spans="3:10" ht="15.75" customHeight="1">
      <c r="C705" s="191"/>
      <c r="D705" s="191"/>
      <c r="E705" s="221"/>
      <c r="F705" s="210"/>
      <c r="G705" s="210"/>
      <c r="H705" s="210"/>
      <c r="J705" s="147"/>
    </row>
    <row r="706" spans="3:10" ht="15.75" customHeight="1">
      <c r="C706" s="191"/>
      <c r="D706" s="191"/>
      <c r="E706" s="221"/>
      <c r="F706" s="210"/>
      <c r="G706" s="210"/>
      <c r="H706" s="210"/>
      <c r="J706" s="147"/>
    </row>
    <row r="707" spans="3:10" ht="15.75" customHeight="1">
      <c r="C707" s="191"/>
      <c r="D707" s="191"/>
      <c r="E707" s="221"/>
      <c r="F707" s="210"/>
      <c r="G707" s="210"/>
      <c r="H707" s="210"/>
      <c r="J707" s="147"/>
    </row>
    <row r="708" spans="3:10" ht="15.75" customHeight="1">
      <c r="C708" s="191"/>
      <c r="D708" s="191"/>
      <c r="E708" s="221"/>
      <c r="F708" s="210"/>
      <c r="G708" s="210"/>
      <c r="H708" s="210"/>
      <c r="J708" s="147"/>
    </row>
    <row r="709" spans="3:10" ht="15.75" customHeight="1">
      <c r="C709" s="191"/>
      <c r="D709" s="191"/>
      <c r="E709" s="221"/>
      <c r="F709" s="210"/>
      <c r="G709" s="210"/>
      <c r="H709" s="210"/>
      <c r="J709" s="147"/>
    </row>
    <row r="710" spans="3:10" ht="15.75" customHeight="1">
      <c r="C710" s="191"/>
      <c r="D710" s="191"/>
      <c r="E710" s="221"/>
      <c r="F710" s="210"/>
      <c r="G710" s="210"/>
      <c r="H710" s="210"/>
      <c r="J710" s="147"/>
    </row>
    <row r="711" spans="3:10" ht="15.75" customHeight="1">
      <c r="C711" s="191"/>
      <c r="D711" s="191"/>
      <c r="E711" s="221"/>
      <c r="F711" s="210"/>
      <c r="G711" s="210"/>
      <c r="H711" s="210"/>
      <c r="J711" s="147"/>
    </row>
    <row r="712" spans="3:10" ht="15.75" customHeight="1">
      <c r="C712" s="191"/>
      <c r="D712" s="191"/>
      <c r="E712" s="221"/>
      <c r="F712" s="210"/>
      <c r="G712" s="210"/>
      <c r="H712" s="210"/>
      <c r="J712" s="147"/>
    </row>
    <row r="713" spans="3:10" ht="15.75" customHeight="1">
      <c r="C713" s="191"/>
      <c r="D713" s="191"/>
      <c r="E713" s="221"/>
      <c r="F713" s="210"/>
      <c r="G713" s="210"/>
      <c r="H713" s="210"/>
      <c r="J713" s="147"/>
    </row>
    <row r="714" spans="3:10" ht="15.75" customHeight="1">
      <c r="C714" s="191"/>
      <c r="D714" s="191"/>
      <c r="E714" s="221"/>
      <c r="F714" s="210"/>
      <c r="G714" s="210"/>
      <c r="H714" s="210"/>
      <c r="J714" s="147"/>
    </row>
    <row r="715" spans="3:10" ht="15.75" customHeight="1">
      <c r="C715" s="191"/>
      <c r="D715" s="191"/>
      <c r="E715" s="221"/>
      <c r="F715" s="210"/>
      <c r="G715" s="210"/>
      <c r="H715" s="210"/>
      <c r="J715" s="147"/>
    </row>
    <row r="716" spans="3:10" ht="15.75" customHeight="1">
      <c r="C716" s="191"/>
      <c r="D716" s="191"/>
      <c r="E716" s="221"/>
      <c r="F716" s="210"/>
      <c r="G716" s="210"/>
      <c r="H716" s="210"/>
      <c r="J716" s="147"/>
    </row>
    <row r="717" spans="3:10" ht="15.75" customHeight="1">
      <c r="C717" s="191"/>
      <c r="D717" s="191"/>
      <c r="E717" s="221"/>
      <c r="F717" s="210"/>
      <c r="G717" s="210"/>
      <c r="H717" s="210"/>
      <c r="J717" s="147"/>
    </row>
    <row r="718" spans="3:10" ht="15.75" customHeight="1">
      <c r="C718" s="191"/>
      <c r="D718" s="191"/>
      <c r="E718" s="221"/>
      <c r="F718" s="210"/>
      <c r="G718" s="210"/>
      <c r="H718" s="210"/>
      <c r="J718" s="147"/>
    </row>
    <row r="719" spans="3:10" ht="15.75" customHeight="1">
      <c r="C719" s="191"/>
      <c r="D719" s="191"/>
      <c r="E719" s="221"/>
      <c r="F719" s="210"/>
      <c r="G719" s="210"/>
      <c r="H719" s="210"/>
      <c r="J719" s="147"/>
    </row>
    <row r="720" spans="3:10" ht="15.75" customHeight="1">
      <c r="C720" s="191"/>
      <c r="D720" s="191"/>
      <c r="E720" s="221"/>
      <c r="F720" s="210"/>
      <c r="G720" s="210"/>
      <c r="H720" s="210"/>
      <c r="J720" s="147"/>
    </row>
    <row r="721" spans="3:10" ht="15.75" customHeight="1">
      <c r="C721" s="191"/>
      <c r="D721" s="191"/>
      <c r="E721" s="221"/>
      <c r="F721" s="210"/>
      <c r="G721" s="210"/>
      <c r="H721" s="210"/>
      <c r="J721" s="147"/>
    </row>
    <row r="722" spans="3:10" ht="15.75" customHeight="1">
      <c r="C722" s="191"/>
      <c r="D722" s="191"/>
      <c r="E722" s="221"/>
      <c r="F722" s="210"/>
      <c r="G722" s="210"/>
      <c r="H722" s="210"/>
      <c r="J722" s="147"/>
    </row>
    <row r="723" spans="3:10" ht="15.75" customHeight="1">
      <c r="C723" s="191"/>
      <c r="D723" s="191"/>
      <c r="E723" s="221"/>
      <c r="F723" s="210"/>
      <c r="G723" s="210"/>
      <c r="H723" s="210"/>
      <c r="J723" s="147"/>
    </row>
    <row r="724" spans="3:10" ht="15.75" customHeight="1">
      <c r="C724" s="191"/>
      <c r="D724" s="191"/>
      <c r="E724" s="221"/>
      <c r="F724" s="210"/>
      <c r="G724" s="210"/>
      <c r="H724" s="210"/>
      <c r="J724" s="147"/>
    </row>
    <row r="725" spans="3:10" ht="15.75" customHeight="1">
      <c r="C725" s="191"/>
      <c r="D725" s="191"/>
      <c r="E725" s="221"/>
      <c r="F725" s="210"/>
      <c r="G725" s="210"/>
      <c r="H725" s="210"/>
      <c r="J725" s="147"/>
    </row>
    <row r="726" spans="3:10" ht="15.75" customHeight="1">
      <c r="C726" s="191"/>
      <c r="D726" s="191"/>
      <c r="E726" s="221"/>
      <c r="F726" s="210"/>
      <c r="G726" s="210"/>
      <c r="H726" s="210"/>
      <c r="J726" s="147"/>
    </row>
    <row r="727" spans="3:10" ht="15.75" customHeight="1">
      <c r="C727" s="191"/>
      <c r="D727" s="191"/>
      <c r="E727" s="221"/>
      <c r="F727" s="210"/>
      <c r="G727" s="210"/>
      <c r="H727" s="210"/>
      <c r="J727" s="147"/>
    </row>
    <row r="728" spans="3:10" ht="15.75" customHeight="1">
      <c r="C728" s="191"/>
      <c r="D728" s="191"/>
      <c r="E728" s="221"/>
      <c r="F728" s="210"/>
      <c r="G728" s="210"/>
      <c r="H728" s="210"/>
      <c r="J728" s="147"/>
    </row>
    <row r="729" spans="3:10" ht="15.75" customHeight="1">
      <c r="C729" s="191"/>
      <c r="D729" s="191"/>
      <c r="E729" s="221"/>
      <c r="F729" s="210"/>
      <c r="G729" s="210"/>
      <c r="H729" s="210"/>
      <c r="J729" s="147"/>
    </row>
    <row r="730" spans="3:10" ht="15.75" customHeight="1">
      <c r="C730" s="191"/>
      <c r="D730" s="191"/>
      <c r="E730" s="221"/>
      <c r="F730" s="210"/>
      <c r="G730" s="210"/>
      <c r="H730" s="210"/>
      <c r="J730" s="147"/>
    </row>
    <row r="731" spans="3:10" ht="15.75" customHeight="1">
      <c r="C731" s="191"/>
      <c r="D731" s="191"/>
      <c r="E731" s="221"/>
      <c r="F731" s="210"/>
      <c r="G731" s="210"/>
      <c r="H731" s="210"/>
      <c r="J731" s="147"/>
    </row>
    <row r="732" spans="3:10" ht="15.75" customHeight="1">
      <c r="C732" s="191"/>
      <c r="D732" s="191"/>
      <c r="E732" s="221"/>
      <c r="F732" s="210"/>
      <c r="G732" s="210"/>
      <c r="H732" s="210"/>
      <c r="J732" s="147"/>
    </row>
    <row r="733" spans="3:10" ht="15.75" customHeight="1">
      <c r="C733" s="191"/>
      <c r="D733" s="191"/>
      <c r="E733" s="221"/>
      <c r="F733" s="210"/>
      <c r="G733" s="210"/>
      <c r="H733" s="210"/>
      <c r="J733" s="147"/>
    </row>
    <row r="734" spans="3:10" ht="15.75" customHeight="1">
      <c r="C734" s="191"/>
      <c r="D734" s="191"/>
      <c r="E734" s="221"/>
      <c r="F734" s="210"/>
      <c r="G734" s="210"/>
      <c r="H734" s="210"/>
      <c r="J734" s="147"/>
    </row>
    <row r="735" spans="3:10" ht="15.75" customHeight="1">
      <c r="C735" s="191"/>
      <c r="D735" s="191"/>
      <c r="E735" s="221"/>
      <c r="F735" s="210"/>
      <c r="G735" s="210"/>
      <c r="H735" s="210"/>
      <c r="J735" s="147"/>
    </row>
    <row r="736" spans="3:10" ht="15.75" customHeight="1">
      <c r="C736" s="191"/>
      <c r="D736" s="191"/>
      <c r="E736" s="221"/>
      <c r="F736" s="210"/>
      <c r="G736" s="210"/>
      <c r="H736" s="210"/>
      <c r="J736" s="147"/>
    </row>
    <row r="737" spans="3:10" ht="15.75" customHeight="1">
      <c r="C737" s="191"/>
      <c r="D737" s="191"/>
      <c r="E737" s="221"/>
      <c r="F737" s="210"/>
      <c r="G737" s="210"/>
      <c r="H737" s="210"/>
      <c r="J737" s="147"/>
    </row>
    <row r="738" spans="3:10" ht="15.75" customHeight="1">
      <c r="C738" s="191"/>
      <c r="D738" s="191"/>
      <c r="E738" s="221"/>
      <c r="F738" s="210"/>
      <c r="G738" s="210"/>
      <c r="H738" s="210"/>
      <c r="J738" s="147"/>
    </row>
    <row r="739" spans="3:10" ht="15.75" customHeight="1">
      <c r="C739" s="191"/>
      <c r="D739" s="191"/>
      <c r="E739" s="221"/>
      <c r="F739" s="210"/>
      <c r="G739" s="210"/>
      <c r="H739" s="210"/>
      <c r="J739" s="147"/>
    </row>
    <row r="740" spans="3:10" ht="15.75" customHeight="1">
      <c r="C740" s="191"/>
      <c r="D740" s="191"/>
      <c r="E740" s="221"/>
      <c r="F740" s="210"/>
      <c r="G740" s="210"/>
      <c r="H740" s="210"/>
      <c r="J740" s="147"/>
    </row>
    <row r="741" spans="3:10" ht="15.75" customHeight="1">
      <c r="C741" s="191"/>
      <c r="D741" s="191"/>
      <c r="E741" s="221"/>
      <c r="F741" s="210"/>
      <c r="G741" s="210"/>
      <c r="H741" s="210"/>
      <c r="J741" s="147"/>
    </row>
    <row r="742" spans="3:10" ht="15.75" customHeight="1">
      <c r="C742" s="191"/>
      <c r="D742" s="191"/>
      <c r="E742" s="221"/>
      <c r="F742" s="210"/>
      <c r="G742" s="210"/>
      <c r="H742" s="210"/>
      <c r="J742" s="147"/>
    </row>
    <row r="743" spans="3:10" ht="15.75" customHeight="1">
      <c r="C743" s="191"/>
      <c r="D743" s="191"/>
      <c r="E743" s="221"/>
      <c r="F743" s="210"/>
      <c r="G743" s="210"/>
      <c r="H743" s="210"/>
      <c r="J743" s="147"/>
    </row>
    <row r="744" spans="3:10" ht="15.75" customHeight="1">
      <c r="C744" s="191"/>
      <c r="D744" s="191"/>
      <c r="E744" s="221"/>
      <c r="F744" s="210"/>
      <c r="G744" s="210"/>
      <c r="H744" s="210"/>
      <c r="J744" s="147"/>
    </row>
    <row r="745" spans="3:10" ht="15.75" customHeight="1">
      <c r="C745" s="191"/>
      <c r="D745" s="191"/>
      <c r="E745" s="221"/>
      <c r="F745" s="210"/>
      <c r="G745" s="210"/>
      <c r="H745" s="210"/>
      <c r="J745" s="147"/>
    </row>
    <row r="746" spans="3:10" ht="15.75" customHeight="1">
      <c r="C746" s="191"/>
      <c r="D746" s="191"/>
      <c r="E746" s="221"/>
      <c r="F746" s="210"/>
      <c r="G746" s="210"/>
      <c r="H746" s="210"/>
      <c r="J746" s="147"/>
    </row>
    <row r="747" spans="3:10" ht="15.75" customHeight="1">
      <c r="C747" s="191"/>
      <c r="D747" s="191"/>
      <c r="E747" s="221"/>
      <c r="F747" s="210"/>
      <c r="G747" s="210"/>
      <c r="H747" s="210"/>
      <c r="J747" s="147"/>
    </row>
    <row r="748" spans="3:10" ht="15.75" customHeight="1">
      <c r="C748" s="191"/>
      <c r="D748" s="191"/>
      <c r="E748" s="221"/>
      <c r="F748" s="210"/>
      <c r="G748" s="210"/>
      <c r="H748" s="210"/>
      <c r="J748" s="147"/>
    </row>
    <row r="749" spans="3:10" ht="15.75" customHeight="1">
      <c r="C749" s="191"/>
      <c r="D749" s="191"/>
      <c r="E749" s="221"/>
      <c r="F749" s="210"/>
      <c r="G749" s="210"/>
      <c r="H749" s="210"/>
      <c r="J749" s="147"/>
    </row>
    <row r="750" spans="3:10" ht="15.75" customHeight="1">
      <c r="C750" s="191"/>
      <c r="D750" s="191"/>
      <c r="E750" s="221"/>
      <c r="F750" s="210"/>
      <c r="G750" s="210"/>
      <c r="H750" s="210"/>
      <c r="J750" s="147"/>
    </row>
    <row r="751" spans="3:10" ht="15.75" customHeight="1">
      <c r="C751" s="191"/>
      <c r="D751" s="191"/>
      <c r="E751" s="221"/>
      <c r="F751" s="210"/>
      <c r="G751" s="210"/>
      <c r="H751" s="210"/>
      <c r="J751" s="147"/>
    </row>
    <row r="752" spans="3:10" ht="15.75" customHeight="1">
      <c r="C752" s="191"/>
      <c r="D752" s="191"/>
      <c r="E752" s="221"/>
      <c r="F752" s="210"/>
      <c r="G752" s="210"/>
      <c r="H752" s="210"/>
      <c r="J752" s="147"/>
    </row>
    <row r="753" spans="3:10" ht="15.75" customHeight="1">
      <c r="C753" s="191"/>
      <c r="D753" s="191"/>
      <c r="E753" s="221"/>
      <c r="F753" s="210"/>
      <c r="G753" s="210"/>
      <c r="H753" s="210"/>
      <c r="J753" s="147"/>
    </row>
    <row r="754" spans="3:10" ht="15.75" customHeight="1">
      <c r="C754" s="191"/>
      <c r="D754" s="191"/>
      <c r="E754" s="221"/>
      <c r="F754" s="210"/>
      <c r="G754" s="210"/>
      <c r="H754" s="210"/>
      <c r="J754" s="147"/>
    </row>
    <row r="755" spans="3:10" ht="15.75" customHeight="1">
      <c r="C755" s="191"/>
      <c r="D755" s="191"/>
      <c r="E755" s="221"/>
      <c r="F755" s="210"/>
      <c r="G755" s="210"/>
      <c r="H755" s="210"/>
      <c r="J755" s="147"/>
    </row>
    <row r="756" spans="3:10" ht="15.75" customHeight="1">
      <c r="C756" s="191"/>
      <c r="D756" s="191"/>
      <c r="E756" s="221"/>
      <c r="F756" s="210"/>
      <c r="G756" s="210"/>
      <c r="H756" s="210"/>
      <c r="J756" s="147"/>
    </row>
    <row r="757" spans="3:10" ht="15.75" customHeight="1">
      <c r="C757" s="191"/>
      <c r="D757" s="191"/>
      <c r="E757" s="221"/>
      <c r="F757" s="210"/>
      <c r="G757" s="210"/>
      <c r="H757" s="210"/>
      <c r="J757" s="147"/>
    </row>
    <row r="758" spans="3:10" ht="15.75" customHeight="1">
      <c r="C758" s="191"/>
      <c r="D758" s="191"/>
      <c r="E758" s="221"/>
      <c r="F758" s="210"/>
      <c r="G758" s="210"/>
      <c r="H758" s="210"/>
      <c r="J758" s="147"/>
    </row>
    <row r="759" spans="3:10" ht="15.75" customHeight="1">
      <c r="C759" s="191"/>
      <c r="D759" s="191"/>
      <c r="E759" s="221"/>
      <c r="F759" s="210"/>
      <c r="G759" s="210"/>
      <c r="H759" s="210"/>
      <c r="J759" s="147"/>
    </row>
    <row r="760" spans="3:10" ht="15.75" customHeight="1">
      <c r="C760" s="191"/>
      <c r="D760" s="191"/>
      <c r="E760" s="221"/>
      <c r="F760" s="210"/>
      <c r="G760" s="210"/>
      <c r="H760" s="210"/>
      <c r="J760" s="147"/>
    </row>
    <row r="761" spans="3:10" ht="15.75" customHeight="1">
      <c r="C761" s="191"/>
      <c r="D761" s="191"/>
      <c r="E761" s="221"/>
      <c r="F761" s="210"/>
      <c r="G761" s="210"/>
      <c r="H761" s="210"/>
      <c r="J761" s="147"/>
    </row>
    <row r="762" spans="3:10" ht="15.75" customHeight="1">
      <c r="C762" s="191"/>
      <c r="D762" s="191"/>
      <c r="E762" s="221"/>
      <c r="F762" s="210"/>
      <c r="G762" s="210"/>
      <c r="H762" s="210"/>
      <c r="J762" s="147"/>
    </row>
    <row r="763" spans="3:10" ht="15.75" customHeight="1">
      <c r="C763" s="191"/>
      <c r="D763" s="191"/>
      <c r="E763" s="221"/>
      <c r="F763" s="210"/>
      <c r="G763" s="210"/>
      <c r="H763" s="210"/>
      <c r="J763" s="147"/>
    </row>
    <row r="764" spans="3:10" ht="15.75" customHeight="1">
      <c r="C764" s="191"/>
      <c r="D764" s="191"/>
      <c r="E764" s="221"/>
      <c r="F764" s="210"/>
      <c r="G764" s="210"/>
      <c r="H764" s="210"/>
      <c r="J764" s="147"/>
    </row>
    <row r="765" spans="3:10" ht="15.75" customHeight="1">
      <c r="C765" s="191"/>
      <c r="D765" s="191"/>
      <c r="E765" s="221"/>
      <c r="F765" s="210"/>
      <c r="G765" s="210"/>
      <c r="H765" s="210"/>
      <c r="J765" s="147"/>
    </row>
    <row r="766" spans="3:10" ht="15.75" customHeight="1">
      <c r="C766" s="191"/>
      <c r="D766" s="191"/>
      <c r="E766" s="221"/>
      <c r="F766" s="210"/>
      <c r="G766" s="210"/>
      <c r="H766" s="210"/>
      <c r="J766" s="147"/>
    </row>
    <row r="767" spans="3:10" ht="15.75" customHeight="1">
      <c r="C767" s="191"/>
      <c r="D767" s="191"/>
      <c r="E767" s="221"/>
      <c r="F767" s="210"/>
      <c r="G767" s="210"/>
      <c r="H767" s="210"/>
      <c r="J767" s="147"/>
    </row>
    <row r="768" spans="3:10" ht="15.75" customHeight="1">
      <c r="C768" s="191"/>
      <c r="D768" s="191"/>
      <c r="E768" s="221"/>
      <c r="F768" s="210"/>
      <c r="G768" s="210"/>
      <c r="H768" s="210"/>
      <c r="J768" s="147"/>
    </row>
    <row r="769" spans="3:10" ht="15.75" customHeight="1">
      <c r="C769" s="191"/>
      <c r="D769" s="191"/>
      <c r="E769" s="221"/>
      <c r="F769" s="210"/>
      <c r="G769" s="210"/>
      <c r="H769" s="210"/>
      <c r="J769" s="147"/>
    </row>
    <row r="770" spans="3:10" ht="15.75" customHeight="1">
      <c r="C770" s="191"/>
      <c r="D770" s="191"/>
      <c r="E770" s="221"/>
      <c r="F770" s="210"/>
      <c r="G770" s="210"/>
      <c r="H770" s="210"/>
      <c r="J770" s="147"/>
    </row>
    <row r="771" spans="3:10" ht="15.75" customHeight="1">
      <c r="C771" s="191"/>
      <c r="D771" s="191"/>
      <c r="E771" s="221"/>
      <c r="F771" s="210"/>
      <c r="G771" s="210"/>
      <c r="H771" s="210"/>
      <c r="J771" s="147"/>
    </row>
    <row r="772" spans="3:10" ht="15.75" customHeight="1">
      <c r="C772" s="191"/>
      <c r="D772" s="191"/>
      <c r="E772" s="221"/>
      <c r="F772" s="210"/>
      <c r="G772" s="210"/>
      <c r="H772" s="210"/>
      <c r="J772" s="147"/>
    </row>
    <row r="773" spans="3:10" ht="15.75" customHeight="1">
      <c r="C773" s="191"/>
      <c r="D773" s="191"/>
      <c r="E773" s="221"/>
      <c r="F773" s="210"/>
      <c r="G773" s="210"/>
      <c r="H773" s="210"/>
      <c r="J773" s="147"/>
    </row>
    <row r="774" spans="3:10" ht="15.75" customHeight="1">
      <c r="C774" s="191"/>
      <c r="D774" s="191"/>
      <c r="E774" s="221"/>
      <c r="F774" s="210"/>
      <c r="G774" s="210"/>
      <c r="H774" s="210"/>
      <c r="J774" s="147"/>
    </row>
    <row r="775" spans="3:10" ht="15.75" customHeight="1">
      <c r="C775" s="191"/>
      <c r="D775" s="191"/>
      <c r="E775" s="221"/>
      <c r="F775" s="210"/>
      <c r="G775" s="210"/>
      <c r="H775" s="210"/>
      <c r="J775" s="147"/>
    </row>
    <row r="776" spans="3:10" ht="15.75" customHeight="1">
      <c r="C776" s="191"/>
      <c r="D776" s="191"/>
      <c r="E776" s="221"/>
      <c r="F776" s="210"/>
      <c r="G776" s="210"/>
      <c r="H776" s="210"/>
      <c r="J776" s="147"/>
    </row>
    <row r="777" spans="3:10" ht="15.75" customHeight="1">
      <c r="C777" s="191"/>
      <c r="D777" s="191"/>
      <c r="E777" s="221"/>
      <c r="F777" s="210"/>
      <c r="G777" s="210"/>
      <c r="H777" s="210"/>
      <c r="J777" s="147"/>
    </row>
    <row r="778" spans="3:10" ht="15.75" customHeight="1">
      <c r="C778" s="191"/>
      <c r="D778" s="191"/>
      <c r="E778" s="221"/>
      <c r="F778" s="210"/>
      <c r="G778" s="210"/>
      <c r="H778" s="210"/>
      <c r="J778" s="147"/>
    </row>
    <row r="779" spans="3:10" ht="15.75" customHeight="1">
      <c r="C779" s="191"/>
      <c r="D779" s="191"/>
      <c r="E779" s="221"/>
      <c r="F779" s="210"/>
      <c r="G779" s="210"/>
      <c r="H779" s="210"/>
      <c r="J779" s="147"/>
    </row>
    <row r="780" spans="3:10" ht="15.75" customHeight="1">
      <c r="C780" s="191"/>
      <c r="D780" s="191"/>
      <c r="E780" s="221"/>
      <c r="F780" s="210"/>
      <c r="G780" s="210"/>
      <c r="H780" s="210"/>
      <c r="J780" s="147"/>
    </row>
    <row r="781" spans="3:10" ht="15.75" customHeight="1">
      <c r="C781" s="191"/>
      <c r="D781" s="191"/>
      <c r="E781" s="221"/>
      <c r="F781" s="210"/>
      <c r="G781" s="210"/>
      <c r="H781" s="210"/>
      <c r="J781" s="147"/>
    </row>
    <row r="782" spans="3:10" ht="15.75" customHeight="1">
      <c r="C782" s="191"/>
      <c r="D782" s="191"/>
      <c r="E782" s="221"/>
      <c r="F782" s="210"/>
      <c r="G782" s="210"/>
      <c r="H782" s="210"/>
      <c r="J782" s="147"/>
    </row>
    <row r="783" spans="3:10" ht="15.75" customHeight="1">
      <c r="C783" s="191"/>
      <c r="D783" s="191"/>
      <c r="E783" s="221"/>
      <c r="F783" s="210"/>
      <c r="G783" s="210"/>
      <c r="H783" s="210"/>
      <c r="J783" s="147"/>
    </row>
    <row r="784" spans="3:10" ht="15.75" customHeight="1">
      <c r="C784" s="191"/>
      <c r="D784" s="191"/>
      <c r="E784" s="221"/>
      <c r="F784" s="210"/>
      <c r="G784" s="210"/>
      <c r="H784" s="210"/>
      <c r="J784" s="147"/>
    </row>
    <row r="785" spans="3:10" ht="15.75" customHeight="1">
      <c r="C785" s="191"/>
      <c r="D785" s="191"/>
      <c r="E785" s="221"/>
      <c r="F785" s="210"/>
      <c r="G785" s="210"/>
      <c r="H785" s="210"/>
      <c r="J785" s="147"/>
    </row>
    <row r="786" spans="3:10" ht="15.75" customHeight="1">
      <c r="C786" s="191"/>
      <c r="D786" s="191"/>
      <c r="E786" s="221"/>
      <c r="F786" s="210"/>
      <c r="G786" s="210"/>
      <c r="H786" s="210"/>
      <c r="J786" s="147"/>
    </row>
    <row r="787" spans="3:10" ht="15.75" customHeight="1">
      <c r="C787" s="191"/>
      <c r="D787" s="191"/>
      <c r="E787" s="221"/>
      <c r="F787" s="210"/>
      <c r="G787" s="210"/>
      <c r="H787" s="210"/>
      <c r="J787" s="147"/>
    </row>
    <row r="788" spans="3:10" ht="15.75" customHeight="1">
      <c r="C788" s="191"/>
      <c r="D788" s="191"/>
      <c r="E788" s="221"/>
      <c r="F788" s="210"/>
      <c r="G788" s="210"/>
      <c r="H788" s="210"/>
      <c r="J788" s="147"/>
    </row>
    <row r="789" spans="3:10" ht="15.75" customHeight="1">
      <c r="C789" s="191"/>
      <c r="D789" s="191"/>
      <c r="E789" s="221"/>
      <c r="F789" s="210"/>
      <c r="G789" s="210"/>
      <c r="H789" s="210"/>
      <c r="J789" s="147"/>
    </row>
    <row r="790" spans="3:10" ht="15.75" customHeight="1">
      <c r="C790" s="191"/>
      <c r="D790" s="191"/>
      <c r="E790" s="221"/>
      <c r="F790" s="210"/>
      <c r="G790" s="210"/>
      <c r="H790" s="210"/>
      <c r="J790" s="147"/>
    </row>
    <row r="791" spans="3:10" ht="15.75" customHeight="1">
      <c r="C791" s="191"/>
      <c r="D791" s="191"/>
      <c r="E791" s="221"/>
      <c r="F791" s="210"/>
      <c r="G791" s="210"/>
      <c r="H791" s="210"/>
      <c r="J791" s="147"/>
    </row>
    <row r="792" spans="3:10" ht="15.75" customHeight="1">
      <c r="C792" s="191"/>
      <c r="D792" s="191"/>
      <c r="E792" s="221"/>
      <c r="F792" s="210"/>
      <c r="G792" s="210"/>
      <c r="H792" s="210"/>
      <c r="J792" s="147"/>
    </row>
    <row r="793" spans="3:10" ht="15.75" customHeight="1">
      <c r="C793" s="191"/>
      <c r="D793" s="191"/>
      <c r="E793" s="221"/>
      <c r="F793" s="210"/>
      <c r="G793" s="210"/>
      <c r="H793" s="210"/>
      <c r="J793" s="147"/>
    </row>
    <row r="794" spans="3:10" ht="15.75" customHeight="1">
      <c r="C794" s="191"/>
      <c r="D794" s="191"/>
      <c r="E794" s="221"/>
      <c r="F794" s="210"/>
      <c r="G794" s="210"/>
      <c r="H794" s="210"/>
      <c r="J794" s="147"/>
    </row>
    <row r="795" spans="3:10" ht="15.75" customHeight="1">
      <c r="C795" s="191"/>
      <c r="D795" s="191"/>
      <c r="E795" s="221"/>
      <c r="F795" s="210"/>
      <c r="G795" s="210"/>
      <c r="H795" s="210"/>
      <c r="J795" s="147"/>
    </row>
    <row r="796" spans="3:10" ht="15.75" customHeight="1">
      <c r="C796" s="191"/>
      <c r="D796" s="191"/>
      <c r="E796" s="221"/>
      <c r="F796" s="210"/>
      <c r="G796" s="210"/>
      <c r="H796" s="210"/>
      <c r="J796" s="147"/>
    </row>
    <row r="797" spans="3:10" ht="15.75" customHeight="1">
      <c r="C797" s="191"/>
      <c r="D797" s="191"/>
      <c r="E797" s="221"/>
      <c r="F797" s="210"/>
      <c r="G797" s="210"/>
      <c r="H797" s="210"/>
      <c r="J797" s="147"/>
    </row>
    <row r="798" spans="3:10" ht="15.75" customHeight="1">
      <c r="C798" s="191"/>
      <c r="D798" s="191"/>
      <c r="E798" s="221"/>
      <c r="F798" s="210"/>
      <c r="G798" s="210"/>
      <c r="H798" s="210"/>
      <c r="J798" s="147"/>
    </row>
    <row r="799" spans="3:10" ht="15.75" customHeight="1">
      <c r="C799" s="191"/>
      <c r="D799" s="191"/>
      <c r="E799" s="221"/>
      <c r="F799" s="210"/>
      <c r="G799" s="210"/>
      <c r="H799" s="210"/>
      <c r="J799" s="147"/>
    </row>
    <row r="800" spans="3:10" ht="15.75" customHeight="1">
      <c r="C800" s="191"/>
      <c r="D800" s="191"/>
      <c r="E800" s="221"/>
      <c r="F800" s="210"/>
      <c r="G800" s="210"/>
      <c r="H800" s="210"/>
      <c r="J800" s="147"/>
    </row>
    <row r="801" spans="3:10" ht="15.75" customHeight="1">
      <c r="C801" s="191"/>
      <c r="D801" s="191"/>
      <c r="E801" s="221"/>
      <c r="F801" s="210"/>
      <c r="G801" s="210"/>
      <c r="H801" s="210"/>
      <c r="J801" s="147"/>
    </row>
    <row r="802" spans="3:10" ht="15.75" customHeight="1">
      <c r="C802" s="191"/>
      <c r="D802" s="191"/>
      <c r="E802" s="221"/>
      <c r="F802" s="210"/>
      <c r="G802" s="210"/>
      <c r="H802" s="210"/>
      <c r="J802" s="147"/>
    </row>
    <row r="803" spans="3:10" ht="15.75" customHeight="1">
      <c r="C803" s="191"/>
      <c r="D803" s="191"/>
      <c r="E803" s="221"/>
      <c r="F803" s="210"/>
      <c r="G803" s="210"/>
      <c r="H803" s="210"/>
      <c r="J803" s="147"/>
    </row>
    <row r="804" spans="3:10" ht="15.75" customHeight="1">
      <c r="C804" s="191"/>
      <c r="D804" s="191"/>
      <c r="E804" s="221"/>
      <c r="F804" s="210"/>
      <c r="G804" s="210"/>
      <c r="H804" s="210"/>
      <c r="J804" s="147"/>
    </row>
    <row r="805" spans="3:10" ht="15.75" customHeight="1">
      <c r="C805" s="191"/>
      <c r="D805" s="191"/>
      <c r="E805" s="221"/>
      <c r="F805" s="210"/>
      <c r="G805" s="210"/>
      <c r="H805" s="210"/>
      <c r="J805" s="147"/>
    </row>
    <row r="806" spans="3:10" ht="15.75" customHeight="1">
      <c r="C806" s="191"/>
      <c r="D806" s="191"/>
      <c r="E806" s="221"/>
      <c r="F806" s="210"/>
      <c r="G806" s="210"/>
      <c r="H806" s="210"/>
      <c r="J806" s="147"/>
    </row>
    <row r="807" spans="3:10" ht="15.75" customHeight="1">
      <c r="C807" s="191"/>
      <c r="D807" s="191"/>
      <c r="E807" s="221"/>
      <c r="F807" s="210"/>
      <c r="G807" s="210"/>
      <c r="H807" s="210"/>
      <c r="J807" s="147"/>
    </row>
    <row r="808" spans="3:10" ht="15.75" customHeight="1">
      <c r="C808" s="191"/>
      <c r="D808" s="191"/>
      <c r="E808" s="221"/>
      <c r="F808" s="210"/>
      <c r="G808" s="210"/>
      <c r="H808" s="210"/>
      <c r="J808" s="147"/>
    </row>
    <row r="809" spans="3:10" ht="15.75" customHeight="1">
      <c r="C809" s="191"/>
      <c r="D809" s="191"/>
      <c r="E809" s="221"/>
      <c r="F809" s="210"/>
      <c r="G809" s="210"/>
      <c r="H809" s="210"/>
      <c r="J809" s="147"/>
    </row>
    <row r="810" spans="3:10" ht="15.75" customHeight="1">
      <c r="C810" s="191"/>
      <c r="D810" s="191"/>
      <c r="E810" s="221"/>
      <c r="F810" s="210"/>
      <c r="G810" s="210"/>
      <c r="H810" s="210"/>
      <c r="J810" s="147"/>
    </row>
    <row r="811" spans="3:10" ht="15.75" customHeight="1">
      <c r="C811" s="191"/>
      <c r="D811" s="191"/>
      <c r="E811" s="221"/>
      <c r="F811" s="210"/>
      <c r="G811" s="210"/>
      <c r="H811" s="210"/>
      <c r="J811" s="147"/>
    </row>
    <row r="812" spans="3:10" ht="15.75" customHeight="1">
      <c r="C812" s="191"/>
      <c r="D812" s="191"/>
      <c r="E812" s="221"/>
      <c r="F812" s="210"/>
      <c r="G812" s="210"/>
      <c r="H812" s="210"/>
      <c r="J812" s="147"/>
    </row>
    <row r="813" spans="3:10" ht="15.75" customHeight="1">
      <c r="C813" s="191"/>
      <c r="D813" s="191"/>
      <c r="E813" s="221"/>
      <c r="F813" s="210"/>
      <c r="G813" s="210"/>
      <c r="H813" s="210"/>
      <c r="J813" s="147"/>
    </row>
    <row r="814" spans="3:10" ht="15.75" customHeight="1">
      <c r="C814" s="191"/>
      <c r="D814" s="191"/>
      <c r="E814" s="221"/>
      <c r="F814" s="210"/>
      <c r="G814" s="210"/>
      <c r="H814" s="210"/>
      <c r="J814" s="147"/>
    </row>
    <row r="815" spans="3:10" ht="15.75" customHeight="1">
      <c r="C815" s="191"/>
      <c r="D815" s="191"/>
      <c r="E815" s="221"/>
      <c r="F815" s="210"/>
      <c r="G815" s="210"/>
      <c r="H815" s="210"/>
      <c r="J815" s="147"/>
    </row>
    <row r="816" spans="3:10" ht="15.75" customHeight="1">
      <c r="C816" s="191"/>
      <c r="D816" s="191"/>
      <c r="E816" s="221"/>
      <c r="F816" s="210"/>
      <c r="G816" s="210"/>
      <c r="H816" s="210"/>
      <c r="J816" s="147"/>
    </row>
    <row r="817" spans="3:10" ht="15.75" customHeight="1">
      <c r="C817" s="191"/>
      <c r="D817" s="191"/>
      <c r="E817" s="221"/>
      <c r="F817" s="210"/>
      <c r="G817" s="210"/>
      <c r="H817" s="210"/>
      <c r="J817" s="147"/>
    </row>
    <row r="818" spans="3:10" ht="15.75" customHeight="1">
      <c r="C818" s="191"/>
      <c r="D818" s="191"/>
      <c r="E818" s="221"/>
      <c r="F818" s="210"/>
      <c r="G818" s="210"/>
      <c r="H818" s="210"/>
      <c r="J818" s="147"/>
    </row>
    <row r="819" spans="3:10" ht="15.75" customHeight="1">
      <c r="C819" s="191"/>
      <c r="D819" s="191"/>
      <c r="E819" s="221"/>
      <c r="F819" s="210"/>
      <c r="G819" s="210"/>
      <c r="H819" s="210"/>
      <c r="J819" s="147"/>
    </row>
    <row r="820" spans="3:10" ht="15.75" customHeight="1">
      <c r="C820" s="191"/>
      <c r="D820" s="191"/>
      <c r="E820" s="221"/>
      <c r="F820" s="210"/>
      <c r="G820" s="210"/>
      <c r="H820" s="210"/>
      <c r="J820" s="147"/>
    </row>
    <row r="821" spans="3:10" ht="15.75" customHeight="1">
      <c r="C821" s="191"/>
      <c r="D821" s="191"/>
      <c r="E821" s="221"/>
      <c r="F821" s="210"/>
      <c r="G821" s="210"/>
      <c r="H821" s="210"/>
      <c r="J821" s="147"/>
    </row>
    <row r="822" spans="3:10" ht="15.75" customHeight="1">
      <c r="C822" s="191"/>
      <c r="D822" s="191"/>
      <c r="E822" s="221"/>
      <c r="F822" s="210"/>
      <c r="G822" s="210"/>
      <c r="H822" s="210"/>
      <c r="J822" s="147"/>
    </row>
    <row r="823" spans="3:10" ht="15.75" customHeight="1">
      <c r="C823" s="191"/>
      <c r="D823" s="191"/>
      <c r="E823" s="221"/>
      <c r="F823" s="210"/>
      <c r="G823" s="210"/>
      <c r="H823" s="210"/>
      <c r="J823" s="147"/>
    </row>
    <row r="824" spans="3:10" ht="15.75" customHeight="1">
      <c r="C824" s="191"/>
      <c r="D824" s="191"/>
      <c r="E824" s="221"/>
      <c r="F824" s="210"/>
      <c r="G824" s="210"/>
      <c r="H824" s="210"/>
      <c r="J824" s="147"/>
    </row>
    <row r="825" spans="3:10" ht="15.75" customHeight="1">
      <c r="C825" s="191"/>
      <c r="D825" s="191"/>
      <c r="E825" s="221"/>
      <c r="F825" s="210"/>
      <c r="G825" s="210"/>
      <c r="H825" s="210"/>
      <c r="J825" s="147"/>
    </row>
    <row r="826" spans="3:10" ht="15.75" customHeight="1">
      <c r="C826" s="191"/>
      <c r="D826" s="191"/>
      <c r="E826" s="221"/>
      <c r="F826" s="210"/>
      <c r="G826" s="210"/>
      <c r="H826" s="210"/>
      <c r="J826" s="147"/>
    </row>
    <row r="827" spans="3:10" ht="15.75" customHeight="1">
      <c r="C827" s="191"/>
      <c r="D827" s="191"/>
      <c r="E827" s="221"/>
      <c r="F827" s="210"/>
      <c r="G827" s="210"/>
      <c r="H827" s="210"/>
      <c r="J827" s="147"/>
    </row>
    <row r="828" spans="3:10" ht="15.75" customHeight="1">
      <c r="C828" s="191"/>
      <c r="D828" s="191"/>
      <c r="E828" s="221"/>
      <c r="F828" s="210"/>
      <c r="G828" s="210"/>
      <c r="H828" s="210"/>
      <c r="J828" s="147"/>
    </row>
    <row r="829" spans="3:10" ht="15.75" customHeight="1">
      <c r="C829" s="191"/>
      <c r="D829" s="191"/>
      <c r="E829" s="221"/>
      <c r="F829" s="210"/>
      <c r="G829" s="210"/>
      <c r="H829" s="210"/>
      <c r="J829" s="147"/>
    </row>
    <row r="830" spans="3:10" ht="15.75" customHeight="1">
      <c r="C830" s="191"/>
      <c r="D830" s="191"/>
      <c r="E830" s="221"/>
      <c r="F830" s="210"/>
      <c r="G830" s="210"/>
      <c r="H830" s="210"/>
      <c r="J830" s="147"/>
    </row>
    <row r="831" spans="3:10" ht="15.75" customHeight="1">
      <c r="C831" s="191"/>
      <c r="D831" s="191"/>
      <c r="E831" s="221"/>
      <c r="F831" s="210"/>
      <c r="G831" s="210"/>
      <c r="H831" s="210"/>
      <c r="J831" s="147"/>
    </row>
    <row r="832" spans="3:10" ht="15.75" customHeight="1">
      <c r="C832" s="191"/>
      <c r="D832" s="191"/>
      <c r="E832" s="221"/>
      <c r="F832" s="210"/>
      <c r="G832" s="210"/>
      <c r="H832" s="210"/>
      <c r="J832" s="147"/>
    </row>
    <row r="833" spans="3:10" ht="15.75" customHeight="1">
      <c r="C833" s="191"/>
      <c r="D833" s="191"/>
      <c r="E833" s="221"/>
      <c r="F833" s="210"/>
      <c r="G833" s="210"/>
      <c r="H833" s="210"/>
      <c r="J833" s="147"/>
    </row>
    <row r="834" spans="3:10" ht="15.75" customHeight="1">
      <c r="C834" s="191"/>
      <c r="D834" s="191"/>
      <c r="E834" s="221"/>
      <c r="F834" s="210"/>
      <c r="G834" s="210"/>
      <c r="H834" s="210"/>
      <c r="J834" s="147"/>
    </row>
    <row r="835" spans="3:10" ht="15.75" customHeight="1">
      <c r="C835" s="191"/>
      <c r="D835" s="191"/>
      <c r="E835" s="221"/>
      <c r="F835" s="210"/>
      <c r="G835" s="210"/>
      <c r="H835" s="210"/>
      <c r="J835" s="147"/>
    </row>
    <row r="836" spans="3:10" ht="15.75" customHeight="1">
      <c r="C836" s="191"/>
      <c r="D836" s="191"/>
      <c r="E836" s="221"/>
      <c r="F836" s="210"/>
      <c r="G836" s="210"/>
      <c r="H836" s="210"/>
      <c r="J836" s="147"/>
    </row>
    <row r="837" spans="3:10" ht="15.75" customHeight="1">
      <c r="C837" s="191"/>
      <c r="D837" s="191"/>
      <c r="E837" s="221"/>
      <c r="F837" s="210"/>
      <c r="G837" s="210"/>
      <c r="H837" s="210"/>
      <c r="J837" s="147"/>
    </row>
    <row r="838" spans="3:10" ht="15.75" customHeight="1">
      <c r="C838" s="191"/>
      <c r="D838" s="191"/>
      <c r="E838" s="221"/>
      <c r="F838" s="210"/>
      <c r="G838" s="210"/>
      <c r="H838" s="210"/>
      <c r="J838" s="147"/>
    </row>
    <row r="839" spans="3:10" ht="15.75" customHeight="1">
      <c r="C839" s="191"/>
      <c r="D839" s="191"/>
      <c r="E839" s="221"/>
      <c r="F839" s="210"/>
      <c r="G839" s="210"/>
      <c r="H839" s="210"/>
      <c r="J839" s="147"/>
    </row>
    <row r="840" spans="3:10" ht="15.75" customHeight="1">
      <c r="C840" s="191"/>
      <c r="D840" s="191"/>
      <c r="E840" s="221"/>
      <c r="F840" s="210"/>
      <c r="G840" s="210"/>
      <c r="H840" s="210"/>
      <c r="J840" s="147"/>
    </row>
    <row r="841" spans="3:10" ht="15.75" customHeight="1">
      <c r="C841" s="191"/>
      <c r="D841" s="191"/>
      <c r="E841" s="221"/>
      <c r="F841" s="210"/>
      <c r="G841" s="210"/>
      <c r="H841" s="210"/>
      <c r="J841" s="147"/>
    </row>
    <row r="842" spans="3:10" ht="15.75" customHeight="1">
      <c r="C842" s="191"/>
      <c r="D842" s="191"/>
      <c r="E842" s="221"/>
      <c r="F842" s="210"/>
      <c r="G842" s="210"/>
      <c r="H842" s="210"/>
      <c r="J842" s="147"/>
    </row>
    <row r="843" spans="3:10" ht="15.75" customHeight="1">
      <c r="C843" s="191"/>
      <c r="D843" s="191"/>
      <c r="E843" s="221"/>
      <c r="F843" s="210"/>
      <c r="G843" s="210"/>
      <c r="H843" s="210"/>
      <c r="J843" s="147"/>
    </row>
    <row r="844" spans="3:10" ht="15.75" customHeight="1">
      <c r="C844" s="191"/>
      <c r="D844" s="191"/>
      <c r="E844" s="221"/>
      <c r="F844" s="210"/>
      <c r="G844" s="210"/>
      <c r="H844" s="210"/>
      <c r="J844" s="147"/>
    </row>
    <row r="845" spans="3:10" ht="15.75" customHeight="1">
      <c r="C845" s="191"/>
      <c r="D845" s="191"/>
      <c r="E845" s="221"/>
      <c r="F845" s="210"/>
      <c r="G845" s="210"/>
      <c r="H845" s="210"/>
      <c r="J845" s="147"/>
    </row>
    <row r="846" spans="3:10" ht="15.75" customHeight="1">
      <c r="C846" s="191"/>
      <c r="D846" s="191"/>
      <c r="E846" s="221"/>
      <c r="F846" s="210"/>
      <c r="G846" s="210"/>
      <c r="H846" s="210"/>
      <c r="J846" s="147"/>
    </row>
    <row r="847" spans="3:10" ht="15.75" customHeight="1">
      <c r="C847" s="191"/>
      <c r="D847" s="191"/>
      <c r="E847" s="221"/>
      <c r="F847" s="210"/>
      <c r="G847" s="210"/>
      <c r="H847" s="210"/>
      <c r="J847" s="147"/>
    </row>
    <row r="848" spans="3:10" ht="15.75" customHeight="1">
      <c r="C848" s="191"/>
      <c r="D848" s="191"/>
      <c r="E848" s="221"/>
      <c r="F848" s="210"/>
      <c r="G848" s="210"/>
      <c r="H848" s="210"/>
      <c r="J848" s="147"/>
    </row>
    <row r="849" spans="3:10" ht="15.75" customHeight="1">
      <c r="C849" s="191"/>
      <c r="D849" s="191"/>
      <c r="E849" s="221"/>
      <c r="F849" s="210"/>
      <c r="G849" s="210"/>
      <c r="H849" s="210"/>
      <c r="J849" s="147"/>
    </row>
    <row r="850" spans="3:10" ht="15.75" customHeight="1">
      <c r="C850" s="191"/>
      <c r="D850" s="191"/>
      <c r="E850" s="221"/>
      <c r="F850" s="210"/>
      <c r="G850" s="210"/>
      <c r="H850" s="210"/>
      <c r="J850" s="147"/>
    </row>
    <row r="851" spans="3:10" ht="15.75" customHeight="1">
      <c r="C851" s="191"/>
      <c r="D851" s="191"/>
      <c r="E851" s="221"/>
      <c r="F851" s="210"/>
      <c r="G851" s="210"/>
      <c r="H851" s="210"/>
      <c r="J851" s="147"/>
    </row>
    <row r="852" spans="3:10" ht="15.75" customHeight="1">
      <c r="C852" s="191"/>
      <c r="D852" s="191"/>
      <c r="E852" s="221"/>
      <c r="F852" s="210"/>
      <c r="G852" s="210"/>
      <c r="H852" s="210"/>
      <c r="J852" s="147"/>
    </row>
    <row r="853" spans="3:10" ht="15.75" customHeight="1">
      <c r="C853" s="191"/>
      <c r="D853" s="191"/>
      <c r="E853" s="221"/>
      <c r="F853" s="210"/>
      <c r="G853" s="210"/>
      <c r="H853" s="210"/>
      <c r="J853" s="147"/>
    </row>
    <row r="854" spans="3:10" ht="15.75" customHeight="1">
      <c r="C854" s="191"/>
      <c r="D854" s="191"/>
      <c r="E854" s="221"/>
      <c r="F854" s="210"/>
      <c r="G854" s="210"/>
      <c r="H854" s="210"/>
      <c r="J854" s="147"/>
    </row>
    <row r="855" spans="3:10" ht="15.75" customHeight="1">
      <c r="C855" s="191"/>
      <c r="D855" s="191"/>
      <c r="E855" s="221"/>
      <c r="F855" s="210"/>
      <c r="G855" s="210"/>
      <c r="H855" s="210"/>
      <c r="J855" s="147"/>
    </row>
    <row r="856" spans="3:10" ht="15.75" customHeight="1">
      <c r="C856" s="191"/>
      <c r="D856" s="191"/>
      <c r="E856" s="221"/>
      <c r="F856" s="210"/>
      <c r="G856" s="210"/>
      <c r="H856" s="210"/>
      <c r="J856" s="147"/>
    </row>
    <row r="857" spans="3:10" ht="15.75" customHeight="1">
      <c r="C857" s="191"/>
      <c r="D857" s="191"/>
      <c r="E857" s="221"/>
      <c r="F857" s="210"/>
      <c r="G857" s="210"/>
      <c r="H857" s="210"/>
      <c r="J857" s="147"/>
    </row>
    <row r="858" spans="3:10" ht="15.75" customHeight="1">
      <c r="C858" s="191"/>
      <c r="D858" s="191"/>
      <c r="E858" s="221"/>
      <c r="F858" s="210"/>
      <c r="G858" s="210"/>
      <c r="H858" s="210"/>
      <c r="J858" s="147"/>
    </row>
    <row r="859" spans="3:10" ht="15.75" customHeight="1">
      <c r="C859" s="191"/>
      <c r="D859" s="191"/>
      <c r="E859" s="221"/>
      <c r="F859" s="210"/>
      <c r="G859" s="210"/>
      <c r="H859" s="210"/>
      <c r="J859" s="147"/>
    </row>
    <row r="860" spans="3:10" ht="15.75" customHeight="1">
      <c r="C860" s="191"/>
      <c r="D860" s="191"/>
      <c r="E860" s="221"/>
      <c r="F860" s="210"/>
      <c r="G860" s="210"/>
      <c r="H860" s="210"/>
      <c r="J860" s="147"/>
    </row>
    <row r="861" spans="3:10" ht="15.75" customHeight="1">
      <c r="C861" s="191"/>
      <c r="D861" s="191"/>
      <c r="E861" s="221"/>
      <c r="F861" s="210"/>
      <c r="G861" s="210"/>
      <c r="H861" s="210"/>
      <c r="J861" s="147"/>
    </row>
    <row r="862" spans="3:10" ht="15.75" customHeight="1">
      <c r="C862" s="191"/>
      <c r="D862" s="191"/>
      <c r="E862" s="221"/>
      <c r="F862" s="210"/>
      <c r="G862" s="210"/>
      <c r="H862" s="210"/>
      <c r="J862" s="147"/>
    </row>
    <row r="863" spans="3:10" ht="15.75" customHeight="1">
      <c r="C863" s="191"/>
      <c r="D863" s="191"/>
      <c r="E863" s="221"/>
      <c r="F863" s="210"/>
      <c r="G863" s="210"/>
      <c r="H863" s="210"/>
      <c r="J863" s="147"/>
    </row>
    <row r="864" spans="3:10" ht="15.75" customHeight="1">
      <c r="C864" s="191"/>
      <c r="D864" s="191"/>
      <c r="E864" s="221"/>
      <c r="F864" s="210"/>
      <c r="G864" s="210"/>
      <c r="H864" s="210"/>
      <c r="J864" s="147"/>
    </row>
    <row r="865" spans="3:10" ht="15.75" customHeight="1">
      <c r="C865" s="191"/>
      <c r="D865" s="191"/>
      <c r="E865" s="221"/>
      <c r="F865" s="210"/>
      <c r="G865" s="210"/>
      <c r="H865" s="210"/>
      <c r="J865" s="147"/>
    </row>
    <row r="866" spans="3:10" ht="15.75" customHeight="1">
      <c r="C866" s="191"/>
      <c r="D866" s="191"/>
      <c r="E866" s="221"/>
      <c r="F866" s="210"/>
      <c r="G866" s="210"/>
      <c r="H866" s="210"/>
      <c r="J866" s="147"/>
    </row>
    <row r="867" spans="3:10" ht="15.75" customHeight="1">
      <c r="C867" s="191"/>
      <c r="D867" s="191"/>
      <c r="E867" s="221"/>
      <c r="F867" s="210"/>
      <c r="G867" s="210"/>
      <c r="H867" s="210"/>
      <c r="J867" s="147"/>
    </row>
    <row r="868" spans="3:10" ht="15.75" customHeight="1">
      <c r="C868" s="191"/>
      <c r="D868" s="191"/>
      <c r="E868" s="221"/>
      <c r="F868" s="210"/>
      <c r="G868" s="210"/>
      <c r="H868" s="210"/>
      <c r="J868" s="147"/>
    </row>
    <row r="869" spans="3:10" ht="15.75" customHeight="1">
      <c r="C869" s="191"/>
      <c r="D869" s="191"/>
      <c r="E869" s="221"/>
      <c r="F869" s="210"/>
      <c r="G869" s="210"/>
      <c r="H869" s="210"/>
      <c r="J869" s="147"/>
    </row>
    <row r="870" spans="3:10" ht="15.75" customHeight="1">
      <c r="C870" s="191"/>
      <c r="D870" s="191"/>
      <c r="E870" s="221"/>
      <c r="F870" s="210"/>
      <c r="G870" s="210"/>
      <c r="H870" s="210"/>
      <c r="J870" s="147"/>
    </row>
    <row r="871" spans="3:10" ht="15.75" customHeight="1">
      <c r="C871" s="191"/>
      <c r="D871" s="191"/>
      <c r="E871" s="221"/>
      <c r="F871" s="210"/>
      <c r="G871" s="210"/>
      <c r="H871" s="210"/>
      <c r="J871" s="147"/>
    </row>
    <row r="872" spans="3:10" ht="15.75" customHeight="1">
      <c r="C872" s="191"/>
      <c r="D872" s="191"/>
      <c r="E872" s="221"/>
      <c r="F872" s="210"/>
      <c r="G872" s="210"/>
      <c r="H872" s="210"/>
      <c r="J872" s="147"/>
    </row>
    <row r="873" spans="3:10" ht="15.75" customHeight="1">
      <c r="C873" s="191"/>
      <c r="D873" s="191"/>
      <c r="E873" s="221"/>
      <c r="F873" s="210"/>
      <c r="G873" s="210"/>
      <c r="H873" s="210"/>
      <c r="J873" s="147"/>
    </row>
    <row r="874" spans="3:10" ht="15.75" customHeight="1">
      <c r="C874" s="191"/>
      <c r="D874" s="191"/>
      <c r="E874" s="221"/>
      <c r="F874" s="210"/>
      <c r="G874" s="210"/>
      <c r="H874" s="210"/>
      <c r="J874" s="147"/>
    </row>
    <row r="875" spans="3:10" ht="15.75" customHeight="1">
      <c r="C875" s="191"/>
      <c r="D875" s="191"/>
      <c r="E875" s="221"/>
      <c r="F875" s="210"/>
      <c r="G875" s="210"/>
      <c r="H875" s="210"/>
      <c r="J875" s="147"/>
    </row>
    <row r="876" spans="3:10" ht="15.75" customHeight="1">
      <c r="C876" s="191"/>
      <c r="D876" s="191"/>
      <c r="E876" s="221"/>
      <c r="F876" s="210"/>
      <c r="G876" s="210"/>
      <c r="H876" s="210"/>
      <c r="J876" s="147"/>
    </row>
    <row r="877" spans="3:10" ht="15.75" customHeight="1">
      <c r="C877" s="191"/>
      <c r="D877" s="191"/>
      <c r="E877" s="221"/>
      <c r="F877" s="210"/>
      <c r="G877" s="210"/>
      <c r="H877" s="210"/>
      <c r="J877" s="147"/>
    </row>
    <row r="878" spans="3:10" ht="15.75" customHeight="1">
      <c r="C878" s="191"/>
      <c r="D878" s="191"/>
      <c r="E878" s="221"/>
      <c r="F878" s="210"/>
      <c r="G878" s="210"/>
      <c r="H878" s="210"/>
      <c r="J878" s="147"/>
    </row>
    <row r="879" spans="3:10" ht="15.75" customHeight="1">
      <c r="C879" s="191"/>
      <c r="D879" s="191"/>
      <c r="E879" s="221"/>
      <c r="F879" s="210"/>
      <c r="G879" s="210"/>
      <c r="H879" s="210"/>
      <c r="J879" s="147"/>
    </row>
    <row r="880" spans="3:10" ht="15.75" customHeight="1">
      <c r="C880" s="191"/>
      <c r="D880" s="191"/>
      <c r="E880" s="221"/>
      <c r="F880" s="210"/>
      <c r="G880" s="210"/>
      <c r="H880" s="210"/>
      <c r="J880" s="147"/>
    </row>
    <row r="881" spans="3:10" ht="15.75" customHeight="1">
      <c r="C881" s="191"/>
      <c r="D881" s="191"/>
      <c r="E881" s="221"/>
      <c r="F881" s="210"/>
      <c r="G881" s="210"/>
      <c r="H881" s="210"/>
      <c r="J881" s="147"/>
    </row>
    <row r="882" spans="3:10" ht="15.75" customHeight="1">
      <c r="C882" s="191"/>
      <c r="D882" s="191"/>
      <c r="E882" s="221"/>
      <c r="F882" s="210"/>
      <c r="G882" s="210"/>
      <c r="H882" s="210"/>
      <c r="J882" s="147"/>
    </row>
    <row r="883" spans="3:10" ht="15.75" customHeight="1">
      <c r="C883" s="191"/>
      <c r="D883" s="191"/>
      <c r="E883" s="221"/>
      <c r="F883" s="210"/>
      <c r="G883" s="210"/>
      <c r="H883" s="210"/>
      <c r="J883" s="147"/>
    </row>
    <row r="884" spans="3:10" ht="15.75" customHeight="1">
      <c r="C884" s="191"/>
      <c r="D884" s="191"/>
      <c r="E884" s="221"/>
      <c r="F884" s="210"/>
      <c r="G884" s="210"/>
      <c r="H884" s="210"/>
      <c r="J884" s="147"/>
    </row>
    <row r="885" spans="3:10" ht="15.75" customHeight="1">
      <c r="C885" s="191"/>
      <c r="D885" s="191"/>
      <c r="E885" s="221"/>
      <c r="F885" s="210"/>
      <c r="G885" s="210"/>
      <c r="H885" s="210"/>
      <c r="J885" s="147"/>
    </row>
    <row r="886" spans="3:10" ht="15.75" customHeight="1">
      <c r="C886" s="191"/>
      <c r="D886" s="191"/>
      <c r="E886" s="221"/>
      <c r="F886" s="210"/>
      <c r="G886" s="210"/>
      <c r="H886" s="210"/>
      <c r="J886" s="147"/>
    </row>
    <row r="887" spans="3:10" ht="15.75" customHeight="1">
      <c r="C887" s="191"/>
      <c r="D887" s="191"/>
      <c r="E887" s="221"/>
      <c r="F887" s="210"/>
      <c r="G887" s="210"/>
      <c r="H887" s="210"/>
      <c r="J887" s="147"/>
    </row>
    <row r="888" spans="3:10" ht="15.75" customHeight="1">
      <c r="C888" s="191"/>
      <c r="D888" s="191"/>
      <c r="E888" s="221"/>
      <c r="F888" s="210"/>
      <c r="G888" s="210"/>
      <c r="H888" s="210"/>
      <c r="J888" s="147"/>
    </row>
    <row r="889" spans="3:10" ht="15.75" customHeight="1">
      <c r="C889" s="191"/>
      <c r="D889" s="191"/>
      <c r="E889" s="221"/>
      <c r="F889" s="210"/>
      <c r="G889" s="210"/>
      <c r="H889" s="210"/>
      <c r="J889" s="147"/>
    </row>
    <row r="890" spans="3:10" ht="15.75" customHeight="1">
      <c r="C890" s="191"/>
      <c r="D890" s="191"/>
      <c r="E890" s="221"/>
      <c r="F890" s="210"/>
      <c r="G890" s="210"/>
      <c r="H890" s="210"/>
      <c r="J890" s="147"/>
    </row>
    <row r="891" spans="3:10" ht="15.75" customHeight="1">
      <c r="C891" s="191"/>
      <c r="D891" s="191"/>
      <c r="E891" s="221"/>
      <c r="F891" s="210"/>
      <c r="G891" s="210"/>
      <c r="H891" s="210"/>
      <c r="J891" s="147"/>
    </row>
    <row r="892" spans="3:10" ht="15.75" customHeight="1">
      <c r="C892" s="191"/>
      <c r="D892" s="191"/>
      <c r="E892" s="221"/>
      <c r="F892" s="210"/>
      <c r="G892" s="210"/>
      <c r="H892" s="210"/>
      <c r="J892" s="147"/>
    </row>
    <row r="893" spans="3:10" ht="15.75" customHeight="1">
      <c r="C893" s="191"/>
      <c r="D893" s="191"/>
      <c r="E893" s="221"/>
      <c r="F893" s="210"/>
      <c r="G893" s="210"/>
      <c r="H893" s="210"/>
      <c r="J893" s="147"/>
    </row>
    <row r="894" spans="3:10" ht="15.75" customHeight="1">
      <c r="C894" s="191"/>
      <c r="D894" s="191"/>
      <c r="E894" s="221"/>
      <c r="F894" s="210"/>
      <c r="G894" s="210"/>
      <c r="H894" s="210"/>
      <c r="J894" s="147"/>
    </row>
    <row r="895" spans="3:10" ht="15.75" customHeight="1">
      <c r="C895" s="191"/>
      <c r="D895" s="191"/>
      <c r="E895" s="221"/>
      <c r="F895" s="210"/>
      <c r="G895" s="210"/>
      <c r="H895" s="210"/>
      <c r="J895" s="147"/>
    </row>
    <row r="896" spans="3:10" ht="15.75" customHeight="1">
      <c r="C896" s="191"/>
      <c r="D896" s="191"/>
      <c r="E896" s="221"/>
      <c r="F896" s="210"/>
      <c r="G896" s="210"/>
      <c r="H896" s="210"/>
      <c r="J896" s="147"/>
    </row>
    <row r="897" spans="3:10" ht="15.75" customHeight="1">
      <c r="C897" s="191"/>
      <c r="D897" s="191"/>
      <c r="E897" s="221"/>
      <c r="F897" s="210"/>
      <c r="G897" s="210"/>
      <c r="H897" s="210"/>
      <c r="J897" s="147"/>
    </row>
    <row r="898" spans="3:10" ht="15.75" customHeight="1">
      <c r="C898" s="191"/>
      <c r="D898" s="191"/>
      <c r="E898" s="221"/>
      <c r="F898" s="210"/>
      <c r="G898" s="210"/>
      <c r="H898" s="210"/>
      <c r="J898" s="147"/>
    </row>
    <row r="899" spans="3:10" ht="15.75" customHeight="1">
      <c r="C899" s="191"/>
      <c r="D899" s="191"/>
      <c r="E899" s="221"/>
      <c r="F899" s="210"/>
      <c r="G899" s="210"/>
      <c r="H899" s="210"/>
      <c r="J899" s="147"/>
    </row>
    <row r="900" spans="3:10" ht="15.75" customHeight="1">
      <c r="C900" s="191"/>
      <c r="D900" s="191"/>
      <c r="E900" s="221"/>
      <c r="F900" s="210"/>
      <c r="G900" s="210"/>
      <c r="H900" s="210"/>
      <c r="J900" s="147"/>
    </row>
    <row r="901" spans="3:10" ht="15.75" customHeight="1">
      <c r="C901" s="191"/>
      <c r="D901" s="191"/>
      <c r="E901" s="221"/>
      <c r="F901" s="210"/>
      <c r="G901" s="210"/>
      <c r="H901" s="210"/>
      <c r="J901" s="147"/>
    </row>
    <row r="902" spans="3:10" ht="15.75" customHeight="1">
      <c r="C902" s="191"/>
      <c r="D902" s="191"/>
      <c r="E902" s="221"/>
      <c r="F902" s="210"/>
      <c r="G902" s="210"/>
      <c r="H902" s="210"/>
      <c r="J902" s="147"/>
    </row>
    <row r="903" spans="3:10" ht="15.75" customHeight="1">
      <c r="C903" s="191"/>
      <c r="D903" s="191"/>
      <c r="E903" s="221"/>
      <c r="F903" s="210"/>
      <c r="G903" s="210"/>
      <c r="H903" s="210"/>
      <c r="J903" s="147"/>
    </row>
    <row r="904" spans="3:10" ht="15.75" customHeight="1">
      <c r="C904" s="191"/>
      <c r="D904" s="191"/>
      <c r="E904" s="221"/>
      <c r="F904" s="210"/>
      <c r="G904" s="210"/>
      <c r="H904" s="210"/>
      <c r="J904" s="147"/>
    </row>
    <row r="905" spans="3:10" ht="15.75" customHeight="1">
      <c r="C905" s="191"/>
      <c r="D905" s="191"/>
      <c r="E905" s="221"/>
      <c r="F905" s="210"/>
      <c r="G905" s="210"/>
      <c r="H905" s="210"/>
      <c r="J905" s="147"/>
    </row>
    <row r="906" spans="3:10" ht="15.75" customHeight="1">
      <c r="C906" s="191"/>
      <c r="D906" s="191"/>
      <c r="E906" s="221"/>
      <c r="F906" s="210"/>
      <c r="G906" s="210"/>
      <c r="H906" s="210"/>
      <c r="J906" s="147"/>
    </row>
    <row r="907" spans="3:10" ht="15.75" customHeight="1">
      <c r="C907" s="191"/>
      <c r="D907" s="191"/>
      <c r="E907" s="221"/>
      <c r="F907" s="210"/>
      <c r="G907" s="210"/>
      <c r="H907" s="210"/>
      <c r="J907" s="147"/>
    </row>
    <row r="908" spans="3:10" ht="15.75" customHeight="1">
      <c r="C908" s="191"/>
      <c r="D908" s="191"/>
      <c r="E908" s="221"/>
      <c r="F908" s="210"/>
      <c r="G908" s="210"/>
      <c r="H908" s="210"/>
      <c r="J908" s="147"/>
    </row>
    <row r="909" spans="3:10" ht="15.75" customHeight="1">
      <c r="C909" s="191"/>
      <c r="D909" s="191"/>
      <c r="E909" s="221"/>
      <c r="F909" s="210"/>
      <c r="G909" s="210"/>
      <c r="H909" s="210"/>
      <c r="J909" s="147"/>
    </row>
    <row r="910" spans="3:10" ht="15.75" customHeight="1">
      <c r="C910" s="191"/>
      <c r="D910" s="191"/>
      <c r="E910" s="221"/>
      <c r="F910" s="210"/>
      <c r="G910" s="210"/>
      <c r="H910" s="210"/>
      <c r="J910" s="147"/>
    </row>
    <row r="911" spans="3:10" ht="15.75" customHeight="1">
      <c r="C911" s="191"/>
      <c r="D911" s="191"/>
      <c r="E911" s="221"/>
      <c r="F911" s="210"/>
      <c r="G911" s="210"/>
      <c r="H911" s="210"/>
      <c r="J911" s="147"/>
    </row>
    <row r="912" spans="3:10" ht="15.75" customHeight="1">
      <c r="C912" s="191"/>
      <c r="D912" s="191"/>
      <c r="E912" s="221"/>
      <c r="F912" s="210"/>
      <c r="G912" s="210"/>
      <c r="H912" s="210"/>
      <c r="J912" s="147"/>
    </row>
    <row r="913" spans="3:10" ht="15.75" customHeight="1">
      <c r="C913" s="191"/>
      <c r="D913" s="191"/>
      <c r="E913" s="221"/>
      <c r="F913" s="210"/>
      <c r="G913" s="210"/>
      <c r="H913" s="210"/>
      <c r="J913" s="147"/>
    </row>
    <row r="914" spans="3:10" ht="15.75" customHeight="1">
      <c r="C914" s="191"/>
      <c r="D914" s="191"/>
      <c r="E914" s="221"/>
      <c r="F914" s="210"/>
      <c r="G914" s="210"/>
      <c r="H914" s="210"/>
      <c r="J914" s="147"/>
    </row>
    <row r="915" spans="3:10" ht="15.75" customHeight="1">
      <c r="C915" s="191"/>
      <c r="D915" s="191"/>
      <c r="E915" s="221"/>
      <c r="F915" s="210"/>
      <c r="G915" s="210"/>
      <c r="H915" s="210"/>
      <c r="J915" s="147"/>
    </row>
    <row r="916" spans="3:10" ht="15.75" customHeight="1">
      <c r="C916" s="191"/>
      <c r="D916" s="191"/>
      <c r="E916" s="221"/>
      <c r="F916" s="210"/>
      <c r="G916" s="210"/>
      <c r="H916" s="210"/>
      <c r="J916" s="147"/>
    </row>
    <row r="917" spans="3:10" ht="15.75" customHeight="1">
      <c r="C917" s="191"/>
      <c r="D917" s="191"/>
      <c r="E917" s="221"/>
      <c r="F917" s="210"/>
      <c r="G917" s="210"/>
      <c r="H917" s="210"/>
      <c r="J917" s="147"/>
    </row>
    <row r="918" spans="3:10" ht="15.75" customHeight="1">
      <c r="C918" s="191"/>
      <c r="D918" s="191"/>
      <c r="E918" s="221"/>
      <c r="F918" s="210"/>
      <c r="G918" s="210"/>
      <c r="H918" s="210"/>
      <c r="J918" s="147"/>
    </row>
    <row r="919" spans="3:10" ht="15.75" customHeight="1">
      <c r="C919" s="191"/>
      <c r="D919" s="191"/>
      <c r="E919" s="221"/>
      <c r="F919" s="210"/>
      <c r="G919" s="210"/>
      <c r="H919" s="210"/>
      <c r="J919" s="147"/>
    </row>
    <row r="920" spans="3:10" ht="15.75" customHeight="1">
      <c r="C920" s="191"/>
      <c r="D920" s="191"/>
      <c r="E920" s="221"/>
      <c r="F920" s="210"/>
      <c r="G920" s="210"/>
      <c r="H920" s="210"/>
      <c r="J920" s="147"/>
    </row>
    <row r="921" spans="3:10" ht="15.75" customHeight="1">
      <c r="C921" s="191"/>
      <c r="D921" s="191"/>
      <c r="E921" s="221"/>
      <c r="F921" s="210"/>
      <c r="G921" s="210"/>
      <c r="H921" s="210"/>
      <c r="J921" s="147"/>
    </row>
    <row r="922" spans="3:10" ht="15.75" customHeight="1">
      <c r="C922" s="191"/>
      <c r="D922" s="191"/>
      <c r="E922" s="221"/>
      <c r="F922" s="210"/>
      <c r="G922" s="210"/>
      <c r="H922" s="210"/>
      <c r="J922" s="147"/>
    </row>
    <row r="923" spans="3:10" ht="15.75" customHeight="1">
      <c r="C923" s="191"/>
      <c r="D923" s="191"/>
      <c r="E923" s="221"/>
      <c r="F923" s="210"/>
      <c r="G923" s="210"/>
      <c r="H923" s="210"/>
      <c r="J923" s="147"/>
    </row>
    <row r="924" spans="3:10" ht="15.75" customHeight="1">
      <c r="C924" s="191"/>
      <c r="D924" s="191"/>
      <c r="E924" s="221"/>
      <c r="F924" s="210"/>
      <c r="G924" s="210"/>
      <c r="H924" s="210"/>
      <c r="J924" s="147"/>
    </row>
    <row r="925" spans="3:10" ht="15.75" customHeight="1">
      <c r="C925" s="191"/>
      <c r="D925" s="191"/>
      <c r="E925" s="221"/>
      <c r="F925" s="210"/>
      <c r="G925" s="210"/>
      <c r="H925" s="210"/>
      <c r="J925" s="147"/>
    </row>
    <row r="926" spans="3:10" ht="15.75" customHeight="1">
      <c r="C926" s="191"/>
      <c r="D926" s="191"/>
      <c r="E926" s="221"/>
      <c r="F926" s="210"/>
      <c r="G926" s="210"/>
      <c r="H926" s="210"/>
      <c r="J926" s="147"/>
    </row>
    <row r="927" spans="3:10" ht="15.75" customHeight="1">
      <c r="C927" s="191"/>
      <c r="D927" s="191"/>
      <c r="E927" s="221"/>
      <c r="F927" s="210"/>
      <c r="G927" s="210"/>
      <c r="H927" s="210"/>
      <c r="J927" s="147"/>
    </row>
    <row r="928" spans="3:10" ht="15.75" customHeight="1">
      <c r="C928" s="191"/>
      <c r="D928" s="191"/>
      <c r="E928" s="221"/>
      <c r="F928" s="210"/>
      <c r="G928" s="210"/>
      <c r="H928" s="210"/>
      <c r="J928" s="147"/>
    </row>
    <row r="929" spans="3:10" ht="15.75" customHeight="1">
      <c r="C929" s="191"/>
      <c r="D929" s="191"/>
      <c r="E929" s="221"/>
      <c r="F929" s="210"/>
      <c r="G929" s="210"/>
      <c r="H929" s="210"/>
      <c r="J929" s="147"/>
    </row>
    <row r="930" spans="3:10" ht="15.75" customHeight="1">
      <c r="C930" s="191"/>
      <c r="D930" s="191"/>
      <c r="E930" s="221"/>
      <c r="F930" s="210"/>
      <c r="G930" s="210"/>
      <c r="H930" s="210"/>
      <c r="J930" s="147"/>
    </row>
    <row r="931" spans="3:10" ht="15.75" customHeight="1">
      <c r="C931" s="191"/>
      <c r="D931" s="191"/>
      <c r="E931" s="221"/>
      <c r="F931" s="210"/>
      <c r="G931" s="210"/>
      <c r="H931" s="210"/>
      <c r="J931" s="147"/>
    </row>
    <row r="932" spans="3:10" ht="15.75" customHeight="1">
      <c r="C932" s="191"/>
      <c r="D932" s="191"/>
      <c r="E932" s="221"/>
      <c r="F932" s="210"/>
      <c r="G932" s="210"/>
      <c r="H932" s="210"/>
      <c r="J932" s="147"/>
    </row>
    <row r="933" spans="3:10" ht="15.75" customHeight="1">
      <c r="C933" s="191"/>
      <c r="D933" s="191"/>
      <c r="E933" s="221"/>
      <c r="F933" s="210"/>
      <c r="G933" s="210"/>
      <c r="H933" s="210"/>
      <c r="J933" s="147"/>
    </row>
    <row r="934" spans="3:10" ht="15.75" customHeight="1">
      <c r="C934" s="191"/>
      <c r="D934" s="191"/>
      <c r="E934" s="221"/>
      <c r="F934" s="210"/>
      <c r="G934" s="210"/>
      <c r="H934" s="210"/>
      <c r="J934" s="147"/>
    </row>
    <row r="935" spans="3:10" ht="15.75" customHeight="1">
      <c r="C935" s="191"/>
      <c r="D935" s="191"/>
      <c r="E935" s="221"/>
      <c r="F935" s="210"/>
      <c r="G935" s="210"/>
      <c r="H935" s="210"/>
      <c r="J935" s="147"/>
    </row>
    <row r="936" spans="3:10" ht="15.75" customHeight="1">
      <c r="C936" s="191"/>
      <c r="D936" s="191"/>
      <c r="E936" s="221"/>
      <c r="F936" s="210"/>
      <c r="G936" s="210"/>
      <c r="H936" s="210"/>
      <c r="J936" s="147"/>
    </row>
    <row r="937" spans="3:10" ht="15.75" customHeight="1">
      <c r="C937" s="191"/>
      <c r="D937" s="191"/>
      <c r="E937" s="221"/>
      <c r="F937" s="210"/>
      <c r="G937" s="210"/>
      <c r="H937" s="210"/>
      <c r="J937" s="147"/>
    </row>
    <row r="938" spans="3:10" ht="15.75" customHeight="1">
      <c r="C938" s="191"/>
      <c r="D938" s="191"/>
      <c r="E938" s="221"/>
      <c r="F938" s="210"/>
      <c r="G938" s="210"/>
      <c r="H938" s="210"/>
      <c r="J938" s="147"/>
    </row>
    <row r="939" spans="3:10" ht="15.75" customHeight="1">
      <c r="C939" s="191"/>
      <c r="D939" s="191"/>
      <c r="E939" s="221"/>
      <c r="F939" s="210"/>
      <c r="G939" s="210"/>
      <c r="H939" s="210"/>
      <c r="J939" s="147"/>
    </row>
    <row r="940" spans="3:10" ht="15.75" customHeight="1">
      <c r="C940" s="191"/>
      <c r="D940" s="191"/>
      <c r="E940" s="221"/>
      <c r="F940" s="210"/>
      <c r="G940" s="210"/>
      <c r="H940" s="210"/>
      <c r="J940" s="147"/>
    </row>
    <row r="941" spans="3:10" ht="15.75" customHeight="1">
      <c r="C941" s="191"/>
      <c r="D941" s="191"/>
      <c r="E941" s="221"/>
      <c r="F941" s="210"/>
      <c r="G941" s="210"/>
      <c r="H941" s="210"/>
      <c r="J941" s="147"/>
    </row>
    <row r="942" spans="3:10" ht="15.75" customHeight="1">
      <c r="C942" s="191"/>
      <c r="D942" s="191"/>
      <c r="E942" s="221"/>
      <c r="F942" s="210"/>
      <c r="G942" s="210"/>
      <c r="H942" s="210"/>
      <c r="J942" s="147"/>
    </row>
    <row r="943" spans="3:10" ht="15.75" customHeight="1">
      <c r="C943" s="191"/>
      <c r="D943" s="191"/>
      <c r="E943" s="221"/>
      <c r="F943" s="210"/>
      <c r="G943" s="210"/>
      <c r="H943" s="210"/>
      <c r="J943" s="147"/>
    </row>
    <row r="944" spans="3:10" ht="15.75" customHeight="1">
      <c r="C944" s="191"/>
      <c r="D944" s="191"/>
      <c r="E944" s="221"/>
      <c r="F944" s="210"/>
      <c r="G944" s="210"/>
      <c r="H944" s="210"/>
      <c r="J944" s="147"/>
    </row>
    <row r="945" spans="3:10" ht="15.75" customHeight="1">
      <c r="C945" s="191"/>
      <c r="D945" s="191"/>
      <c r="E945" s="221"/>
      <c r="F945" s="210"/>
      <c r="G945" s="210"/>
      <c r="H945" s="210"/>
      <c r="J945" s="147"/>
    </row>
    <row r="946" spans="3:10" ht="15.75" customHeight="1">
      <c r="C946" s="191"/>
      <c r="D946" s="191"/>
      <c r="E946" s="221"/>
      <c r="F946" s="210"/>
      <c r="G946" s="210"/>
      <c r="H946" s="210"/>
      <c r="J946" s="147"/>
    </row>
    <row r="947" spans="3:10" ht="15.75" customHeight="1">
      <c r="C947" s="191"/>
      <c r="D947" s="191"/>
      <c r="E947" s="221"/>
      <c r="F947" s="210"/>
      <c r="G947" s="210"/>
      <c r="H947" s="210"/>
      <c r="J947" s="147"/>
    </row>
    <row r="948" spans="3:10" ht="15.75" customHeight="1">
      <c r="C948" s="191"/>
      <c r="D948" s="191"/>
      <c r="E948" s="221"/>
      <c r="F948" s="210"/>
      <c r="G948" s="210"/>
      <c r="H948" s="210"/>
      <c r="J948" s="147"/>
    </row>
    <row r="949" spans="3:10" ht="15.75" customHeight="1">
      <c r="C949" s="191"/>
      <c r="D949" s="191"/>
      <c r="E949" s="221"/>
      <c r="F949" s="210"/>
      <c r="G949" s="210"/>
      <c r="H949" s="210"/>
      <c r="J949" s="147"/>
    </row>
    <row r="950" spans="3:10" ht="15.75" customHeight="1">
      <c r="C950" s="191"/>
      <c r="D950" s="191"/>
      <c r="E950" s="221"/>
      <c r="F950" s="210"/>
      <c r="G950" s="210"/>
      <c r="H950" s="210"/>
      <c r="J950" s="147"/>
    </row>
    <row r="951" spans="3:10" ht="15.75" customHeight="1">
      <c r="C951" s="191"/>
      <c r="D951" s="191"/>
      <c r="E951" s="221"/>
      <c r="F951" s="210"/>
      <c r="G951" s="210"/>
      <c r="H951" s="210"/>
      <c r="J951" s="147"/>
    </row>
    <row r="952" spans="3:10" ht="15.75" customHeight="1">
      <c r="C952" s="191"/>
      <c r="D952" s="191"/>
      <c r="E952" s="221"/>
      <c r="F952" s="210"/>
      <c r="G952" s="210"/>
      <c r="H952" s="210"/>
      <c r="J952" s="147"/>
    </row>
    <row r="953" spans="3:10" ht="15.75" customHeight="1">
      <c r="C953" s="191"/>
      <c r="D953" s="191"/>
      <c r="E953" s="221"/>
      <c r="F953" s="210"/>
      <c r="G953" s="210"/>
      <c r="H953" s="210"/>
      <c r="J953" s="147"/>
    </row>
    <row r="954" spans="3:10" ht="15.75" customHeight="1">
      <c r="C954" s="191"/>
      <c r="D954" s="191"/>
      <c r="E954" s="221"/>
      <c r="F954" s="210"/>
      <c r="G954" s="210"/>
      <c r="H954" s="210"/>
      <c r="J954" s="147"/>
    </row>
    <row r="955" spans="3:10" ht="15.75" customHeight="1">
      <c r="C955" s="191"/>
      <c r="D955" s="191"/>
      <c r="E955" s="221"/>
      <c r="F955" s="210"/>
      <c r="G955" s="210"/>
      <c r="H955" s="210"/>
      <c r="J955" s="147"/>
    </row>
    <row r="956" spans="3:10" ht="15.75" customHeight="1">
      <c r="C956" s="191"/>
      <c r="D956" s="191"/>
      <c r="E956" s="221"/>
      <c r="F956" s="210"/>
      <c r="G956" s="210"/>
      <c r="H956" s="210"/>
      <c r="J956" s="147"/>
    </row>
    <row r="957" spans="3:10" ht="15.75" customHeight="1">
      <c r="C957" s="191"/>
      <c r="D957" s="191"/>
      <c r="E957" s="221"/>
      <c r="F957" s="210"/>
      <c r="G957" s="210"/>
      <c r="H957" s="210"/>
      <c r="J957" s="147"/>
    </row>
    <row r="958" spans="3:10" ht="15.75" customHeight="1">
      <c r="C958" s="191"/>
      <c r="D958" s="191"/>
      <c r="E958" s="221"/>
      <c r="F958" s="210"/>
      <c r="G958" s="210"/>
      <c r="H958" s="210"/>
      <c r="J958" s="147"/>
    </row>
    <row r="959" spans="3:10" ht="15.75" customHeight="1">
      <c r="C959" s="191"/>
      <c r="D959" s="191"/>
      <c r="E959" s="221"/>
      <c r="F959" s="210"/>
      <c r="G959" s="210"/>
      <c r="H959" s="210"/>
      <c r="J959" s="147"/>
    </row>
    <row r="960" spans="3:10" ht="15.75" customHeight="1">
      <c r="C960" s="191"/>
      <c r="D960" s="191"/>
      <c r="E960" s="221"/>
      <c r="F960" s="210"/>
      <c r="G960" s="210"/>
      <c r="H960" s="210"/>
      <c r="J960" s="147"/>
    </row>
    <row r="961" spans="3:10" ht="15.75" customHeight="1">
      <c r="C961" s="191"/>
      <c r="D961" s="191"/>
      <c r="E961" s="221"/>
      <c r="F961" s="210"/>
      <c r="G961" s="210"/>
      <c r="H961" s="210"/>
      <c r="J961" s="147"/>
    </row>
    <row r="962" spans="3:10" ht="15.75" customHeight="1">
      <c r="C962" s="191"/>
      <c r="D962" s="191"/>
      <c r="E962" s="221"/>
      <c r="F962" s="210"/>
      <c r="G962" s="210"/>
      <c r="H962" s="210"/>
      <c r="J962" s="147"/>
    </row>
    <row r="963" spans="3:10" ht="15.75" customHeight="1">
      <c r="C963" s="191"/>
      <c r="D963" s="191"/>
      <c r="E963" s="221"/>
      <c r="F963" s="210"/>
      <c r="G963" s="210"/>
      <c r="H963" s="210"/>
      <c r="J963" s="147"/>
    </row>
    <row r="964" spans="3:10" ht="15.75" customHeight="1">
      <c r="C964" s="191"/>
      <c r="D964" s="191"/>
      <c r="E964" s="221"/>
      <c r="F964" s="210"/>
      <c r="G964" s="210"/>
      <c r="H964" s="210"/>
      <c r="J964" s="147"/>
    </row>
    <row r="965" spans="3:10" ht="15.75" customHeight="1">
      <c r="C965" s="191"/>
      <c r="D965" s="191"/>
      <c r="E965" s="221"/>
      <c r="F965" s="210"/>
      <c r="G965" s="210"/>
      <c r="H965" s="210"/>
      <c r="J965" s="147"/>
    </row>
    <row r="966" spans="3:10" ht="15.75" customHeight="1">
      <c r="C966" s="191"/>
      <c r="D966" s="191"/>
      <c r="E966" s="221"/>
      <c r="F966" s="210"/>
      <c r="G966" s="210"/>
      <c r="H966" s="210"/>
      <c r="J966" s="147"/>
    </row>
    <row r="967" spans="3:10" ht="15.75" customHeight="1">
      <c r="C967" s="191"/>
      <c r="D967" s="191"/>
      <c r="E967" s="221"/>
      <c r="F967" s="210"/>
      <c r="G967" s="210"/>
      <c r="H967" s="210"/>
      <c r="J967" s="147"/>
    </row>
    <row r="968" spans="3:10" ht="15.75" customHeight="1">
      <c r="C968" s="191"/>
      <c r="D968" s="191"/>
      <c r="E968" s="221"/>
      <c r="F968" s="210"/>
      <c r="G968" s="210"/>
      <c r="H968" s="210"/>
      <c r="J968" s="147"/>
    </row>
    <row r="969" spans="3:10" ht="15.75" customHeight="1">
      <c r="C969" s="191"/>
      <c r="D969" s="191"/>
      <c r="E969" s="221"/>
      <c r="F969" s="210"/>
      <c r="G969" s="210"/>
      <c r="H969" s="210"/>
      <c r="J969" s="147"/>
    </row>
    <row r="970" spans="3:10" ht="15.75" customHeight="1">
      <c r="C970" s="191"/>
      <c r="D970" s="191"/>
      <c r="E970" s="221"/>
      <c r="F970" s="210"/>
      <c r="G970" s="210"/>
      <c r="H970" s="210"/>
      <c r="J970" s="147"/>
    </row>
    <row r="971" spans="3:10" ht="15.75" customHeight="1">
      <c r="C971" s="191"/>
      <c r="D971" s="191"/>
      <c r="E971" s="221"/>
      <c r="F971" s="210"/>
      <c r="G971" s="210"/>
      <c r="H971" s="210"/>
      <c r="J971" s="147"/>
    </row>
    <row r="972" spans="3:10" ht="15.75" customHeight="1">
      <c r="C972" s="191"/>
      <c r="D972" s="191"/>
      <c r="E972" s="221"/>
      <c r="F972" s="210"/>
      <c r="G972" s="210"/>
      <c r="H972" s="210"/>
      <c r="J972" s="147"/>
    </row>
    <row r="973" spans="3:10" ht="15.75" customHeight="1">
      <c r="C973" s="191"/>
      <c r="D973" s="191"/>
      <c r="E973" s="221"/>
      <c r="F973" s="210"/>
      <c r="G973" s="210"/>
      <c r="H973" s="210"/>
      <c r="J973" s="147"/>
    </row>
    <row r="974" spans="3:10" ht="15.75" customHeight="1">
      <c r="C974" s="191"/>
      <c r="D974" s="191"/>
      <c r="E974" s="221"/>
      <c r="F974" s="210"/>
      <c r="G974" s="210"/>
      <c r="H974" s="210"/>
      <c r="J974" s="147"/>
    </row>
    <row r="975" spans="3:10" ht="15.75" customHeight="1">
      <c r="C975" s="191"/>
      <c r="D975" s="191"/>
      <c r="E975" s="221"/>
      <c r="F975" s="210"/>
      <c r="G975" s="210"/>
      <c r="H975" s="210"/>
      <c r="J975" s="147"/>
    </row>
    <row r="976" spans="3:10" ht="15.75" customHeight="1">
      <c r="C976" s="191"/>
      <c r="D976" s="191"/>
      <c r="E976" s="221"/>
      <c r="F976" s="210"/>
      <c r="G976" s="210"/>
      <c r="H976" s="210"/>
      <c r="J976" s="147"/>
    </row>
    <row r="977" spans="3:10" ht="15.75" customHeight="1">
      <c r="C977" s="191"/>
      <c r="D977" s="191"/>
      <c r="E977" s="221"/>
      <c r="F977" s="210"/>
      <c r="G977" s="210"/>
      <c r="H977" s="210"/>
      <c r="J977" s="147"/>
    </row>
    <row r="978" spans="3:10" ht="15.75" customHeight="1">
      <c r="C978" s="191"/>
      <c r="D978" s="191"/>
      <c r="E978" s="221"/>
      <c r="F978" s="210"/>
      <c r="G978" s="210"/>
      <c r="H978" s="210"/>
      <c r="J978" s="147"/>
    </row>
    <row r="979" spans="3:10" ht="15.75" customHeight="1">
      <c r="C979" s="191"/>
      <c r="D979" s="191"/>
      <c r="E979" s="221"/>
      <c r="F979" s="210"/>
      <c r="G979" s="210"/>
      <c r="H979" s="210"/>
      <c r="J979" s="147"/>
    </row>
    <row r="980" spans="3:10" ht="15.75" customHeight="1">
      <c r="C980" s="191"/>
      <c r="D980" s="191"/>
      <c r="E980" s="221"/>
      <c r="F980" s="210"/>
      <c r="G980" s="210"/>
      <c r="H980" s="210"/>
      <c r="J980" s="147"/>
    </row>
    <row r="981" spans="3:10" ht="15.75" customHeight="1">
      <c r="C981" s="191"/>
      <c r="D981" s="191"/>
      <c r="E981" s="221"/>
      <c r="F981" s="210"/>
      <c r="G981" s="210"/>
      <c r="H981" s="210"/>
      <c r="J981" s="147"/>
    </row>
    <row r="982" spans="3:10" ht="15.75" customHeight="1">
      <c r="C982" s="191"/>
      <c r="D982" s="191"/>
      <c r="E982" s="221"/>
      <c r="F982" s="210"/>
      <c r="G982" s="210"/>
      <c r="H982" s="210"/>
      <c r="J982" s="147"/>
    </row>
    <row r="983" spans="3:10" ht="15.75" customHeight="1">
      <c r="C983" s="191"/>
      <c r="D983" s="191"/>
      <c r="E983" s="221"/>
      <c r="F983" s="210"/>
      <c r="G983" s="210"/>
      <c r="H983" s="210"/>
      <c r="J983" s="147"/>
    </row>
    <row r="984" spans="3:10" ht="15.75" customHeight="1">
      <c r="C984" s="191"/>
      <c r="D984" s="191"/>
      <c r="E984" s="221"/>
      <c r="F984" s="210"/>
      <c r="G984" s="210"/>
      <c r="H984" s="210"/>
      <c r="J984" s="147"/>
    </row>
    <row r="985" spans="3:10" ht="15.75" customHeight="1">
      <c r="C985" s="191"/>
      <c r="D985" s="191"/>
      <c r="E985" s="221"/>
      <c r="F985" s="210"/>
      <c r="G985" s="210"/>
      <c r="H985" s="210"/>
      <c r="J985" s="147"/>
    </row>
    <row r="986" spans="3:10" ht="15.75" customHeight="1">
      <c r="C986" s="191"/>
      <c r="D986" s="191"/>
      <c r="E986" s="221"/>
      <c r="F986" s="210"/>
      <c r="G986" s="210"/>
      <c r="H986" s="210"/>
      <c r="J986" s="147"/>
    </row>
    <row r="987" spans="3:10" ht="15.75" customHeight="1">
      <c r="C987" s="191"/>
      <c r="D987" s="191"/>
      <c r="E987" s="221"/>
      <c r="F987" s="210"/>
      <c r="G987" s="210"/>
      <c r="H987" s="210"/>
      <c r="J987" s="147"/>
    </row>
    <row r="988" spans="3:10" ht="15.75" customHeight="1">
      <c r="C988" s="191"/>
      <c r="D988" s="191"/>
      <c r="E988" s="221"/>
      <c r="F988" s="210"/>
      <c r="G988" s="210"/>
      <c r="H988" s="210"/>
      <c r="J988" s="147"/>
    </row>
    <row r="989" spans="3:10" ht="15.75" customHeight="1">
      <c r="C989" s="191"/>
      <c r="D989" s="191"/>
      <c r="E989" s="221"/>
      <c r="F989" s="210"/>
      <c r="G989" s="210"/>
      <c r="H989" s="210"/>
      <c r="J989" s="147"/>
    </row>
    <row r="990" spans="3:10" ht="15.75" customHeight="1">
      <c r="C990" s="191"/>
      <c r="D990" s="191"/>
      <c r="E990" s="221"/>
      <c r="F990" s="210"/>
      <c r="G990" s="210"/>
      <c r="H990" s="210"/>
      <c r="J990" s="147"/>
    </row>
    <row r="991" spans="3:10" ht="15.75" customHeight="1">
      <c r="C991" s="191"/>
      <c r="D991" s="191"/>
      <c r="E991" s="221"/>
      <c r="F991" s="210"/>
      <c r="G991" s="210"/>
      <c r="H991" s="210"/>
      <c r="J991" s="147"/>
    </row>
    <row r="992" spans="3:10" ht="15.75" customHeight="1">
      <c r="C992" s="191"/>
      <c r="D992" s="191"/>
      <c r="E992" s="221"/>
      <c r="F992" s="210"/>
      <c r="G992" s="210"/>
      <c r="H992" s="210"/>
      <c r="J992" s="147"/>
    </row>
    <row r="993" spans="3:10" ht="15.75" customHeight="1">
      <c r="C993" s="191"/>
      <c r="D993" s="191"/>
      <c r="E993" s="221"/>
      <c r="F993" s="210"/>
      <c r="G993" s="210"/>
      <c r="H993" s="210"/>
      <c r="J993" s="147"/>
    </row>
    <row r="994" spans="3:10" ht="15.75" customHeight="1">
      <c r="C994" s="191"/>
      <c r="D994" s="191"/>
      <c r="E994" s="221"/>
      <c r="F994" s="210"/>
      <c r="G994" s="210"/>
      <c r="H994" s="210"/>
      <c r="J994" s="147"/>
    </row>
    <row r="995" spans="3:10" ht="15.75" customHeight="1">
      <c r="C995" s="191"/>
      <c r="D995" s="191"/>
      <c r="E995" s="221"/>
      <c r="F995" s="210"/>
      <c r="G995" s="210"/>
      <c r="H995" s="210"/>
      <c r="J995" s="147"/>
    </row>
    <row r="996" spans="3:10" ht="15.75" customHeight="1">
      <c r="C996" s="191"/>
      <c r="D996" s="191"/>
      <c r="E996" s="221"/>
      <c r="F996" s="210"/>
      <c r="G996" s="210"/>
      <c r="H996" s="210"/>
      <c r="J996" s="147"/>
    </row>
    <row r="997" spans="3:10" ht="15.75" customHeight="1">
      <c r="C997" s="191"/>
      <c r="D997" s="191"/>
      <c r="E997" s="221"/>
      <c r="F997" s="210"/>
      <c r="G997" s="210"/>
      <c r="H997" s="210"/>
      <c r="J997" s="147"/>
    </row>
    <row r="998" spans="3:10" ht="15.75" customHeight="1">
      <c r="C998" s="191"/>
      <c r="D998" s="191"/>
      <c r="E998" s="221"/>
      <c r="F998" s="210"/>
      <c r="G998" s="210"/>
      <c r="H998" s="210"/>
      <c r="J998" s="147"/>
    </row>
    <row r="999" spans="3:10" ht="15.75" customHeight="1">
      <c r="C999" s="191"/>
      <c r="D999" s="191"/>
      <c r="E999" s="221"/>
      <c r="F999" s="210"/>
      <c r="G999" s="210"/>
      <c r="H999" s="210"/>
      <c r="J999" s="147"/>
    </row>
    <row r="1000" spans="3:10" ht="15.75" customHeight="1">
      <c r="C1000" s="191"/>
      <c r="D1000" s="191"/>
      <c r="E1000" s="221"/>
      <c r="F1000" s="210"/>
      <c r="G1000" s="210"/>
      <c r="H1000" s="210"/>
      <c r="J1000" s="147"/>
    </row>
  </sheetData>
  <mergeCells count="4">
    <mergeCell ref="D2:H2"/>
    <mergeCell ref="A5:J5"/>
    <mergeCell ref="A13:J13"/>
    <mergeCell ref="A15:J15"/>
  </mergeCells>
  <hyperlinks>
    <hyperlink ref="D8" r:id="rId1" xr:uid="{00000000-0004-0000-1200-000000000000}"/>
    <hyperlink ref="D9" r:id="rId2" xr:uid="{00000000-0004-0000-1200-000001000000}"/>
    <hyperlink ref="D10" r:id="rId3" xr:uid="{00000000-0004-0000-1200-000002000000}"/>
  </hyperlink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c r="A1" s="8" t="s">
        <v>280</v>
      </c>
    </row>
    <row r="2" spans="1:26" ht="27.75" customHeight="1">
      <c r="D2" s="309" t="s">
        <v>116</v>
      </c>
      <c r="E2" s="310"/>
      <c r="F2" s="310"/>
      <c r="G2" s="310"/>
      <c r="H2" s="310"/>
    </row>
    <row r="3" spans="1:26" ht="12.75" customHeight="1"/>
    <row r="4" spans="1:26" ht="12.75" customHeight="1"/>
    <row r="5" spans="1:26" ht="43.5" customHeight="1">
      <c r="A5" s="311" t="s">
        <v>117</v>
      </c>
      <c r="B5" s="297"/>
      <c r="C5" s="297"/>
      <c r="D5" s="297"/>
      <c r="E5" s="297"/>
      <c r="F5" s="297"/>
      <c r="G5" s="297"/>
      <c r="H5" s="297"/>
      <c r="I5" s="297"/>
      <c r="J5" s="298"/>
    </row>
    <row r="6" spans="1:26" ht="15.75" customHeight="1"/>
    <row r="7" spans="1:26" ht="75.75" customHeight="1">
      <c r="A7" s="81" t="s">
        <v>118</v>
      </c>
      <c r="B7" s="106" t="s">
        <v>446</v>
      </c>
      <c r="C7" s="82" t="s">
        <v>447</v>
      </c>
      <c r="D7" s="82" t="s">
        <v>448</v>
      </c>
      <c r="E7" s="106" t="s">
        <v>449</v>
      </c>
      <c r="F7" s="107" t="s">
        <v>450</v>
      </c>
      <c r="G7" s="108" t="s">
        <v>451</v>
      </c>
      <c r="H7" s="106" t="s">
        <v>125</v>
      </c>
      <c r="I7" s="106" t="s">
        <v>452</v>
      </c>
      <c r="J7" s="106" t="s">
        <v>453</v>
      </c>
      <c r="K7" s="85"/>
      <c r="L7" s="85"/>
      <c r="M7" s="85"/>
      <c r="N7" s="85"/>
      <c r="O7" s="85"/>
      <c r="P7" s="85"/>
      <c r="Q7" s="85"/>
      <c r="R7" s="85"/>
      <c r="S7" s="85"/>
      <c r="T7" s="85"/>
      <c r="U7" s="85"/>
      <c r="V7" s="85"/>
      <c r="W7" s="85"/>
      <c r="X7" s="85"/>
      <c r="Y7" s="85"/>
      <c r="Z7" s="85"/>
    </row>
    <row r="8" spans="1:26" ht="123" customHeight="1">
      <c r="A8" s="119" t="s">
        <v>128</v>
      </c>
      <c r="B8" s="109" t="s">
        <v>319</v>
      </c>
      <c r="C8" s="88" t="s">
        <v>434</v>
      </c>
      <c r="D8" s="229" t="s">
        <v>454</v>
      </c>
      <c r="E8" s="169">
        <v>31900</v>
      </c>
      <c r="F8" s="169">
        <v>31900</v>
      </c>
      <c r="G8" s="103">
        <v>8.76</v>
      </c>
      <c r="H8" s="103" t="s">
        <v>292</v>
      </c>
      <c r="I8" s="230" t="s">
        <v>455</v>
      </c>
      <c r="J8" s="231" t="s">
        <v>456</v>
      </c>
    </row>
    <row r="9" spans="1:26" ht="92.25" customHeight="1">
      <c r="A9" s="119" t="s">
        <v>135</v>
      </c>
      <c r="B9" s="113" t="s">
        <v>289</v>
      </c>
      <c r="C9" s="88" t="s">
        <v>290</v>
      </c>
      <c r="D9" s="182" t="s">
        <v>457</v>
      </c>
      <c r="E9" s="102">
        <v>28370</v>
      </c>
      <c r="F9" s="102">
        <v>28370</v>
      </c>
      <c r="G9" s="103">
        <v>7.79</v>
      </c>
      <c r="H9" s="103" t="s">
        <v>292</v>
      </c>
      <c r="I9" s="150" t="s">
        <v>293</v>
      </c>
      <c r="J9" s="232" t="s">
        <v>379</v>
      </c>
    </row>
    <row r="10" spans="1:26" ht="123" customHeight="1">
      <c r="A10" s="119" t="s">
        <v>144</v>
      </c>
      <c r="B10" s="189" t="s">
        <v>289</v>
      </c>
      <c r="C10" s="109" t="s">
        <v>415</v>
      </c>
      <c r="D10" s="233" t="s">
        <v>458</v>
      </c>
      <c r="E10" s="169">
        <v>20999</v>
      </c>
      <c r="F10" s="169">
        <v>20999</v>
      </c>
      <c r="G10" s="103">
        <v>5.65</v>
      </c>
      <c r="H10" s="103" t="s">
        <v>292</v>
      </c>
      <c r="I10" s="188" t="s">
        <v>459</v>
      </c>
      <c r="J10" s="234" t="s">
        <v>460</v>
      </c>
    </row>
    <row r="11" spans="1:26" ht="15" hidden="1" customHeight="1">
      <c r="A11" s="96"/>
      <c r="B11" s="128"/>
      <c r="C11" s="128"/>
      <c r="D11" s="128"/>
      <c r="E11" s="128"/>
      <c r="F11" s="128"/>
      <c r="G11" s="128"/>
      <c r="H11" s="128"/>
      <c r="I11" s="128"/>
      <c r="J11" s="128"/>
    </row>
    <row r="12" spans="1:26" ht="12.75" customHeight="1"/>
    <row r="13" spans="1:26" ht="138.75" customHeight="1">
      <c r="A13" s="312" t="s">
        <v>461</v>
      </c>
      <c r="B13" s="297"/>
      <c r="C13" s="297"/>
      <c r="D13" s="297"/>
      <c r="E13" s="297"/>
      <c r="F13" s="297"/>
      <c r="G13" s="297"/>
      <c r="H13" s="297"/>
      <c r="I13" s="297"/>
      <c r="J13" s="298"/>
    </row>
    <row r="14" spans="1:26" ht="12.75" customHeight="1"/>
    <row r="15" spans="1:26" ht="75" customHeight="1">
      <c r="A15" s="312" t="s">
        <v>462</v>
      </c>
      <c r="B15" s="297"/>
      <c r="C15" s="297"/>
      <c r="D15" s="297"/>
      <c r="E15" s="297"/>
      <c r="F15" s="297"/>
      <c r="G15" s="297"/>
      <c r="H15" s="297"/>
      <c r="I15" s="297"/>
      <c r="J15" s="29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98"/>
      <c r="E26" s="98"/>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ef="D8" r:id="rId1" xr:uid="{00000000-0004-0000-1300-000000000000}"/>
    <hyperlink ref="D9" r:id="rId2" xr:uid="{00000000-0004-0000-1300-000001000000}"/>
    <hyperlink ref="D10" r:id="rId3" location="polycard_client=recommendations_vip-v2p&amp;reco_backend=ranker_retrieval_system_org&amp;reco_model=rk_ent_v3_retsys_org&amp;reco_client=vip-v2p&amp;reco_item_pos=1&amp;reco_backend_type=low_level&amp;reco_id=30c5e1a3-7b01-45ad-aa7f-6a4e19091b0b&amp;wid=MCO1854512255&amp;sid=recos" xr:uid="{00000000-0004-0000-1300-000002000000}"/>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c r="A1" s="8"/>
      <c r="E1" s="210"/>
      <c r="F1" s="210"/>
      <c r="G1" s="210"/>
    </row>
    <row r="2" spans="1:26" ht="27.75" customHeight="1">
      <c r="D2" s="309" t="s">
        <v>116</v>
      </c>
      <c r="E2" s="310"/>
      <c r="F2" s="310"/>
      <c r="G2" s="310"/>
      <c r="H2" s="310"/>
    </row>
    <row r="3" spans="1:26" ht="12.75" customHeight="1">
      <c r="E3" s="210"/>
      <c r="F3" s="210"/>
      <c r="G3" s="210"/>
    </row>
    <row r="4" spans="1:26" ht="12.75" customHeight="1">
      <c r="E4" s="210"/>
      <c r="F4" s="210"/>
      <c r="G4" s="210"/>
    </row>
    <row r="5" spans="1:26" ht="43.5" customHeight="1">
      <c r="A5" s="311" t="s">
        <v>117</v>
      </c>
      <c r="B5" s="297"/>
      <c r="C5" s="297"/>
      <c r="D5" s="297"/>
      <c r="E5" s="297"/>
      <c r="F5" s="297"/>
      <c r="G5" s="297"/>
      <c r="H5" s="297"/>
      <c r="I5" s="297"/>
      <c r="J5" s="298"/>
    </row>
    <row r="6" spans="1:26" ht="15.75" customHeight="1">
      <c r="E6" s="210"/>
      <c r="F6" s="210"/>
      <c r="G6" s="210"/>
    </row>
    <row r="7" spans="1:26" ht="75.75" customHeight="1">
      <c r="A7" s="81" t="s">
        <v>118</v>
      </c>
      <c r="B7" s="106" t="s">
        <v>463</v>
      </c>
      <c r="C7" s="82" t="s">
        <v>464</v>
      </c>
      <c r="D7" s="106" t="s">
        <v>465</v>
      </c>
      <c r="E7" s="164" t="s">
        <v>466</v>
      </c>
      <c r="F7" s="235" t="s">
        <v>467</v>
      </c>
      <c r="G7" s="236" t="s">
        <v>468</v>
      </c>
      <c r="H7" s="106" t="s">
        <v>125</v>
      </c>
      <c r="I7" s="82" t="s">
        <v>469</v>
      </c>
      <c r="J7" s="106" t="s">
        <v>470</v>
      </c>
      <c r="K7" s="85"/>
      <c r="L7" s="85"/>
      <c r="M7" s="85"/>
      <c r="N7" s="85"/>
      <c r="O7" s="85"/>
      <c r="P7" s="85"/>
      <c r="Q7" s="85"/>
      <c r="R7" s="85"/>
      <c r="S7" s="85"/>
      <c r="T7" s="85"/>
      <c r="U7" s="85"/>
      <c r="V7" s="85"/>
      <c r="W7" s="85"/>
      <c r="X7" s="85"/>
      <c r="Y7" s="85"/>
      <c r="Z7" s="85"/>
    </row>
    <row r="8" spans="1:26" ht="50.25" customHeight="1">
      <c r="A8" s="119" t="s">
        <v>128</v>
      </c>
      <c r="B8" s="150" t="s">
        <v>471</v>
      </c>
      <c r="C8" s="237" t="s">
        <v>472</v>
      </c>
      <c r="D8" s="238" t="s">
        <v>473</v>
      </c>
      <c r="E8" s="239" t="s">
        <v>474</v>
      </c>
      <c r="F8" s="240" t="s">
        <v>475</v>
      </c>
      <c r="G8" s="240" t="s">
        <v>476</v>
      </c>
      <c r="H8" s="241" t="s">
        <v>292</v>
      </c>
      <c r="I8" s="31" t="s">
        <v>477</v>
      </c>
      <c r="J8" s="185" t="s">
        <v>478</v>
      </c>
    </row>
    <row r="9" spans="1:26" ht="50.25" customHeight="1">
      <c r="A9" s="119" t="s">
        <v>135</v>
      </c>
      <c r="B9" s="150" t="s">
        <v>479</v>
      </c>
      <c r="C9" s="238" t="s">
        <v>480</v>
      </c>
      <c r="D9" s="242" t="s">
        <v>481</v>
      </c>
      <c r="E9" s="243" t="s">
        <v>482</v>
      </c>
      <c r="F9" s="240" t="s">
        <v>483</v>
      </c>
      <c r="G9" s="240" t="s">
        <v>484</v>
      </c>
      <c r="H9" s="241" t="s">
        <v>292</v>
      </c>
      <c r="I9" s="31" t="s">
        <v>485</v>
      </c>
      <c r="J9" s="185" t="s">
        <v>486</v>
      </c>
    </row>
    <row r="10" spans="1:26" ht="50.25" customHeight="1">
      <c r="A10" s="119" t="s">
        <v>144</v>
      </c>
      <c r="B10" s="150" t="s">
        <v>487</v>
      </c>
      <c r="C10" s="238" t="s">
        <v>488</v>
      </c>
      <c r="D10" s="242" t="s">
        <v>489</v>
      </c>
      <c r="E10" s="243" t="s">
        <v>490</v>
      </c>
      <c r="F10" s="244" t="s">
        <v>491</v>
      </c>
      <c r="G10" s="240" t="s">
        <v>492</v>
      </c>
      <c r="H10" s="241" t="s">
        <v>493</v>
      </c>
      <c r="I10" s="31" t="s">
        <v>494</v>
      </c>
      <c r="J10" s="245" t="s">
        <v>495</v>
      </c>
    </row>
    <row r="11" spans="1:26" ht="15" hidden="1" customHeight="1">
      <c r="A11" s="96"/>
      <c r="B11" s="128"/>
      <c r="C11" s="128"/>
      <c r="D11" s="128"/>
      <c r="E11" s="178"/>
      <c r="F11" s="178"/>
      <c r="G11" s="177">
        <f>F11+E11</f>
        <v>0</v>
      </c>
      <c r="H11" s="128"/>
      <c r="I11" s="128"/>
      <c r="J11" s="148"/>
    </row>
    <row r="12" spans="1:26" ht="12.75" customHeight="1">
      <c r="E12" s="210"/>
      <c r="F12" s="210"/>
      <c r="G12" s="246"/>
      <c r="J12" s="148"/>
    </row>
    <row r="13" spans="1:26" ht="138.75" customHeight="1">
      <c r="A13" s="312" t="s">
        <v>496</v>
      </c>
      <c r="B13" s="297"/>
      <c r="C13" s="297"/>
      <c r="D13" s="297"/>
      <c r="E13" s="297"/>
      <c r="F13" s="297"/>
      <c r="G13" s="297"/>
      <c r="H13" s="297"/>
      <c r="I13" s="297"/>
      <c r="J13" s="298"/>
    </row>
    <row r="14" spans="1:26" ht="12.75" customHeight="1">
      <c r="E14" s="210"/>
      <c r="F14" s="210"/>
      <c r="G14" s="210"/>
    </row>
    <row r="15" spans="1:26" ht="75" customHeight="1">
      <c r="A15" s="312" t="s">
        <v>497</v>
      </c>
      <c r="B15" s="297"/>
      <c r="C15" s="297"/>
      <c r="D15" s="297"/>
      <c r="E15" s="297"/>
      <c r="F15" s="297"/>
      <c r="G15" s="297"/>
      <c r="H15" s="297"/>
      <c r="I15" s="297"/>
      <c r="J15" s="298"/>
    </row>
    <row r="16" spans="1:26" ht="12.75" customHeight="1">
      <c r="E16" s="210"/>
      <c r="F16" s="210"/>
      <c r="G16" s="210"/>
    </row>
    <row r="17" spans="4:7" ht="12.75" customHeight="1">
      <c r="E17" s="210"/>
      <c r="F17" s="210"/>
      <c r="G17" s="210"/>
    </row>
    <row r="18" spans="4:7" ht="12.75" customHeight="1">
      <c r="E18" s="210"/>
      <c r="F18" s="210"/>
      <c r="G18" s="210"/>
    </row>
    <row r="19" spans="4:7" ht="12.75" customHeight="1">
      <c r="E19" s="210"/>
      <c r="F19" s="210"/>
      <c r="G19" s="210"/>
    </row>
    <row r="20" spans="4:7" ht="12.75" customHeight="1">
      <c r="E20" s="210"/>
      <c r="F20" s="210"/>
      <c r="G20" s="210"/>
    </row>
    <row r="21" spans="4:7" ht="12.75" customHeight="1">
      <c r="E21" s="210"/>
      <c r="F21" s="210"/>
      <c r="G21" s="210"/>
    </row>
    <row r="22" spans="4:7" ht="12.75" customHeight="1">
      <c r="E22" s="210"/>
      <c r="F22" s="210"/>
      <c r="G22" s="210"/>
    </row>
    <row r="23" spans="4:7" ht="12.75" customHeight="1">
      <c r="E23" s="210"/>
      <c r="F23" s="210"/>
      <c r="G23" s="210"/>
    </row>
    <row r="24" spans="4:7" ht="12.75" customHeight="1">
      <c r="E24" s="210"/>
      <c r="F24" s="210"/>
      <c r="G24" s="210"/>
    </row>
    <row r="25" spans="4:7" ht="12.75" customHeight="1">
      <c r="E25" s="210"/>
      <c r="F25" s="210"/>
      <c r="G25" s="210"/>
    </row>
    <row r="26" spans="4:7" ht="12.75" customHeight="1">
      <c r="D26" s="98"/>
      <c r="E26" s="179"/>
      <c r="F26" s="216"/>
      <c r="G26" s="216"/>
    </row>
    <row r="27" spans="4:7" ht="12.75" customHeight="1">
      <c r="E27" s="210"/>
      <c r="F27" s="210"/>
      <c r="G27" s="210"/>
    </row>
    <row r="28" spans="4:7" ht="12.75" customHeight="1">
      <c r="E28" s="210"/>
      <c r="F28" s="210"/>
      <c r="G28" s="210"/>
    </row>
    <row r="29" spans="4:7" ht="12.75" customHeight="1">
      <c r="E29" s="210"/>
      <c r="F29" s="210"/>
      <c r="G29" s="210"/>
    </row>
    <row r="30" spans="4:7" ht="12.75" customHeight="1">
      <c r="E30" s="210"/>
      <c r="F30" s="210"/>
      <c r="G30" s="210"/>
    </row>
    <row r="31" spans="4:7" ht="12.75" customHeight="1">
      <c r="E31" s="210"/>
      <c r="F31" s="210"/>
      <c r="G31" s="210"/>
    </row>
    <row r="32" spans="4:7" ht="12.75" customHeight="1">
      <c r="E32" s="210"/>
      <c r="F32" s="210"/>
      <c r="G32" s="210"/>
    </row>
    <row r="33" spans="5:7" ht="12.75" customHeight="1">
      <c r="E33" s="210"/>
      <c r="F33" s="210"/>
      <c r="G33" s="210"/>
    </row>
    <row r="34" spans="5:7" ht="12.75" customHeight="1">
      <c r="E34" s="210"/>
      <c r="F34" s="210"/>
      <c r="G34" s="210"/>
    </row>
    <row r="35" spans="5:7" ht="12.75" customHeight="1">
      <c r="E35" s="210"/>
      <c r="F35" s="210"/>
      <c r="G35" s="210"/>
    </row>
    <row r="36" spans="5:7" ht="12.75" customHeight="1">
      <c r="E36" s="210"/>
      <c r="F36" s="210"/>
      <c r="G36" s="210"/>
    </row>
    <row r="37" spans="5:7" ht="12.75" customHeight="1">
      <c r="E37" s="210"/>
      <c r="F37" s="210"/>
      <c r="G37" s="210"/>
    </row>
    <row r="38" spans="5:7" ht="12.75" customHeight="1">
      <c r="E38" s="210"/>
      <c r="F38" s="210"/>
      <c r="G38" s="210"/>
    </row>
    <row r="39" spans="5:7" ht="12.75" customHeight="1">
      <c r="E39" s="210"/>
      <c r="F39" s="210"/>
      <c r="G39" s="210"/>
    </row>
    <row r="40" spans="5:7" ht="12.75" customHeight="1">
      <c r="E40" s="210"/>
      <c r="F40" s="210"/>
      <c r="G40" s="210"/>
    </row>
    <row r="41" spans="5:7" ht="12.75" customHeight="1">
      <c r="E41" s="210"/>
      <c r="F41" s="210"/>
      <c r="G41" s="210"/>
    </row>
    <row r="42" spans="5:7" ht="12.75" customHeight="1">
      <c r="E42" s="210"/>
      <c r="F42" s="210"/>
      <c r="G42" s="210"/>
    </row>
    <row r="43" spans="5:7" ht="12.75" customHeight="1">
      <c r="E43" s="210"/>
      <c r="F43" s="210"/>
      <c r="G43" s="210"/>
    </row>
    <row r="44" spans="5:7" ht="12.75" customHeight="1">
      <c r="E44" s="210"/>
      <c r="F44" s="210"/>
      <c r="G44" s="210"/>
    </row>
    <row r="45" spans="5:7" ht="12.75" customHeight="1">
      <c r="E45" s="210"/>
      <c r="F45" s="210"/>
      <c r="G45" s="210"/>
    </row>
    <row r="46" spans="5:7" ht="12.75" customHeight="1">
      <c r="E46" s="210"/>
      <c r="F46" s="210"/>
      <c r="G46" s="210"/>
    </row>
    <row r="47" spans="5:7" ht="12.75" customHeight="1">
      <c r="E47" s="210"/>
      <c r="F47" s="210"/>
      <c r="G47" s="210"/>
    </row>
    <row r="48" spans="5:7" ht="12.75" customHeight="1">
      <c r="E48" s="210"/>
      <c r="F48" s="210"/>
      <c r="G48" s="210"/>
    </row>
    <row r="49" spans="5:7" ht="12.75" customHeight="1">
      <c r="E49" s="210"/>
      <c r="F49" s="210"/>
      <c r="G49" s="210"/>
    </row>
    <row r="50" spans="5:7" ht="12.75" customHeight="1">
      <c r="E50" s="210"/>
      <c r="F50" s="210"/>
      <c r="G50" s="210"/>
    </row>
    <row r="51" spans="5:7" ht="12.75" customHeight="1">
      <c r="E51" s="210"/>
      <c r="F51" s="210"/>
      <c r="G51" s="210"/>
    </row>
    <row r="52" spans="5:7" ht="12.75" customHeight="1">
      <c r="E52" s="210"/>
      <c r="F52" s="210"/>
      <c r="G52" s="210"/>
    </row>
    <row r="53" spans="5:7" ht="12.75" customHeight="1">
      <c r="E53" s="210"/>
      <c r="F53" s="210"/>
      <c r="G53" s="210"/>
    </row>
    <row r="54" spans="5:7" ht="12.75" customHeight="1">
      <c r="E54" s="210"/>
      <c r="F54" s="210"/>
      <c r="G54" s="210"/>
    </row>
    <row r="55" spans="5:7" ht="12.75" customHeight="1">
      <c r="E55" s="210"/>
      <c r="F55" s="210"/>
      <c r="G55" s="210"/>
    </row>
    <row r="56" spans="5:7" ht="12.75" customHeight="1">
      <c r="E56" s="210"/>
      <c r="F56" s="210"/>
      <c r="G56" s="210"/>
    </row>
    <row r="57" spans="5:7" ht="12.75" customHeight="1">
      <c r="E57" s="210"/>
      <c r="F57" s="210"/>
      <c r="G57" s="210"/>
    </row>
    <row r="58" spans="5:7" ht="12.75" customHeight="1">
      <c r="E58" s="210"/>
      <c r="F58" s="210"/>
      <c r="G58" s="210"/>
    </row>
    <row r="59" spans="5:7" ht="12.75" customHeight="1">
      <c r="E59" s="210"/>
      <c r="F59" s="210"/>
      <c r="G59" s="210"/>
    </row>
    <row r="60" spans="5:7" ht="12.75" customHeight="1">
      <c r="E60" s="210"/>
      <c r="F60" s="210"/>
      <c r="G60" s="210"/>
    </row>
    <row r="61" spans="5:7" ht="12.75" customHeight="1">
      <c r="E61" s="210"/>
      <c r="F61" s="210"/>
      <c r="G61" s="210"/>
    </row>
    <row r="62" spans="5:7" ht="12.75" customHeight="1">
      <c r="E62" s="210"/>
      <c r="F62" s="210"/>
      <c r="G62" s="210"/>
    </row>
    <row r="63" spans="5:7" ht="12.75" customHeight="1">
      <c r="E63" s="210"/>
      <c r="F63" s="210"/>
      <c r="G63" s="210"/>
    </row>
    <row r="64" spans="5:7" ht="12.75" customHeight="1">
      <c r="E64" s="210"/>
      <c r="F64" s="210"/>
      <c r="G64" s="210"/>
    </row>
    <row r="65" spans="5:7" ht="12.75" customHeight="1">
      <c r="E65" s="210"/>
      <c r="F65" s="210"/>
      <c r="G65" s="210"/>
    </row>
    <row r="66" spans="5:7" ht="12.75" customHeight="1">
      <c r="E66" s="210"/>
      <c r="F66" s="210"/>
      <c r="G66" s="210"/>
    </row>
    <row r="67" spans="5:7" ht="12.75" customHeight="1">
      <c r="E67" s="210"/>
      <c r="F67" s="210"/>
      <c r="G67" s="210"/>
    </row>
    <row r="68" spans="5:7" ht="12.75" customHeight="1">
      <c r="E68" s="210"/>
      <c r="F68" s="210"/>
      <c r="G68" s="210"/>
    </row>
    <row r="69" spans="5:7" ht="12.75" customHeight="1">
      <c r="E69" s="210"/>
      <c r="F69" s="210"/>
      <c r="G69" s="210"/>
    </row>
    <row r="70" spans="5:7" ht="12.75" customHeight="1">
      <c r="E70" s="210"/>
      <c r="F70" s="210"/>
      <c r="G70" s="210"/>
    </row>
    <row r="71" spans="5:7" ht="12.75" customHeight="1">
      <c r="E71" s="210"/>
      <c r="F71" s="210"/>
      <c r="G71" s="210"/>
    </row>
    <row r="72" spans="5:7" ht="12.75" customHeight="1">
      <c r="E72" s="210"/>
      <c r="F72" s="210"/>
      <c r="G72" s="210"/>
    </row>
    <row r="73" spans="5:7" ht="12.75" customHeight="1">
      <c r="E73" s="210"/>
      <c r="F73" s="210"/>
      <c r="G73" s="210"/>
    </row>
    <row r="74" spans="5:7" ht="12.75" customHeight="1">
      <c r="E74" s="210"/>
      <c r="F74" s="210"/>
      <c r="G74" s="210"/>
    </row>
    <row r="75" spans="5:7" ht="12.75" customHeight="1">
      <c r="E75" s="210"/>
      <c r="F75" s="210"/>
      <c r="G75" s="210"/>
    </row>
    <row r="76" spans="5:7" ht="12.75" customHeight="1">
      <c r="E76" s="210"/>
      <c r="F76" s="210"/>
      <c r="G76" s="210"/>
    </row>
    <row r="77" spans="5:7" ht="12.75" customHeight="1">
      <c r="E77" s="210"/>
      <c r="F77" s="210"/>
      <c r="G77" s="210"/>
    </row>
    <row r="78" spans="5:7" ht="12.75" customHeight="1">
      <c r="E78" s="210"/>
      <c r="F78" s="210"/>
      <c r="G78" s="210"/>
    </row>
    <row r="79" spans="5:7" ht="12.75" customHeight="1">
      <c r="E79" s="210"/>
      <c r="F79" s="210"/>
      <c r="G79" s="210"/>
    </row>
    <row r="80" spans="5:7" ht="12.75" customHeight="1">
      <c r="E80" s="210"/>
      <c r="F80" s="210"/>
      <c r="G80" s="210"/>
    </row>
    <row r="81" spans="5:7" ht="12.75" customHeight="1">
      <c r="E81" s="210"/>
      <c r="F81" s="210"/>
      <c r="G81" s="210"/>
    </row>
    <row r="82" spans="5:7" ht="12.75" customHeight="1">
      <c r="E82" s="210"/>
      <c r="F82" s="210"/>
      <c r="G82" s="210"/>
    </row>
    <row r="83" spans="5:7" ht="12.75" customHeight="1">
      <c r="E83" s="210"/>
      <c r="F83" s="210"/>
      <c r="G83" s="210"/>
    </row>
    <row r="84" spans="5:7" ht="12.75" customHeight="1">
      <c r="E84" s="210"/>
      <c r="F84" s="210"/>
      <c r="G84" s="210"/>
    </row>
    <row r="85" spans="5:7" ht="12.75" customHeight="1">
      <c r="E85" s="210"/>
      <c r="F85" s="210"/>
      <c r="G85" s="210"/>
    </row>
    <row r="86" spans="5:7" ht="12.75" customHeight="1">
      <c r="E86" s="210"/>
      <c r="F86" s="210"/>
      <c r="G86" s="210"/>
    </row>
    <row r="87" spans="5:7" ht="12.75" customHeight="1">
      <c r="E87" s="210"/>
      <c r="F87" s="210"/>
      <c r="G87" s="210"/>
    </row>
    <row r="88" spans="5:7" ht="12.75" customHeight="1">
      <c r="E88" s="210"/>
      <c r="F88" s="210"/>
      <c r="G88" s="210"/>
    </row>
    <row r="89" spans="5:7" ht="12.75" customHeight="1">
      <c r="E89" s="210"/>
      <c r="F89" s="210"/>
      <c r="G89" s="210"/>
    </row>
    <row r="90" spans="5:7" ht="12.75" customHeight="1">
      <c r="E90" s="210"/>
      <c r="F90" s="210"/>
      <c r="G90" s="210"/>
    </row>
    <row r="91" spans="5:7" ht="12.75" customHeight="1">
      <c r="E91" s="210"/>
      <c r="F91" s="210"/>
      <c r="G91" s="210"/>
    </row>
    <row r="92" spans="5:7" ht="12.75" customHeight="1">
      <c r="E92" s="210"/>
      <c r="F92" s="210"/>
      <c r="G92" s="210"/>
    </row>
    <row r="93" spans="5:7" ht="12.75" customHeight="1">
      <c r="E93" s="210"/>
      <c r="F93" s="210"/>
      <c r="G93" s="210"/>
    </row>
    <row r="94" spans="5:7" ht="12.75" customHeight="1">
      <c r="E94" s="210"/>
      <c r="F94" s="210"/>
      <c r="G94" s="210"/>
    </row>
    <row r="95" spans="5:7" ht="12.75" customHeight="1">
      <c r="E95" s="210"/>
      <c r="F95" s="210"/>
      <c r="G95" s="210"/>
    </row>
    <row r="96" spans="5:7" ht="12.75" customHeight="1">
      <c r="E96" s="210"/>
      <c r="F96" s="210"/>
      <c r="G96" s="210"/>
    </row>
    <row r="97" spans="5:7" ht="12.75" customHeight="1">
      <c r="E97" s="210"/>
      <c r="F97" s="210"/>
      <c r="G97" s="210"/>
    </row>
    <row r="98" spans="5:7" ht="12.75" customHeight="1">
      <c r="E98" s="210"/>
      <c r="F98" s="210"/>
      <c r="G98" s="210"/>
    </row>
    <row r="99" spans="5:7" ht="12.75" customHeight="1">
      <c r="E99" s="210"/>
      <c r="F99" s="210"/>
      <c r="G99" s="210"/>
    </row>
    <row r="100" spans="5:7" ht="12.75" customHeight="1">
      <c r="E100" s="210"/>
      <c r="F100" s="210"/>
      <c r="G100" s="210"/>
    </row>
    <row r="101" spans="5:7" ht="12.75" customHeight="1">
      <c r="E101" s="210"/>
      <c r="F101" s="210"/>
      <c r="G101" s="210"/>
    </row>
    <row r="102" spans="5:7" ht="12.75" customHeight="1">
      <c r="E102" s="210"/>
      <c r="F102" s="210"/>
      <c r="G102" s="210"/>
    </row>
    <row r="103" spans="5:7" ht="12.75" customHeight="1">
      <c r="E103" s="210"/>
      <c r="F103" s="210"/>
      <c r="G103" s="210"/>
    </row>
    <row r="104" spans="5:7" ht="12.75" customHeight="1">
      <c r="E104" s="210"/>
      <c r="F104" s="210"/>
      <c r="G104" s="210"/>
    </row>
    <row r="105" spans="5:7" ht="12.75" customHeight="1">
      <c r="E105" s="210"/>
      <c r="F105" s="210"/>
      <c r="G105" s="210"/>
    </row>
    <row r="106" spans="5:7" ht="12.75" customHeight="1">
      <c r="E106" s="210"/>
      <c r="F106" s="210"/>
      <c r="G106" s="210"/>
    </row>
    <row r="107" spans="5:7" ht="12.75" customHeight="1">
      <c r="E107" s="210"/>
      <c r="F107" s="210"/>
      <c r="G107" s="210"/>
    </row>
    <row r="108" spans="5:7" ht="12.75" customHeight="1">
      <c r="E108" s="210"/>
      <c r="F108" s="210"/>
      <c r="G108" s="210"/>
    </row>
    <row r="109" spans="5:7" ht="12.75" customHeight="1">
      <c r="E109" s="210"/>
      <c r="F109" s="210"/>
      <c r="G109" s="210"/>
    </row>
    <row r="110" spans="5:7" ht="12.75" customHeight="1">
      <c r="E110" s="210"/>
      <c r="F110" s="210"/>
      <c r="G110" s="210"/>
    </row>
    <row r="111" spans="5:7" ht="12.75" customHeight="1">
      <c r="E111" s="210"/>
      <c r="F111" s="210"/>
      <c r="G111" s="210"/>
    </row>
    <row r="112" spans="5:7" ht="12.75" customHeight="1">
      <c r="E112" s="210"/>
      <c r="F112" s="210"/>
      <c r="G112" s="210"/>
    </row>
    <row r="113" spans="5:7" ht="12.75" customHeight="1">
      <c r="E113" s="210"/>
      <c r="F113" s="210"/>
      <c r="G113" s="210"/>
    </row>
    <row r="114" spans="5:7" ht="12.75" customHeight="1">
      <c r="E114" s="210"/>
      <c r="F114" s="210"/>
      <c r="G114" s="210"/>
    </row>
    <row r="115" spans="5:7" ht="12.75" customHeight="1">
      <c r="E115" s="210"/>
      <c r="F115" s="210"/>
      <c r="G115" s="210"/>
    </row>
    <row r="116" spans="5:7" ht="12.75" customHeight="1">
      <c r="E116" s="210"/>
      <c r="F116" s="210"/>
      <c r="G116" s="210"/>
    </row>
    <row r="117" spans="5:7" ht="12.75" customHeight="1">
      <c r="E117" s="210"/>
      <c r="F117" s="210"/>
      <c r="G117" s="210"/>
    </row>
    <row r="118" spans="5:7" ht="12.75" customHeight="1">
      <c r="E118" s="210"/>
      <c r="F118" s="210"/>
      <c r="G118" s="210"/>
    </row>
    <row r="119" spans="5:7" ht="12.75" customHeight="1">
      <c r="E119" s="210"/>
      <c r="F119" s="210"/>
      <c r="G119" s="210"/>
    </row>
    <row r="120" spans="5:7" ht="12.75" customHeight="1">
      <c r="E120" s="210"/>
      <c r="F120" s="210"/>
      <c r="G120" s="210"/>
    </row>
    <row r="121" spans="5:7" ht="12.75" customHeight="1">
      <c r="E121" s="210"/>
      <c r="F121" s="210"/>
      <c r="G121" s="210"/>
    </row>
    <row r="122" spans="5:7" ht="12.75" customHeight="1">
      <c r="E122" s="210"/>
      <c r="F122" s="210"/>
      <c r="G122" s="210"/>
    </row>
    <row r="123" spans="5:7" ht="12.75" customHeight="1">
      <c r="E123" s="210"/>
      <c r="F123" s="210"/>
      <c r="G123" s="210"/>
    </row>
    <row r="124" spans="5:7" ht="12.75" customHeight="1">
      <c r="E124" s="210"/>
      <c r="F124" s="210"/>
      <c r="G124" s="210"/>
    </row>
    <row r="125" spans="5:7" ht="12.75" customHeight="1">
      <c r="E125" s="210"/>
      <c r="F125" s="210"/>
      <c r="G125" s="210"/>
    </row>
    <row r="126" spans="5:7" ht="12.75" customHeight="1">
      <c r="E126" s="210"/>
      <c r="F126" s="210"/>
      <c r="G126" s="210"/>
    </row>
    <row r="127" spans="5:7" ht="12.75" customHeight="1">
      <c r="E127" s="210"/>
      <c r="F127" s="210"/>
      <c r="G127" s="210"/>
    </row>
    <row r="128" spans="5:7" ht="12.75" customHeight="1">
      <c r="E128" s="210"/>
      <c r="F128" s="210"/>
      <c r="G128" s="210"/>
    </row>
    <row r="129" spans="5:7" ht="12.75" customHeight="1">
      <c r="E129" s="210"/>
      <c r="F129" s="210"/>
      <c r="G129" s="210"/>
    </row>
    <row r="130" spans="5:7" ht="12.75" customHeight="1">
      <c r="E130" s="210"/>
      <c r="F130" s="210"/>
      <c r="G130" s="210"/>
    </row>
    <row r="131" spans="5:7" ht="12.75" customHeight="1">
      <c r="E131" s="210"/>
      <c r="F131" s="210"/>
      <c r="G131" s="210"/>
    </row>
    <row r="132" spans="5:7" ht="12.75" customHeight="1">
      <c r="E132" s="210"/>
      <c r="F132" s="210"/>
      <c r="G132" s="210"/>
    </row>
    <row r="133" spans="5:7" ht="12.75" customHeight="1">
      <c r="E133" s="210"/>
      <c r="F133" s="210"/>
      <c r="G133" s="210"/>
    </row>
    <row r="134" spans="5:7" ht="12.75" customHeight="1">
      <c r="E134" s="210"/>
      <c r="F134" s="210"/>
      <c r="G134" s="210"/>
    </row>
    <row r="135" spans="5:7" ht="12.75" customHeight="1">
      <c r="E135" s="210"/>
      <c r="F135" s="210"/>
      <c r="G135" s="210"/>
    </row>
    <row r="136" spans="5:7" ht="12.75" customHeight="1">
      <c r="E136" s="210"/>
      <c r="F136" s="210"/>
      <c r="G136" s="210"/>
    </row>
    <row r="137" spans="5:7" ht="12.75" customHeight="1">
      <c r="E137" s="210"/>
      <c r="F137" s="210"/>
      <c r="G137" s="210"/>
    </row>
    <row r="138" spans="5:7" ht="12.75" customHeight="1">
      <c r="E138" s="210"/>
      <c r="F138" s="210"/>
      <c r="G138" s="210"/>
    </row>
    <row r="139" spans="5:7" ht="12.75" customHeight="1">
      <c r="E139" s="210"/>
      <c r="F139" s="210"/>
      <c r="G139" s="210"/>
    </row>
    <row r="140" spans="5:7" ht="12.75" customHeight="1">
      <c r="E140" s="210"/>
      <c r="F140" s="210"/>
      <c r="G140" s="210"/>
    </row>
    <row r="141" spans="5:7" ht="12.75" customHeight="1">
      <c r="E141" s="210"/>
      <c r="F141" s="210"/>
      <c r="G141" s="210"/>
    </row>
    <row r="142" spans="5:7" ht="12.75" customHeight="1">
      <c r="E142" s="210"/>
      <c r="F142" s="210"/>
      <c r="G142" s="210"/>
    </row>
    <row r="143" spans="5:7" ht="12.75" customHeight="1">
      <c r="E143" s="210"/>
      <c r="F143" s="210"/>
      <c r="G143" s="210"/>
    </row>
    <row r="144" spans="5:7" ht="12.75" customHeight="1">
      <c r="E144" s="210"/>
      <c r="F144" s="210"/>
      <c r="G144" s="210"/>
    </row>
    <row r="145" spans="5:7" ht="12.75" customHeight="1">
      <c r="E145" s="210"/>
      <c r="F145" s="210"/>
      <c r="G145" s="210"/>
    </row>
    <row r="146" spans="5:7" ht="12.75" customHeight="1">
      <c r="E146" s="210"/>
      <c r="F146" s="210"/>
      <c r="G146" s="210"/>
    </row>
    <row r="147" spans="5:7" ht="12.75" customHeight="1">
      <c r="E147" s="210"/>
      <c r="F147" s="210"/>
      <c r="G147" s="210"/>
    </row>
    <row r="148" spans="5:7" ht="12.75" customHeight="1">
      <c r="E148" s="210"/>
      <c r="F148" s="210"/>
      <c r="G148" s="210"/>
    </row>
    <row r="149" spans="5:7" ht="12.75" customHeight="1">
      <c r="E149" s="210"/>
      <c r="F149" s="210"/>
      <c r="G149" s="210"/>
    </row>
    <row r="150" spans="5:7" ht="12.75" customHeight="1">
      <c r="E150" s="210"/>
      <c r="F150" s="210"/>
      <c r="G150" s="210"/>
    </row>
    <row r="151" spans="5:7" ht="12.75" customHeight="1">
      <c r="E151" s="210"/>
      <c r="F151" s="210"/>
      <c r="G151" s="210"/>
    </row>
    <row r="152" spans="5:7" ht="12.75" customHeight="1">
      <c r="E152" s="210"/>
      <c r="F152" s="210"/>
      <c r="G152" s="210"/>
    </row>
    <row r="153" spans="5:7" ht="12.75" customHeight="1">
      <c r="E153" s="210"/>
      <c r="F153" s="210"/>
      <c r="G153" s="210"/>
    </row>
    <row r="154" spans="5:7" ht="12.75" customHeight="1">
      <c r="E154" s="210"/>
      <c r="F154" s="210"/>
      <c r="G154" s="210"/>
    </row>
    <row r="155" spans="5:7" ht="12.75" customHeight="1">
      <c r="E155" s="210"/>
      <c r="F155" s="210"/>
      <c r="G155" s="210"/>
    </row>
    <row r="156" spans="5:7" ht="12.75" customHeight="1">
      <c r="E156" s="210"/>
      <c r="F156" s="210"/>
      <c r="G156" s="210"/>
    </row>
    <row r="157" spans="5:7" ht="12.75" customHeight="1">
      <c r="E157" s="210"/>
      <c r="F157" s="210"/>
      <c r="G157" s="210"/>
    </row>
    <row r="158" spans="5:7" ht="12.75" customHeight="1">
      <c r="E158" s="210"/>
      <c r="F158" s="210"/>
      <c r="G158" s="210"/>
    </row>
    <row r="159" spans="5:7" ht="12.75" customHeight="1">
      <c r="E159" s="210"/>
      <c r="F159" s="210"/>
      <c r="G159" s="210"/>
    </row>
    <row r="160" spans="5:7" ht="12.75" customHeight="1">
      <c r="E160" s="210"/>
      <c r="F160" s="210"/>
      <c r="G160" s="210"/>
    </row>
    <row r="161" spans="5:7" ht="12.75" customHeight="1">
      <c r="E161" s="210"/>
      <c r="F161" s="210"/>
      <c r="G161" s="210"/>
    </row>
    <row r="162" spans="5:7" ht="12.75" customHeight="1">
      <c r="E162" s="210"/>
      <c r="F162" s="210"/>
      <c r="G162" s="210"/>
    </row>
    <row r="163" spans="5:7" ht="12.75" customHeight="1">
      <c r="E163" s="210"/>
      <c r="F163" s="210"/>
      <c r="G163" s="210"/>
    </row>
    <row r="164" spans="5:7" ht="12.75" customHeight="1">
      <c r="E164" s="210"/>
      <c r="F164" s="210"/>
      <c r="G164" s="210"/>
    </row>
    <row r="165" spans="5:7" ht="12.75" customHeight="1">
      <c r="E165" s="210"/>
      <c r="F165" s="210"/>
      <c r="G165" s="210"/>
    </row>
    <row r="166" spans="5:7" ht="12.75" customHeight="1">
      <c r="E166" s="210"/>
      <c r="F166" s="210"/>
      <c r="G166" s="210"/>
    </row>
    <row r="167" spans="5:7" ht="12.75" customHeight="1">
      <c r="E167" s="210"/>
      <c r="F167" s="210"/>
      <c r="G167" s="210"/>
    </row>
    <row r="168" spans="5:7" ht="12.75" customHeight="1">
      <c r="E168" s="210"/>
      <c r="F168" s="210"/>
      <c r="G168" s="210"/>
    </row>
    <row r="169" spans="5:7" ht="12.75" customHeight="1">
      <c r="E169" s="210"/>
      <c r="F169" s="210"/>
      <c r="G169" s="210"/>
    </row>
    <row r="170" spans="5:7" ht="12.75" customHeight="1">
      <c r="E170" s="210"/>
      <c r="F170" s="210"/>
      <c r="G170" s="210"/>
    </row>
    <row r="171" spans="5:7" ht="12.75" customHeight="1">
      <c r="E171" s="210"/>
      <c r="F171" s="210"/>
      <c r="G171" s="210"/>
    </row>
    <row r="172" spans="5:7" ht="12.75" customHeight="1">
      <c r="E172" s="210"/>
      <c r="F172" s="210"/>
      <c r="G172" s="210"/>
    </row>
    <row r="173" spans="5:7" ht="12.75" customHeight="1">
      <c r="E173" s="210"/>
      <c r="F173" s="210"/>
      <c r="G173" s="210"/>
    </row>
    <row r="174" spans="5:7" ht="12.75" customHeight="1">
      <c r="E174" s="210"/>
      <c r="F174" s="210"/>
      <c r="G174" s="210"/>
    </row>
    <row r="175" spans="5:7" ht="12.75" customHeight="1">
      <c r="E175" s="210"/>
      <c r="F175" s="210"/>
      <c r="G175" s="210"/>
    </row>
    <row r="176" spans="5:7" ht="12.75" customHeight="1">
      <c r="E176" s="210"/>
      <c r="F176" s="210"/>
      <c r="G176" s="210"/>
    </row>
    <row r="177" spans="5:7" ht="12.75" customHeight="1">
      <c r="E177" s="210"/>
      <c r="F177" s="210"/>
      <c r="G177" s="210"/>
    </row>
    <row r="178" spans="5:7" ht="12.75" customHeight="1">
      <c r="E178" s="210"/>
      <c r="F178" s="210"/>
      <c r="G178" s="210"/>
    </row>
    <row r="179" spans="5:7" ht="12.75" customHeight="1">
      <c r="E179" s="210"/>
      <c r="F179" s="210"/>
      <c r="G179" s="210"/>
    </row>
    <row r="180" spans="5:7" ht="12.75" customHeight="1">
      <c r="E180" s="210"/>
      <c r="F180" s="210"/>
      <c r="G180" s="210"/>
    </row>
    <row r="181" spans="5:7" ht="12.75" customHeight="1">
      <c r="E181" s="210"/>
      <c r="F181" s="210"/>
      <c r="G181" s="210"/>
    </row>
    <row r="182" spans="5:7" ht="12.75" customHeight="1">
      <c r="E182" s="210"/>
      <c r="F182" s="210"/>
      <c r="G182" s="210"/>
    </row>
    <row r="183" spans="5:7" ht="12.75" customHeight="1">
      <c r="E183" s="210"/>
      <c r="F183" s="210"/>
      <c r="G183" s="210"/>
    </row>
    <row r="184" spans="5:7" ht="12.75" customHeight="1">
      <c r="E184" s="210"/>
      <c r="F184" s="210"/>
      <c r="G184" s="210"/>
    </row>
    <row r="185" spans="5:7" ht="12.75" customHeight="1">
      <c r="E185" s="210"/>
      <c r="F185" s="210"/>
      <c r="G185" s="210"/>
    </row>
    <row r="186" spans="5:7" ht="12.75" customHeight="1">
      <c r="E186" s="210"/>
      <c r="F186" s="210"/>
      <c r="G186" s="210"/>
    </row>
    <row r="187" spans="5:7" ht="12.75" customHeight="1">
      <c r="E187" s="210"/>
      <c r="F187" s="210"/>
      <c r="G187" s="210"/>
    </row>
    <row r="188" spans="5:7" ht="12.75" customHeight="1">
      <c r="E188" s="210"/>
      <c r="F188" s="210"/>
      <c r="G188" s="210"/>
    </row>
    <row r="189" spans="5:7" ht="12.75" customHeight="1">
      <c r="E189" s="210"/>
      <c r="F189" s="210"/>
      <c r="G189" s="210"/>
    </row>
    <row r="190" spans="5:7" ht="12.75" customHeight="1">
      <c r="E190" s="210"/>
      <c r="F190" s="210"/>
      <c r="G190" s="210"/>
    </row>
    <row r="191" spans="5:7" ht="12.75" customHeight="1">
      <c r="E191" s="210"/>
      <c r="F191" s="210"/>
      <c r="G191" s="210"/>
    </row>
    <row r="192" spans="5:7" ht="12.75" customHeight="1">
      <c r="E192" s="210"/>
      <c r="F192" s="210"/>
      <c r="G192" s="210"/>
    </row>
    <row r="193" spans="5:7" ht="12.75" customHeight="1">
      <c r="E193" s="210"/>
      <c r="F193" s="210"/>
      <c r="G193" s="210"/>
    </row>
    <row r="194" spans="5:7" ht="12.75" customHeight="1">
      <c r="E194" s="210"/>
      <c r="F194" s="210"/>
      <c r="G194" s="210"/>
    </row>
    <row r="195" spans="5:7" ht="12.75" customHeight="1">
      <c r="E195" s="210"/>
      <c r="F195" s="210"/>
      <c r="G195" s="210"/>
    </row>
    <row r="196" spans="5:7" ht="12.75" customHeight="1">
      <c r="E196" s="210"/>
      <c r="F196" s="210"/>
      <c r="G196" s="210"/>
    </row>
    <row r="197" spans="5:7" ht="12.75" customHeight="1">
      <c r="E197" s="210"/>
      <c r="F197" s="210"/>
      <c r="G197" s="210"/>
    </row>
    <row r="198" spans="5:7" ht="12.75" customHeight="1">
      <c r="E198" s="210"/>
      <c r="F198" s="210"/>
      <c r="G198" s="210"/>
    </row>
    <row r="199" spans="5:7" ht="12.75" customHeight="1">
      <c r="E199" s="210"/>
      <c r="F199" s="210"/>
      <c r="G199" s="210"/>
    </row>
    <row r="200" spans="5:7" ht="12.75" customHeight="1">
      <c r="E200" s="210"/>
      <c r="F200" s="210"/>
      <c r="G200" s="210"/>
    </row>
    <row r="201" spans="5:7" ht="12.75" customHeight="1">
      <c r="E201" s="210"/>
      <c r="F201" s="210"/>
      <c r="G201" s="210"/>
    </row>
    <row r="202" spans="5:7" ht="12.75" customHeight="1">
      <c r="E202" s="210"/>
      <c r="F202" s="210"/>
      <c r="G202" s="210"/>
    </row>
    <row r="203" spans="5:7" ht="12.75" customHeight="1">
      <c r="E203" s="210"/>
      <c r="F203" s="210"/>
      <c r="G203" s="210"/>
    </row>
    <row r="204" spans="5:7" ht="12.75" customHeight="1">
      <c r="E204" s="210"/>
      <c r="F204" s="210"/>
      <c r="G204" s="210"/>
    </row>
    <row r="205" spans="5:7" ht="12.75" customHeight="1">
      <c r="E205" s="210"/>
      <c r="F205" s="210"/>
      <c r="G205" s="210"/>
    </row>
    <row r="206" spans="5:7" ht="12.75" customHeight="1">
      <c r="E206" s="210"/>
      <c r="F206" s="210"/>
      <c r="G206" s="210"/>
    </row>
    <row r="207" spans="5:7" ht="12.75" customHeight="1">
      <c r="E207" s="210"/>
      <c r="F207" s="210"/>
      <c r="G207" s="210"/>
    </row>
    <row r="208" spans="5:7" ht="12.75" customHeight="1">
      <c r="E208" s="210"/>
      <c r="F208" s="210"/>
      <c r="G208" s="210"/>
    </row>
    <row r="209" spans="5:7" ht="12.75" customHeight="1">
      <c r="E209" s="210"/>
      <c r="F209" s="210"/>
      <c r="G209" s="210"/>
    </row>
    <row r="210" spans="5:7" ht="12.75" customHeight="1">
      <c r="E210" s="210"/>
      <c r="F210" s="210"/>
      <c r="G210" s="210"/>
    </row>
    <row r="211" spans="5:7" ht="12.75" customHeight="1">
      <c r="E211" s="210"/>
      <c r="F211" s="210"/>
      <c r="G211" s="210"/>
    </row>
    <row r="212" spans="5:7" ht="12.75" customHeight="1">
      <c r="E212" s="210"/>
      <c r="F212" s="210"/>
      <c r="G212" s="210"/>
    </row>
    <row r="213" spans="5:7" ht="12.75" customHeight="1">
      <c r="E213" s="210"/>
      <c r="F213" s="210"/>
      <c r="G213" s="210"/>
    </row>
    <row r="214" spans="5:7" ht="12.75" customHeight="1">
      <c r="E214" s="210"/>
      <c r="F214" s="210"/>
      <c r="G214" s="210"/>
    </row>
    <row r="215" spans="5:7" ht="12.75" customHeight="1">
      <c r="E215" s="210"/>
      <c r="F215" s="210"/>
      <c r="G215" s="210"/>
    </row>
    <row r="216" spans="5:7" ht="12.75" customHeight="1">
      <c r="E216" s="210"/>
      <c r="F216" s="210"/>
      <c r="G216" s="210"/>
    </row>
    <row r="217" spans="5:7" ht="12.75" customHeight="1">
      <c r="E217" s="210"/>
      <c r="F217" s="210"/>
      <c r="G217" s="210"/>
    </row>
    <row r="218" spans="5:7" ht="12.75" customHeight="1">
      <c r="E218" s="210"/>
      <c r="F218" s="210"/>
      <c r="G218" s="210"/>
    </row>
    <row r="219" spans="5:7" ht="12.75" customHeight="1">
      <c r="E219" s="210"/>
      <c r="F219" s="210"/>
      <c r="G219" s="210"/>
    </row>
    <row r="220" spans="5:7" ht="12.75" customHeight="1">
      <c r="E220" s="210"/>
      <c r="F220" s="210"/>
      <c r="G220" s="210"/>
    </row>
    <row r="221" spans="5:7" ht="12.75" customHeight="1">
      <c r="E221" s="210"/>
      <c r="F221" s="210"/>
      <c r="G221" s="210"/>
    </row>
    <row r="222" spans="5:7" ht="12.75" customHeight="1">
      <c r="E222" s="210"/>
      <c r="F222" s="210"/>
      <c r="G222" s="210"/>
    </row>
    <row r="223" spans="5:7" ht="12.75" customHeight="1">
      <c r="E223" s="210"/>
      <c r="F223" s="210"/>
      <c r="G223" s="210"/>
    </row>
    <row r="224" spans="5:7" ht="12.75" customHeight="1">
      <c r="E224" s="210"/>
      <c r="F224" s="210"/>
      <c r="G224" s="210"/>
    </row>
    <row r="225" spans="5:7" ht="12.75" customHeight="1">
      <c r="E225" s="210"/>
      <c r="F225" s="210"/>
      <c r="G225" s="210"/>
    </row>
    <row r="226" spans="5:7" ht="12.75" customHeight="1">
      <c r="E226" s="210"/>
      <c r="F226" s="210"/>
      <c r="G226" s="210"/>
    </row>
    <row r="227" spans="5:7" ht="12.75" customHeight="1">
      <c r="E227" s="210"/>
      <c r="F227" s="210"/>
      <c r="G227" s="210"/>
    </row>
    <row r="228" spans="5:7" ht="12.75" customHeight="1">
      <c r="E228" s="210"/>
      <c r="F228" s="210"/>
      <c r="G228" s="210"/>
    </row>
    <row r="229" spans="5:7" ht="12.75" customHeight="1">
      <c r="E229" s="210"/>
      <c r="F229" s="210"/>
      <c r="G229" s="210"/>
    </row>
    <row r="230" spans="5:7" ht="12.75" customHeight="1">
      <c r="E230" s="210"/>
      <c r="F230" s="210"/>
      <c r="G230" s="210"/>
    </row>
    <row r="231" spans="5:7" ht="12.75" customHeight="1">
      <c r="E231" s="210"/>
      <c r="F231" s="210"/>
      <c r="G231" s="210"/>
    </row>
    <row r="232" spans="5:7" ht="12.75" customHeight="1">
      <c r="E232" s="210"/>
      <c r="F232" s="210"/>
      <c r="G232" s="210"/>
    </row>
    <row r="233" spans="5:7" ht="12.75" customHeight="1">
      <c r="E233" s="210"/>
      <c r="F233" s="210"/>
      <c r="G233" s="210"/>
    </row>
    <row r="234" spans="5:7" ht="12.75" customHeight="1">
      <c r="E234" s="210"/>
      <c r="F234" s="210"/>
      <c r="G234" s="210"/>
    </row>
    <row r="235" spans="5:7" ht="12.75" customHeight="1">
      <c r="E235" s="210"/>
      <c r="F235" s="210"/>
      <c r="G235" s="210"/>
    </row>
    <row r="236" spans="5:7" ht="12.75" customHeight="1">
      <c r="E236" s="210"/>
      <c r="F236" s="210"/>
      <c r="G236" s="210"/>
    </row>
    <row r="237" spans="5:7" ht="12.75" customHeight="1">
      <c r="E237" s="210"/>
      <c r="F237" s="210"/>
      <c r="G237" s="210"/>
    </row>
    <row r="238" spans="5:7" ht="12.75" customHeight="1">
      <c r="E238" s="210"/>
      <c r="F238" s="210"/>
      <c r="G238" s="210"/>
    </row>
    <row r="239" spans="5:7" ht="12.75" customHeight="1">
      <c r="E239" s="210"/>
      <c r="F239" s="210"/>
      <c r="G239" s="210"/>
    </row>
    <row r="240" spans="5:7" ht="12.75" customHeight="1">
      <c r="E240" s="210"/>
      <c r="F240" s="210"/>
      <c r="G240" s="210"/>
    </row>
    <row r="241" spans="5:7" ht="12.75" customHeight="1">
      <c r="E241" s="210"/>
      <c r="F241" s="210"/>
      <c r="G241" s="210"/>
    </row>
    <row r="242" spans="5:7" ht="12.75" customHeight="1">
      <c r="E242" s="210"/>
      <c r="F242" s="210"/>
      <c r="G242" s="210"/>
    </row>
    <row r="243" spans="5:7" ht="12.75" customHeight="1">
      <c r="E243" s="210"/>
      <c r="F243" s="210"/>
      <c r="G243" s="210"/>
    </row>
    <row r="244" spans="5:7" ht="12.75" customHeight="1">
      <c r="E244" s="210"/>
      <c r="F244" s="210"/>
      <c r="G244" s="210"/>
    </row>
    <row r="245" spans="5:7" ht="12.75" customHeight="1">
      <c r="E245" s="210"/>
      <c r="F245" s="210"/>
      <c r="G245" s="210"/>
    </row>
    <row r="246" spans="5:7" ht="12.75" customHeight="1">
      <c r="E246" s="210"/>
      <c r="F246" s="210"/>
      <c r="G246" s="210"/>
    </row>
    <row r="247" spans="5:7" ht="12.75" customHeight="1">
      <c r="E247" s="210"/>
      <c r="F247" s="210"/>
      <c r="G247" s="210"/>
    </row>
    <row r="248" spans="5:7" ht="12.75" customHeight="1">
      <c r="E248" s="210"/>
      <c r="F248" s="210"/>
      <c r="G248" s="210"/>
    </row>
    <row r="249" spans="5:7" ht="12.75" customHeight="1">
      <c r="E249" s="210"/>
      <c r="F249" s="210"/>
      <c r="G249" s="210"/>
    </row>
    <row r="250" spans="5:7" ht="12.75" customHeight="1">
      <c r="E250" s="210"/>
      <c r="F250" s="210"/>
      <c r="G250" s="210"/>
    </row>
    <row r="251" spans="5:7" ht="12.75" customHeight="1">
      <c r="E251" s="210"/>
      <c r="F251" s="210"/>
      <c r="G251" s="210"/>
    </row>
    <row r="252" spans="5:7" ht="12.75" customHeight="1">
      <c r="E252" s="210"/>
      <c r="F252" s="210"/>
      <c r="G252" s="210"/>
    </row>
    <row r="253" spans="5:7" ht="12.75" customHeight="1">
      <c r="E253" s="210"/>
      <c r="F253" s="210"/>
      <c r="G253" s="210"/>
    </row>
    <row r="254" spans="5:7" ht="12.75" customHeight="1">
      <c r="E254" s="210"/>
      <c r="F254" s="210"/>
      <c r="G254" s="210"/>
    </row>
    <row r="255" spans="5:7" ht="12.75" customHeight="1">
      <c r="E255" s="210"/>
      <c r="F255" s="210"/>
      <c r="G255" s="210"/>
    </row>
    <row r="256" spans="5:7" ht="12.75" customHeight="1">
      <c r="E256" s="210"/>
      <c r="F256" s="210"/>
      <c r="G256" s="210"/>
    </row>
    <row r="257" spans="5:7" ht="12.75" customHeight="1">
      <c r="E257" s="210"/>
      <c r="F257" s="210"/>
      <c r="G257" s="210"/>
    </row>
    <row r="258" spans="5:7" ht="12.75" customHeight="1">
      <c r="E258" s="210"/>
      <c r="F258" s="210"/>
      <c r="G258" s="210"/>
    </row>
    <row r="259" spans="5:7" ht="12.75" customHeight="1">
      <c r="E259" s="210"/>
      <c r="F259" s="210"/>
      <c r="G259" s="210"/>
    </row>
    <row r="260" spans="5:7" ht="12.75" customHeight="1">
      <c r="E260" s="210"/>
      <c r="F260" s="210"/>
      <c r="G260" s="210"/>
    </row>
    <row r="261" spans="5:7" ht="12.75" customHeight="1">
      <c r="E261" s="210"/>
      <c r="F261" s="210"/>
      <c r="G261" s="210"/>
    </row>
    <row r="262" spans="5:7" ht="12.75" customHeight="1">
      <c r="E262" s="210"/>
      <c r="F262" s="210"/>
      <c r="G262" s="210"/>
    </row>
    <row r="263" spans="5:7" ht="12.75" customHeight="1">
      <c r="E263" s="210"/>
      <c r="F263" s="210"/>
      <c r="G263" s="210"/>
    </row>
    <row r="264" spans="5:7" ht="12.75" customHeight="1">
      <c r="E264" s="210"/>
      <c r="F264" s="210"/>
      <c r="G264" s="210"/>
    </row>
    <row r="265" spans="5:7" ht="12.75" customHeight="1">
      <c r="E265" s="210"/>
      <c r="F265" s="210"/>
      <c r="G265" s="210"/>
    </row>
    <row r="266" spans="5:7" ht="12.75" customHeight="1">
      <c r="E266" s="210"/>
      <c r="F266" s="210"/>
      <c r="G266" s="210"/>
    </row>
    <row r="267" spans="5:7" ht="12.75" customHeight="1">
      <c r="E267" s="210"/>
      <c r="F267" s="210"/>
      <c r="G267" s="210"/>
    </row>
    <row r="268" spans="5:7" ht="12.75" customHeight="1">
      <c r="E268" s="210"/>
      <c r="F268" s="210"/>
      <c r="G268" s="210"/>
    </row>
    <row r="269" spans="5:7" ht="12.75" customHeight="1">
      <c r="E269" s="210"/>
      <c r="F269" s="210"/>
      <c r="G269" s="210"/>
    </row>
    <row r="270" spans="5:7" ht="12.75" customHeight="1">
      <c r="E270" s="210"/>
      <c r="F270" s="210"/>
      <c r="G270" s="210"/>
    </row>
    <row r="271" spans="5:7" ht="12.75" customHeight="1">
      <c r="E271" s="210"/>
      <c r="F271" s="210"/>
      <c r="G271" s="210"/>
    </row>
    <row r="272" spans="5:7" ht="12.75" customHeight="1">
      <c r="E272" s="210"/>
      <c r="F272" s="210"/>
      <c r="G272" s="210"/>
    </row>
    <row r="273" spans="5:7" ht="12.75" customHeight="1">
      <c r="E273" s="210"/>
      <c r="F273" s="210"/>
      <c r="G273" s="210"/>
    </row>
    <row r="274" spans="5:7" ht="12.75" customHeight="1">
      <c r="E274" s="210"/>
      <c r="F274" s="210"/>
      <c r="G274" s="210"/>
    </row>
    <row r="275" spans="5:7" ht="12.75" customHeight="1">
      <c r="E275" s="210"/>
      <c r="F275" s="210"/>
      <c r="G275" s="210"/>
    </row>
    <row r="276" spans="5:7" ht="12.75" customHeight="1">
      <c r="E276" s="210"/>
      <c r="F276" s="210"/>
      <c r="G276" s="210"/>
    </row>
    <row r="277" spans="5:7" ht="12.75" customHeight="1">
      <c r="E277" s="210"/>
      <c r="F277" s="210"/>
      <c r="G277" s="210"/>
    </row>
    <row r="278" spans="5:7" ht="12.75" customHeight="1">
      <c r="E278" s="210"/>
      <c r="F278" s="210"/>
      <c r="G278" s="210"/>
    </row>
    <row r="279" spans="5:7" ht="12.75" customHeight="1">
      <c r="E279" s="210"/>
      <c r="F279" s="210"/>
      <c r="G279" s="210"/>
    </row>
    <row r="280" spans="5:7" ht="12.75" customHeight="1">
      <c r="E280" s="210"/>
      <c r="F280" s="210"/>
      <c r="G280" s="210"/>
    </row>
    <row r="281" spans="5:7" ht="12.75" customHeight="1">
      <c r="E281" s="210"/>
      <c r="F281" s="210"/>
      <c r="G281" s="210"/>
    </row>
    <row r="282" spans="5:7" ht="12.75" customHeight="1">
      <c r="E282" s="210"/>
      <c r="F282" s="210"/>
      <c r="G282" s="210"/>
    </row>
    <row r="283" spans="5:7" ht="12.75" customHeight="1">
      <c r="E283" s="210"/>
      <c r="F283" s="210"/>
      <c r="G283" s="210"/>
    </row>
    <row r="284" spans="5:7" ht="12.75" customHeight="1">
      <c r="E284" s="210"/>
      <c r="F284" s="210"/>
      <c r="G284" s="210"/>
    </row>
    <row r="285" spans="5:7" ht="12.75" customHeight="1">
      <c r="E285" s="210"/>
      <c r="F285" s="210"/>
      <c r="G285" s="210"/>
    </row>
    <row r="286" spans="5:7" ht="12.75" customHeight="1">
      <c r="E286" s="210"/>
      <c r="F286" s="210"/>
      <c r="G286" s="210"/>
    </row>
    <row r="287" spans="5:7" ht="12.75" customHeight="1">
      <c r="E287" s="210"/>
      <c r="F287" s="210"/>
      <c r="G287" s="210"/>
    </row>
    <row r="288" spans="5:7" ht="12.75" customHeight="1">
      <c r="E288" s="210"/>
      <c r="F288" s="210"/>
      <c r="G288" s="210"/>
    </row>
    <row r="289" spans="5:7" ht="12.75" customHeight="1">
      <c r="E289" s="210"/>
      <c r="F289" s="210"/>
      <c r="G289" s="210"/>
    </row>
    <row r="290" spans="5:7" ht="12.75" customHeight="1">
      <c r="E290" s="210"/>
      <c r="F290" s="210"/>
      <c r="G290" s="210"/>
    </row>
    <row r="291" spans="5:7" ht="12.75" customHeight="1">
      <c r="E291" s="210"/>
      <c r="F291" s="210"/>
      <c r="G291" s="210"/>
    </row>
    <row r="292" spans="5:7" ht="12.75" customHeight="1">
      <c r="E292" s="210"/>
      <c r="F292" s="210"/>
      <c r="G292" s="210"/>
    </row>
    <row r="293" spans="5:7" ht="12.75" customHeight="1">
      <c r="E293" s="210"/>
      <c r="F293" s="210"/>
      <c r="G293" s="210"/>
    </row>
    <row r="294" spans="5:7" ht="12.75" customHeight="1">
      <c r="E294" s="210"/>
      <c r="F294" s="210"/>
      <c r="G294" s="210"/>
    </row>
    <row r="295" spans="5:7" ht="12.75" customHeight="1">
      <c r="E295" s="210"/>
      <c r="F295" s="210"/>
      <c r="G295" s="210"/>
    </row>
    <row r="296" spans="5:7" ht="12.75" customHeight="1">
      <c r="E296" s="210"/>
      <c r="F296" s="210"/>
      <c r="G296" s="210"/>
    </row>
    <row r="297" spans="5:7" ht="12.75" customHeight="1">
      <c r="E297" s="210"/>
      <c r="F297" s="210"/>
      <c r="G297" s="210"/>
    </row>
    <row r="298" spans="5:7" ht="12.75" customHeight="1">
      <c r="E298" s="210"/>
      <c r="F298" s="210"/>
      <c r="G298" s="210"/>
    </row>
    <row r="299" spans="5:7" ht="12.75" customHeight="1">
      <c r="E299" s="210"/>
      <c r="F299" s="210"/>
      <c r="G299" s="210"/>
    </row>
    <row r="300" spans="5:7" ht="12.75" customHeight="1">
      <c r="E300" s="210"/>
      <c r="F300" s="210"/>
      <c r="G300" s="210"/>
    </row>
    <row r="301" spans="5:7" ht="12.75" customHeight="1">
      <c r="E301" s="210"/>
      <c r="F301" s="210"/>
      <c r="G301" s="210"/>
    </row>
    <row r="302" spans="5:7" ht="12.75" customHeight="1">
      <c r="E302" s="210"/>
      <c r="F302" s="210"/>
      <c r="G302" s="210"/>
    </row>
    <row r="303" spans="5:7" ht="12.75" customHeight="1">
      <c r="E303" s="210"/>
      <c r="F303" s="210"/>
      <c r="G303" s="210"/>
    </row>
    <row r="304" spans="5:7" ht="12.75" customHeight="1">
      <c r="E304" s="210"/>
      <c r="F304" s="210"/>
      <c r="G304" s="210"/>
    </row>
    <row r="305" spans="5:7" ht="12.75" customHeight="1">
      <c r="E305" s="210"/>
      <c r="F305" s="210"/>
      <c r="G305" s="210"/>
    </row>
    <row r="306" spans="5:7" ht="12.75" customHeight="1">
      <c r="E306" s="210"/>
      <c r="F306" s="210"/>
      <c r="G306" s="210"/>
    </row>
    <row r="307" spans="5:7" ht="12.75" customHeight="1">
      <c r="E307" s="210"/>
      <c r="F307" s="210"/>
      <c r="G307" s="210"/>
    </row>
    <row r="308" spans="5:7" ht="12.75" customHeight="1">
      <c r="E308" s="210"/>
      <c r="F308" s="210"/>
      <c r="G308" s="210"/>
    </row>
    <row r="309" spans="5:7" ht="12.75" customHeight="1">
      <c r="E309" s="210"/>
      <c r="F309" s="210"/>
      <c r="G309" s="210"/>
    </row>
    <row r="310" spans="5:7" ht="12.75" customHeight="1">
      <c r="E310" s="210"/>
      <c r="F310" s="210"/>
      <c r="G310" s="210"/>
    </row>
    <row r="311" spans="5:7" ht="12.75" customHeight="1">
      <c r="E311" s="210"/>
      <c r="F311" s="210"/>
      <c r="G311" s="210"/>
    </row>
    <row r="312" spans="5:7" ht="12.75" customHeight="1">
      <c r="E312" s="210"/>
      <c r="F312" s="210"/>
      <c r="G312" s="210"/>
    </row>
    <row r="313" spans="5:7" ht="12.75" customHeight="1">
      <c r="E313" s="210"/>
      <c r="F313" s="210"/>
      <c r="G313" s="210"/>
    </row>
    <row r="314" spans="5:7" ht="12.75" customHeight="1">
      <c r="E314" s="210"/>
      <c r="F314" s="210"/>
      <c r="G314" s="210"/>
    </row>
    <row r="315" spans="5:7" ht="12.75" customHeight="1">
      <c r="E315" s="210"/>
      <c r="F315" s="210"/>
      <c r="G315" s="210"/>
    </row>
    <row r="316" spans="5:7" ht="12.75" customHeight="1">
      <c r="E316" s="210"/>
      <c r="F316" s="210"/>
      <c r="G316" s="210"/>
    </row>
    <row r="317" spans="5:7" ht="12.75" customHeight="1">
      <c r="E317" s="210"/>
      <c r="F317" s="210"/>
      <c r="G317" s="210"/>
    </row>
    <row r="318" spans="5:7" ht="12.75" customHeight="1">
      <c r="E318" s="210"/>
      <c r="F318" s="210"/>
      <c r="G318" s="210"/>
    </row>
    <row r="319" spans="5:7" ht="12.75" customHeight="1">
      <c r="E319" s="210"/>
      <c r="F319" s="210"/>
      <c r="G319" s="210"/>
    </row>
    <row r="320" spans="5:7" ht="12.75" customHeight="1">
      <c r="E320" s="210"/>
      <c r="F320" s="210"/>
      <c r="G320" s="210"/>
    </row>
    <row r="321" spans="5:7" ht="12.75" customHeight="1">
      <c r="E321" s="210"/>
      <c r="F321" s="210"/>
      <c r="G321" s="210"/>
    </row>
    <row r="322" spans="5:7" ht="12.75" customHeight="1">
      <c r="E322" s="210"/>
      <c r="F322" s="210"/>
      <c r="G322" s="210"/>
    </row>
    <row r="323" spans="5:7" ht="12.75" customHeight="1">
      <c r="E323" s="210"/>
      <c r="F323" s="210"/>
      <c r="G323" s="210"/>
    </row>
    <row r="324" spans="5:7" ht="12.75" customHeight="1">
      <c r="E324" s="210"/>
      <c r="F324" s="210"/>
      <c r="G324" s="210"/>
    </row>
    <row r="325" spans="5:7" ht="12.75" customHeight="1">
      <c r="E325" s="210"/>
      <c r="F325" s="210"/>
      <c r="G325" s="210"/>
    </row>
    <row r="326" spans="5:7" ht="12.75" customHeight="1">
      <c r="E326" s="210"/>
      <c r="F326" s="210"/>
      <c r="G326" s="210"/>
    </row>
    <row r="327" spans="5:7" ht="12.75" customHeight="1">
      <c r="E327" s="210"/>
      <c r="F327" s="210"/>
      <c r="G327" s="210"/>
    </row>
    <row r="328" spans="5:7" ht="12.75" customHeight="1">
      <c r="E328" s="210"/>
      <c r="F328" s="210"/>
      <c r="G328" s="210"/>
    </row>
    <row r="329" spans="5:7" ht="12.75" customHeight="1">
      <c r="E329" s="210"/>
      <c r="F329" s="210"/>
      <c r="G329" s="210"/>
    </row>
    <row r="330" spans="5:7" ht="12.75" customHeight="1">
      <c r="E330" s="210"/>
      <c r="F330" s="210"/>
      <c r="G330" s="210"/>
    </row>
    <row r="331" spans="5:7" ht="12.75" customHeight="1">
      <c r="E331" s="210"/>
      <c r="F331" s="210"/>
      <c r="G331" s="210"/>
    </row>
    <row r="332" spans="5:7" ht="12.75" customHeight="1">
      <c r="E332" s="210"/>
      <c r="F332" s="210"/>
      <c r="G332" s="210"/>
    </row>
    <row r="333" spans="5:7" ht="12.75" customHeight="1">
      <c r="E333" s="210"/>
      <c r="F333" s="210"/>
      <c r="G333" s="210"/>
    </row>
    <row r="334" spans="5:7" ht="12.75" customHeight="1">
      <c r="E334" s="210"/>
      <c r="F334" s="210"/>
      <c r="G334" s="210"/>
    </row>
    <row r="335" spans="5:7" ht="12.75" customHeight="1">
      <c r="E335" s="210"/>
      <c r="F335" s="210"/>
      <c r="G335" s="210"/>
    </row>
    <row r="336" spans="5:7" ht="12.75" customHeight="1">
      <c r="E336" s="210"/>
      <c r="F336" s="210"/>
      <c r="G336" s="210"/>
    </row>
    <row r="337" spans="5:7" ht="12.75" customHeight="1">
      <c r="E337" s="210"/>
      <c r="F337" s="210"/>
      <c r="G337" s="210"/>
    </row>
    <row r="338" spans="5:7" ht="12.75" customHeight="1">
      <c r="E338" s="210"/>
      <c r="F338" s="210"/>
      <c r="G338" s="210"/>
    </row>
    <row r="339" spans="5:7" ht="12.75" customHeight="1">
      <c r="E339" s="210"/>
      <c r="F339" s="210"/>
      <c r="G339" s="210"/>
    </row>
    <row r="340" spans="5:7" ht="12.75" customHeight="1">
      <c r="E340" s="210"/>
      <c r="F340" s="210"/>
      <c r="G340" s="210"/>
    </row>
    <row r="341" spans="5:7" ht="12.75" customHeight="1">
      <c r="E341" s="210"/>
      <c r="F341" s="210"/>
      <c r="G341" s="210"/>
    </row>
    <row r="342" spans="5:7" ht="12.75" customHeight="1">
      <c r="E342" s="210"/>
      <c r="F342" s="210"/>
      <c r="G342" s="210"/>
    </row>
    <row r="343" spans="5:7" ht="12.75" customHeight="1">
      <c r="E343" s="210"/>
      <c r="F343" s="210"/>
      <c r="G343" s="210"/>
    </row>
    <row r="344" spans="5:7" ht="12.75" customHeight="1">
      <c r="E344" s="210"/>
      <c r="F344" s="210"/>
      <c r="G344" s="210"/>
    </row>
    <row r="345" spans="5:7" ht="12.75" customHeight="1">
      <c r="E345" s="210"/>
      <c r="F345" s="210"/>
      <c r="G345" s="210"/>
    </row>
    <row r="346" spans="5:7" ht="12.75" customHeight="1">
      <c r="E346" s="210"/>
      <c r="F346" s="210"/>
      <c r="G346" s="210"/>
    </row>
    <row r="347" spans="5:7" ht="12.75" customHeight="1">
      <c r="E347" s="210"/>
      <c r="F347" s="210"/>
      <c r="G347" s="210"/>
    </row>
    <row r="348" spans="5:7" ht="12.75" customHeight="1">
      <c r="E348" s="210"/>
      <c r="F348" s="210"/>
      <c r="G348" s="210"/>
    </row>
    <row r="349" spans="5:7" ht="12.75" customHeight="1">
      <c r="E349" s="210"/>
      <c r="F349" s="210"/>
      <c r="G349" s="210"/>
    </row>
    <row r="350" spans="5:7" ht="12.75" customHeight="1">
      <c r="E350" s="210"/>
      <c r="F350" s="210"/>
      <c r="G350" s="210"/>
    </row>
    <row r="351" spans="5:7" ht="12.75" customHeight="1">
      <c r="E351" s="210"/>
      <c r="F351" s="210"/>
      <c r="G351" s="210"/>
    </row>
    <row r="352" spans="5:7" ht="12.75" customHeight="1">
      <c r="E352" s="210"/>
      <c r="F352" s="210"/>
      <c r="G352" s="210"/>
    </row>
    <row r="353" spans="5:7" ht="12.75" customHeight="1">
      <c r="E353" s="210"/>
      <c r="F353" s="210"/>
      <c r="G353" s="210"/>
    </row>
    <row r="354" spans="5:7" ht="12.75" customHeight="1">
      <c r="E354" s="210"/>
      <c r="F354" s="210"/>
      <c r="G354" s="210"/>
    </row>
    <row r="355" spans="5:7" ht="12.75" customHeight="1">
      <c r="E355" s="210"/>
      <c r="F355" s="210"/>
      <c r="G355" s="210"/>
    </row>
    <row r="356" spans="5:7" ht="12.75" customHeight="1">
      <c r="E356" s="210"/>
      <c r="F356" s="210"/>
      <c r="G356" s="210"/>
    </row>
    <row r="357" spans="5:7" ht="12.75" customHeight="1">
      <c r="E357" s="210"/>
      <c r="F357" s="210"/>
      <c r="G357" s="210"/>
    </row>
    <row r="358" spans="5:7" ht="12.75" customHeight="1">
      <c r="E358" s="210"/>
      <c r="F358" s="210"/>
      <c r="G358" s="210"/>
    </row>
    <row r="359" spans="5:7" ht="12.75" customHeight="1">
      <c r="E359" s="210"/>
      <c r="F359" s="210"/>
      <c r="G359" s="210"/>
    </row>
    <row r="360" spans="5:7" ht="12.75" customHeight="1">
      <c r="E360" s="210"/>
      <c r="F360" s="210"/>
      <c r="G360" s="210"/>
    </row>
    <row r="361" spans="5:7" ht="12.75" customHeight="1">
      <c r="E361" s="210"/>
      <c r="F361" s="210"/>
      <c r="G361" s="210"/>
    </row>
    <row r="362" spans="5:7" ht="12.75" customHeight="1">
      <c r="E362" s="210"/>
      <c r="F362" s="210"/>
      <c r="G362" s="210"/>
    </row>
    <row r="363" spans="5:7" ht="12.75" customHeight="1">
      <c r="E363" s="210"/>
      <c r="F363" s="210"/>
      <c r="G363" s="210"/>
    </row>
    <row r="364" spans="5:7" ht="12.75" customHeight="1">
      <c r="E364" s="210"/>
      <c r="F364" s="210"/>
      <c r="G364" s="210"/>
    </row>
    <row r="365" spans="5:7" ht="12.75" customHeight="1">
      <c r="E365" s="210"/>
      <c r="F365" s="210"/>
      <c r="G365" s="210"/>
    </row>
    <row r="366" spans="5:7" ht="12.75" customHeight="1">
      <c r="E366" s="210"/>
      <c r="F366" s="210"/>
      <c r="G366" s="210"/>
    </row>
    <row r="367" spans="5:7" ht="12.75" customHeight="1">
      <c r="E367" s="210"/>
      <c r="F367" s="210"/>
      <c r="G367" s="210"/>
    </row>
    <row r="368" spans="5:7" ht="12.75" customHeight="1">
      <c r="E368" s="210"/>
      <c r="F368" s="210"/>
      <c r="G368" s="210"/>
    </row>
    <row r="369" spans="5:7" ht="12.75" customHeight="1">
      <c r="E369" s="210"/>
      <c r="F369" s="210"/>
      <c r="G369" s="210"/>
    </row>
    <row r="370" spans="5:7" ht="12.75" customHeight="1">
      <c r="E370" s="210"/>
      <c r="F370" s="210"/>
      <c r="G370" s="210"/>
    </row>
    <row r="371" spans="5:7" ht="12.75" customHeight="1">
      <c r="E371" s="210"/>
      <c r="F371" s="210"/>
      <c r="G371" s="210"/>
    </row>
    <row r="372" spans="5:7" ht="12.75" customHeight="1">
      <c r="E372" s="210"/>
      <c r="F372" s="210"/>
      <c r="G372" s="210"/>
    </row>
    <row r="373" spans="5:7" ht="12.75" customHeight="1">
      <c r="E373" s="210"/>
      <c r="F373" s="210"/>
      <c r="G373" s="210"/>
    </row>
    <row r="374" spans="5:7" ht="12.75" customHeight="1">
      <c r="E374" s="210"/>
      <c r="F374" s="210"/>
      <c r="G374" s="210"/>
    </row>
    <row r="375" spans="5:7" ht="12.75" customHeight="1">
      <c r="E375" s="210"/>
      <c r="F375" s="210"/>
      <c r="G375" s="210"/>
    </row>
    <row r="376" spans="5:7" ht="12.75" customHeight="1">
      <c r="E376" s="210"/>
      <c r="F376" s="210"/>
      <c r="G376" s="210"/>
    </row>
    <row r="377" spans="5:7" ht="12.75" customHeight="1">
      <c r="E377" s="210"/>
      <c r="F377" s="210"/>
      <c r="G377" s="210"/>
    </row>
    <row r="378" spans="5:7" ht="12.75" customHeight="1">
      <c r="E378" s="210"/>
      <c r="F378" s="210"/>
      <c r="G378" s="210"/>
    </row>
    <row r="379" spans="5:7" ht="12.75" customHeight="1">
      <c r="E379" s="210"/>
      <c r="F379" s="210"/>
      <c r="G379" s="210"/>
    </row>
    <row r="380" spans="5:7" ht="12.75" customHeight="1">
      <c r="E380" s="210"/>
      <c r="F380" s="210"/>
      <c r="G380" s="210"/>
    </row>
    <row r="381" spans="5:7" ht="12.75" customHeight="1">
      <c r="E381" s="210"/>
      <c r="F381" s="210"/>
      <c r="G381" s="210"/>
    </row>
    <row r="382" spans="5:7" ht="12.75" customHeight="1">
      <c r="E382" s="210"/>
      <c r="F382" s="210"/>
      <c r="G382" s="210"/>
    </row>
    <row r="383" spans="5:7" ht="12.75" customHeight="1">
      <c r="E383" s="210"/>
      <c r="F383" s="210"/>
      <c r="G383" s="210"/>
    </row>
    <row r="384" spans="5:7" ht="12.75" customHeight="1">
      <c r="E384" s="210"/>
      <c r="F384" s="210"/>
      <c r="G384" s="210"/>
    </row>
    <row r="385" spans="5:7" ht="12.75" customHeight="1">
      <c r="E385" s="210"/>
      <c r="F385" s="210"/>
      <c r="G385" s="210"/>
    </row>
    <row r="386" spans="5:7" ht="12.75" customHeight="1">
      <c r="E386" s="210"/>
      <c r="F386" s="210"/>
      <c r="G386" s="210"/>
    </row>
    <row r="387" spans="5:7" ht="12.75" customHeight="1">
      <c r="E387" s="210"/>
      <c r="F387" s="210"/>
      <c r="G387" s="210"/>
    </row>
    <row r="388" spans="5:7" ht="12.75" customHeight="1">
      <c r="E388" s="210"/>
      <c r="F388" s="210"/>
      <c r="G388" s="210"/>
    </row>
    <row r="389" spans="5:7" ht="12.75" customHeight="1">
      <c r="E389" s="210"/>
      <c r="F389" s="210"/>
      <c r="G389" s="210"/>
    </row>
    <row r="390" spans="5:7" ht="12.75" customHeight="1">
      <c r="E390" s="210"/>
      <c r="F390" s="210"/>
      <c r="G390" s="210"/>
    </row>
    <row r="391" spans="5:7" ht="12.75" customHeight="1">
      <c r="E391" s="210"/>
      <c r="F391" s="210"/>
      <c r="G391" s="210"/>
    </row>
    <row r="392" spans="5:7" ht="12.75" customHeight="1">
      <c r="E392" s="210"/>
      <c r="F392" s="210"/>
      <c r="G392" s="210"/>
    </row>
    <row r="393" spans="5:7" ht="12.75" customHeight="1">
      <c r="E393" s="210"/>
      <c r="F393" s="210"/>
      <c r="G393" s="210"/>
    </row>
    <row r="394" spans="5:7" ht="12.75" customHeight="1">
      <c r="E394" s="210"/>
      <c r="F394" s="210"/>
      <c r="G394" s="210"/>
    </row>
    <row r="395" spans="5:7" ht="12.75" customHeight="1">
      <c r="E395" s="210"/>
      <c r="F395" s="210"/>
      <c r="G395" s="210"/>
    </row>
    <row r="396" spans="5:7" ht="12.75" customHeight="1">
      <c r="E396" s="210"/>
      <c r="F396" s="210"/>
      <c r="G396" s="210"/>
    </row>
    <row r="397" spans="5:7" ht="12.75" customHeight="1">
      <c r="E397" s="210"/>
      <c r="F397" s="210"/>
      <c r="G397" s="210"/>
    </row>
    <row r="398" spans="5:7" ht="12.75" customHeight="1">
      <c r="E398" s="210"/>
      <c r="F398" s="210"/>
      <c r="G398" s="210"/>
    </row>
    <row r="399" spans="5:7" ht="12.75" customHeight="1">
      <c r="E399" s="210"/>
      <c r="F399" s="210"/>
      <c r="G399" s="210"/>
    </row>
    <row r="400" spans="5:7" ht="12.75" customHeight="1">
      <c r="E400" s="210"/>
      <c r="F400" s="210"/>
      <c r="G400" s="210"/>
    </row>
    <row r="401" spans="5:7" ht="12.75" customHeight="1">
      <c r="E401" s="210"/>
      <c r="F401" s="210"/>
      <c r="G401" s="210"/>
    </row>
    <row r="402" spans="5:7" ht="12.75" customHeight="1">
      <c r="E402" s="210"/>
      <c r="F402" s="210"/>
      <c r="G402" s="210"/>
    </row>
    <row r="403" spans="5:7" ht="12.75" customHeight="1">
      <c r="E403" s="210"/>
      <c r="F403" s="210"/>
      <c r="G403" s="210"/>
    </row>
    <row r="404" spans="5:7" ht="12.75" customHeight="1">
      <c r="E404" s="210"/>
      <c r="F404" s="210"/>
      <c r="G404" s="210"/>
    </row>
    <row r="405" spans="5:7" ht="12.75" customHeight="1">
      <c r="E405" s="210"/>
      <c r="F405" s="210"/>
      <c r="G405" s="210"/>
    </row>
    <row r="406" spans="5:7" ht="12.75" customHeight="1">
      <c r="E406" s="210"/>
      <c r="F406" s="210"/>
      <c r="G406" s="210"/>
    </row>
    <row r="407" spans="5:7" ht="12.75" customHeight="1">
      <c r="E407" s="210"/>
      <c r="F407" s="210"/>
      <c r="G407" s="210"/>
    </row>
    <row r="408" spans="5:7" ht="12.75" customHeight="1">
      <c r="E408" s="210"/>
      <c r="F408" s="210"/>
      <c r="G408" s="210"/>
    </row>
    <row r="409" spans="5:7" ht="12.75" customHeight="1">
      <c r="E409" s="210"/>
      <c r="F409" s="210"/>
      <c r="G409" s="210"/>
    </row>
    <row r="410" spans="5:7" ht="12.75" customHeight="1">
      <c r="E410" s="210"/>
      <c r="F410" s="210"/>
      <c r="G410" s="210"/>
    </row>
    <row r="411" spans="5:7" ht="12.75" customHeight="1">
      <c r="E411" s="210"/>
      <c r="F411" s="210"/>
      <c r="G411" s="210"/>
    </row>
    <row r="412" spans="5:7" ht="12.75" customHeight="1">
      <c r="E412" s="210"/>
      <c r="F412" s="210"/>
      <c r="G412" s="210"/>
    </row>
    <row r="413" spans="5:7" ht="12.75" customHeight="1">
      <c r="E413" s="210"/>
      <c r="F413" s="210"/>
      <c r="G413" s="210"/>
    </row>
    <row r="414" spans="5:7" ht="12.75" customHeight="1">
      <c r="E414" s="210"/>
      <c r="F414" s="210"/>
      <c r="G414" s="210"/>
    </row>
    <row r="415" spans="5:7" ht="12.75" customHeight="1">
      <c r="E415" s="210"/>
      <c r="F415" s="210"/>
      <c r="G415" s="210"/>
    </row>
    <row r="416" spans="5:7" ht="12.75" customHeight="1">
      <c r="E416" s="210"/>
      <c r="F416" s="210"/>
      <c r="G416" s="210"/>
    </row>
    <row r="417" spans="5:7" ht="12.75" customHeight="1">
      <c r="E417" s="210"/>
      <c r="F417" s="210"/>
      <c r="G417" s="210"/>
    </row>
    <row r="418" spans="5:7" ht="12.75" customHeight="1">
      <c r="E418" s="210"/>
      <c r="F418" s="210"/>
      <c r="G418" s="210"/>
    </row>
    <row r="419" spans="5:7" ht="12.75" customHeight="1">
      <c r="E419" s="210"/>
      <c r="F419" s="210"/>
      <c r="G419" s="210"/>
    </row>
    <row r="420" spans="5:7" ht="12.75" customHeight="1">
      <c r="E420" s="210"/>
      <c r="F420" s="210"/>
      <c r="G420" s="210"/>
    </row>
    <row r="421" spans="5:7" ht="12.75" customHeight="1">
      <c r="E421" s="210"/>
      <c r="F421" s="210"/>
      <c r="G421" s="210"/>
    </row>
    <row r="422" spans="5:7" ht="12.75" customHeight="1">
      <c r="E422" s="210"/>
      <c r="F422" s="210"/>
      <c r="G422" s="210"/>
    </row>
    <row r="423" spans="5:7" ht="12.75" customHeight="1">
      <c r="E423" s="210"/>
      <c r="F423" s="210"/>
      <c r="G423" s="210"/>
    </row>
    <row r="424" spans="5:7" ht="12.75" customHeight="1">
      <c r="E424" s="210"/>
      <c r="F424" s="210"/>
      <c r="G424" s="210"/>
    </row>
    <row r="425" spans="5:7" ht="12.75" customHeight="1">
      <c r="E425" s="210"/>
      <c r="F425" s="210"/>
      <c r="G425" s="210"/>
    </row>
    <row r="426" spans="5:7" ht="12.75" customHeight="1">
      <c r="E426" s="210"/>
      <c r="F426" s="210"/>
      <c r="G426" s="210"/>
    </row>
    <row r="427" spans="5:7" ht="12.75" customHeight="1">
      <c r="E427" s="210"/>
      <c r="F427" s="210"/>
      <c r="G427" s="210"/>
    </row>
    <row r="428" spans="5:7" ht="12.75" customHeight="1">
      <c r="E428" s="210"/>
      <c r="F428" s="210"/>
      <c r="G428" s="210"/>
    </row>
    <row r="429" spans="5:7" ht="12.75" customHeight="1">
      <c r="E429" s="210"/>
      <c r="F429" s="210"/>
      <c r="G429" s="210"/>
    </row>
    <row r="430" spans="5:7" ht="12.75" customHeight="1">
      <c r="E430" s="210"/>
      <c r="F430" s="210"/>
      <c r="G430" s="210"/>
    </row>
    <row r="431" spans="5:7" ht="12.75" customHeight="1">
      <c r="E431" s="210"/>
      <c r="F431" s="210"/>
      <c r="G431" s="210"/>
    </row>
    <row r="432" spans="5:7" ht="12.75" customHeight="1">
      <c r="E432" s="210"/>
      <c r="F432" s="210"/>
      <c r="G432" s="210"/>
    </row>
    <row r="433" spans="5:7" ht="12.75" customHeight="1">
      <c r="E433" s="210"/>
      <c r="F433" s="210"/>
      <c r="G433" s="210"/>
    </row>
    <row r="434" spans="5:7" ht="12.75" customHeight="1">
      <c r="E434" s="210"/>
      <c r="F434" s="210"/>
      <c r="G434" s="210"/>
    </row>
    <row r="435" spans="5:7" ht="12.75" customHeight="1">
      <c r="E435" s="210"/>
      <c r="F435" s="210"/>
      <c r="G435" s="210"/>
    </row>
    <row r="436" spans="5:7" ht="12.75" customHeight="1">
      <c r="E436" s="210"/>
      <c r="F436" s="210"/>
      <c r="G436" s="210"/>
    </row>
    <row r="437" spans="5:7" ht="12.75" customHeight="1">
      <c r="E437" s="210"/>
      <c r="F437" s="210"/>
      <c r="G437" s="210"/>
    </row>
    <row r="438" spans="5:7" ht="12.75" customHeight="1">
      <c r="E438" s="210"/>
      <c r="F438" s="210"/>
      <c r="G438" s="210"/>
    </row>
    <row r="439" spans="5:7" ht="12.75" customHeight="1">
      <c r="E439" s="210"/>
      <c r="F439" s="210"/>
      <c r="G439" s="210"/>
    </row>
    <row r="440" spans="5:7" ht="12.75" customHeight="1">
      <c r="E440" s="210"/>
      <c r="F440" s="210"/>
      <c r="G440" s="210"/>
    </row>
    <row r="441" spans="5:7" ht="12.75" customHeight="1">
      <c r="E441" s="210"/>
      <c r="F441" s="210"/>
      <c r="G441" s="210"/>
    </row>
    <row r="442" spans="5:7" ht="12.75" customHeight="1">
      <c r="E442" s="210"/>
      <c r="F442" s="210"/>
      <c r="G442" s="210"/>
    </row>
    <row r="443" spans="5:7" ht="12.75" customHeight="1">
      <c r="E443" s="210"/>
      <c r="F443" s="210"/>
      <c r="G443" s="210"/>
    </row>
    <row r="444" spans="5:7" ht="12.75" customHeight="1">
      <c r="E444" s="210"/>
      <c r="F444" s="210"/>
      <c r="G444" s="210"/>
    </row>
    <row r="445" spans="5:7" ht="12.75" customHeight="1">
      <c r="E445" s="210"/>
      <c r="F445" s="210"/>
      <c r="G445" s="210"/>
    </row>
    <row r="446" spans="5:7" ht="12.75" customHeight="1">
      <c r="E446" s="210"/>
      <c r="F446" s="210"/>
      <c r="G446" s="210"/>
    </row>
    <row r="447" spans="5:7" ht="12.75" customHeight="1">
      <c r="E447" s="210"/>
      <c r="F447" s="210"/>
      <c r="G447" s="210"/>
    </row>
    <row r="448" spans="5:7" ht="12.75" customHeight="1">
      <c r="E448" s="210"/>
      <c r="F448" s="210"/>
      <c r="G448" s="210"/>
    </row>
    <row r="449" spans="5:7" ht="12.75" customHeight="1">
      <c r="E449" s="210"/>
      <c r="F449" s="210"/>
      <c r="G449" s="210"/>
    </row>
    <row r="450" spans="5:7" ht="12.75" customHeight="1">
      <c r="E450" s="210"/>
      <c r="F450" s="210"/>
      <c r="G450" s="210"/>
    </row>
    <row r="451" spans="5:7" ht="12.75" customHeight="1">
      <c r="E451" s="210"/>
      <c r="F451" s="210"/>
      <c r="G451" s="210"/>
    </row>
    <row r="452" spans="5:7" ht="12.75" customHeight="1">
      <c r="E452" s="210"/>
      <c r="F452" s="210"/>
      <c r="G452" s="210"/>
    </row>
    <row r="453" spans="5:7" ht="12.75" customHeight="1">
      <c r="E453" s="210"/>
      <c r="F453" s="210"/>
      <c r="G453" s="210"/>
    </row>
    <row r="454" spans="5:7" ht="12.75" customHeight="1">
      <c r="E454" s="210"/>
      <c r="F454" s="210"/>
      <c r="G454" s="210"/>
    </row>
    <row r="455" spans="5:7" ht="12.75" customHeight="1">
      <c r="E455" s="210"/>
      <c r="F455" s="210"/>
      <c r="G455" s="210"/>
    </row>
    <row r="456" spans="5:7" ht="12.75" customHeight="1">
      <c r="E456" s="210"/>
      <c r="F456" s="210"/>
      <c r="G456" s="210"/>
    </row>
    <row r="457" spans="5:7" ht="12.75" customHeight="1">
      <c r="E457" s="210"/>
      <c r="F457" s="210"/>
      <c r="G457" s="210"/>
    </row>
    <row r="458" spans="5:7" ht="12.75" customHeight="1">
      <c r="E458" s="210"/>
      <c r="F458" s="210"/>
      <c r="G458" s="210"/>
    </row>
    <row r="459" spans="5:7" ht="12.75" customHeight="1">
      <c r="E459" s="210"/>
      <c r="F459" s="210"/>
      <c r="G459" s="210"/>
    </row>
    <row r="460" spans="5:7" ht="12.75" customHeight="1">
      <c r="E460" s="210"/>
      <c r="F460" s="210"/>
      <c r="G460" s="210"/>
    </row>
    <row r="461" spans="5:7" ht="12.75" customHeight="1">
      <c r="E461" s="210"/>
      <c r="F461" s="210"/>
      <c r="G461" s="210"/>
    </row>
    <row r="462" spans="5:7" ht="12.75" customHeight="1">
      <c r="E462" s="210"/>
      <c r="F462" s="210"/>
      <c r="G462" s="210"/>
    </row>
    <row r="463" spans="5:7" ht="12.75" customHeight="1">
      <c r="E463" s="210"/>
      <c r="F463" s="210"/>
      <c r="G463" s="210"/>
    </row>
    <row r="464" spans="5:7" ht="12.75" customHeight="1">
      <c r="E464" s="210"/>
      <c r="F464" s="210"/>
      <c r="G464" s="210"/>
    </row>
    <row r="465" spans="5:7" ht="12.75" customHeight="1">
      <c r="E465" s="210"/>
      <c r="F465" s="210"/>
      <c r="G465" s="210"/>
    </row>
    <row r="466" spans="5:7" ht="12.75" customHeight="1">
      <c r="E466" s="210"/>
      <c r="F466" s="210"/>
      <c r="G466" s="210"/>
    </row>
    <row r="467" spans="5:7" ht="12.75" customHeight="1">
      <c r="E467" s="210"/>
      <c r="F467" s="210"/>
      <c r="G467" s="210"/>
    </row>
    <row r="468" spans="5:7" ht="12.75" customHeight="1">
      <c r="E468" s="210"/>
      <c r="F468" s="210"/>
      <c r="G468" s="210"/>
    </row>
    <row r="469" spans="5:7" ht="12.75" customHeight="1">
      <c r="E469" s="210"/>
      <c r="F469" s="210"/>
      <c r="G469" s="210"/>
    </row>
    <row r="470" spans="5:7" ht="12.75" customHeight="1">
      <c r="E470" s="210"/>
      <c r="F470" s="210"/>
      <c r="G470" s="210"/>
    </row>
    <row r="471" spans="5:7" ht="12.75" customHeight="1">
      <c r="E471" s="210"/>
      <c r="F471" s="210"/>
      <c r="G471" s="210"/>
    </row>
    <row r="472" spans="5:7" ht="12.75" customHeight="1">
      <c r="E472" s="210"/>
      <c r="F472" s="210"/>
      <c r="G472" s="210"/>
    </row>
    <row r="473" spans="5:7" ht="12.75" customHeight="1">
      <c r="E473" s="210"/>
      <c r="F473" s="210"/>
      <c r="G473" s="210"/>
    </row>
    <row r="474" spans="5:7" ht="12.75" customHeight="1">
      <c r="E474" s="210"/>
      <c r="F474" s="210"/>
      <c r="G474" s="210"/>
    </row>
    <row r="475" spans="5:7" ht="12.75" customHeight="1">
      <c r="E475" s="210"/>
      <c r="F475" s="210"/>
      <c r="G475" s="210"/>
    </row>
    <row r="476" spans="5:7" ht="12.75" customHeight="1">
      <c r="E476" s="210"/>
      <c r="F476" s="210"/>
      <c r="G476" s="210"/>
    </row>
    <row r="477" spans="5:7" ht="12.75" customHeight="1">
      <c r="E477" s="210"/>
      <c r="F477" s="210"/>
      <c r="G477" s="210"/>
    </row>
    <row r="478" spans="5:7" ht="12.75" customHeight="1">
      <c r="E478" s="210"/>
      <c r="F478" s="210"/>
      <c r="G478" s="210"/>
    </row>
    <row r="479" spans="5:7" ht="12.75" customHeight="1">
      <c r="E479" s="210"/>
      <c r="F479" s="210"/>
      <c r="G479" s="210"/>
    </row>
    <row r="480" spans="5:7" ht="12.75" customHeight="1">
      <c r="E480" s="210"/>
      <c r="F480" s="210"/>
      <c r="G480" s="210"/>
    </row>
    <row r="481" spans="5:7" ht="12.75" customHeight="1">
      <c r="E481" s="210"/>
      <c r="F481" s="210"/>
      <c r="G481" s="210"/>
    </row>
    <row r="482" spans="5:7" ht="12.75" customHeight="1">
      <c r="E482" s="210"/>
      <c r="F482" s="210"/>
      <c r="G482" s="210"/>
    </row>
    <row r="483" spans="5:7" ht="12.75" customHeight="1">
      <c r="E483" s="210"/>
      <c r="F483" s="210"/>
      <c r="G483" s="210"/>
    </row>
    <row r="484" spans="5:7" ht="12.75" customHeight="1">
      <c r="E484" s="210"/>
      <c r="F484" s="210"/>
      <c r="G484" s="210"/>
    </row>
    <row r="485" spans="5:7" ht="12.75" customHeight="1">
      <c r="E485" s="210"/>
      <c r="F485" s="210"/>
      <c r="G485" s="210"/>
    </row>
    <row r="486" spans="5:7" ht="12.75" customHeight="1">
      <c r="E486" s="210"/>
      <c r="F486" s="210"/>
      <c r="G486" s="210"/>
    </row>
    <row r="487" spans="5:7" ht="12.75" customHeight="1">
      <c r="E487" s="210"/>
      <c r="F487" s="210"/>
      <c r="G487" s="210"/>
    </row>
    <row r="488" spans="5:7" ht="12.75" customHeight="1">
      <c r="E488" s="210"/>
      <c r="F488" s="210"/>
      <c r="G488" s="210"/>
    </row>
    <row r="489" spans="5:7" ht="12.75" customHeight="1">
      <c r="E489" s="210"/>
      <c r="F489" s="210"/>
      <c r="G489" s="210"/>
    </row>
    <row r="490" spans="5:7" ht="12.75" customHeight="1">
      <c r="E490" s="210"/>
      <c r="F490" s="210"/>
      <c r="G490" s="210"/>
    </row>
    <row r="491" spans="5:7" ht="12.75" customHeight="1">
      <c r="E491" s="210"/>
      <c r="F491" s="210"/>
      <c r="G491" s="210"/>
    </row>
    <row r="492" spans="5:7" ht="12.75" customHeight="1">
      <c r="E492" s="210"/>
      <c r="F492" s="210"/>
      <c r="G492" s="210"/>
    </row>
    <row r="493" spans="5:7" ht="12.75" customHeight="1">
      <c r="E493" s="210"/>
      <c r="F493" s="210"/>
      <c r="G493" s="210"/>
    </row>
    <row r="494" spans="5:7" ht="12.75" customHeight="1">
      <c r="E494" s="210"/>
      <c r="F494" s="210"/>
      <c r="G494" s="210"/>
    </row>
    <row r="495" spans="5:7" ht="12.75" customHeight="1">
      <c r="E495" s="210"/>
      <c r="F495" s="210"/>
      <c r="G495" s="210"/>
    </row>
    <row r="496" spans="5:7" ht="12.75" customHeight="1">
      <c r="E496" s="210"/>
      <c r="F496" s="210"/>
      <c r="G496" s="210"/>
    </row>
    <row r="497" spans="5:7" ht="12.75" customHeight="1">
      <c r="E497" s="210"/>
      <c r="F497" s="210"/>
      <c r="G497" s="210"/>
    </row>
    <row r="498" spans="5:7" ht="12.75" customHeight="1">
      <c r="E498" s="210"/>
      <c r="F498" s="210"/>
      <c r="G498" s="210"/>
    </row>
    <row r="499" spans="5:7" ht="12.75" customHeight="1">
      <c r="E499" s="210"/>
      <c r="F499" s="210"/>
      <c r="G499" s="210"/>
    </row>
    <row r="500" spans="5:7" ht="12.75" customHeight="1">
      <c r="E500" s="210"/>
      <c r="F500" s="210"/>
      <c r="G500" s="210"/>
    </row>
    <row r="501" spans="5:7" ht="12.75" customHeight="1">
      <c r="E501" s="210"/>
      <c r="F501" s="210"/>
      <c r="G501" s="210"/>
    </row>
    <row r="502" spans="5:7" ht="12.75" customHeight="1">
      <c r="E502" s="210"/>
      <c r="F502" s="210"/>
      <c r="G502" s="210"/>
    </row>
    <row r="503" spans="5:7" ht="12.75" customHeight="1">
      <c r="E503" s="210"/>
      <c r="F503" s="210"/>
      <c r="G503" s="210"/>
    </row>
    <row r="504" spans="5:7" ht="12.75" customHeight="1">
      <c r="E504" s="210"/>
      <c r="F504" s="210"/>
      <c r="G504" s="210"/>
    </row>
    <row r="505" spans="5:7" ht="12.75" customHeight="1">
      <c r="E505" s="210"/>
      <c r="F505" s="210"/>
      <c r="G505" s="210"/>
    </row>
    <row r="506" spans="5:7" ht="12.75" customHeight="1">
      <c r="E506" s="210"/>
      <c r="F506" s="210"/>
      <c r="G506" s="210"/>
    </row>
    <row r="507" spans="5:7" ht="12.75" customHeight="1">
      <c r="E507" s="210"/>
      <c r="F507" s="210"/>
      <c r="G507" s="210"/>
    </row>
    <row r="508" spans="5:7" ht="12.75" customHeight="1">
      <c r="E508" s="210"/>
      <c r="F508" s="210"/>
      <c r="G508" s="210"/>
    </row>
    <row r="509" spans="5:7" ht="12.75" customHeight="1">
      <c r="E509" s="210"/>
      <c r="F509" s="210"/>
      <c r="G509" s="210"/>
    </row>
    <row r="510" spans="5:7" ht="12.75" customHeight="1">
      <c r="E510" s="210"/>
      <c r="F510" s="210"/>
      <c r="G510" s="210"/>
    </row>
    <row r="511" spans="5:7" ht="12.75" customHeight="1">
      <c r="E511" s="210"/>
      <c r="F511" s="210"/>
      <c r="G511" s="210"/>
    </row>
    <row r="512" spans="5:7" ht="12.75" customHeight="1">
      <c r="E512" s="210"/>
      <c r="F512" s="210"/>
      <c r="G512" s="210"/>
    </row>
    <row r="513" spans="5:7" ht="12.75" customHeight="1">
      <c r="E513" s="210"/>
      <c r="F513" s="210"/>
      <c r="G513" s="210"/>
    </row>
    <row r="514" spans="5:7" ht="12.75" customHeight="1">
      <c r="E514" s="210"/>
      <c r="F514" s="210"/>
      <c r="G514" s="210"/>
    </row>
    <row r="515" spans="5:7" ht="12.75" customHeight="1">
      <c r="E515" s="210"/>
      <c r="F515" s="210"/>
      <c r="G515" s="210"/>
    </row>
    <row r="516" spans="5:7" ht="12.75" customHeight="1">
      <c r="E516" s="210"/>
      <c r="F516" s="210"/>
      <c r="G516" s="210"/>
    </row>
    <row r="517" spans="5:7" ht="12.75" customHeight="1">
      <c r="E517" s="210"/>
      <c r="F517" s="210"/>
      <c r="G517" s="210"/>
    </row>
    <row r="518" spans="5:7" ht="12.75" customHeight="1">
      <c r="E518" s="210"/>
      <c r="F518" s="210"/>
      <c r="G518" s="210"/>
    </row>
    <row r="519" spans="5:7" ht="12.75" customHeight="1">
      <c r="E519" s="210"/>
      <c r="F519" s="210"/>
      <c r="G519" s="210"/>
    </row>
    <row r="520" spans="5:7" ht="12.75" customHeight="1">
      <c r="E520" s="210"/>
      <c r="F520" s="210"/>
      <c r="G520" s="210"/>
    </row>
    <row r="521" spans="5:7" ht="12.75" customHeight="1">
      <c r="E521" s="210"/>
      <c r="F521" s="210"/>
      <c r="G521" s="210"/>
    </row>
    <row r="522" spans="5:7" ht="12.75" customHeight="1">
      <c r="E522" s="210"/>
      <c r="F522" s="210"/>
      <c r="G522" s="210"/>
    </row>
    <row r="523" spans="5:7" ht="12.75" customHeight="1">
      <c r="E523" s="210"/>
      <c r="F523" s="210"/>
      <c r="G523" s="210"/>
    </row>
    <row r="524" spans="5:7" ht="12.75" customHeight="1">
      <c r="E524" s="210"/>
      <c r="F524" s="210"/>
      <c r="G524" s="210"/>
    </row>
    <row r="525" spans="5:7" ht="12.75" customHeight="1">
      <c r="E525" s="210"/>
      <c r="F525" s="210"/>
      <c r="G525" s="210"/>
    </row>
    <row r="526" spans="5:7" ht="12.75" customHeight="1">
      <c r="E526" s="210"/>
      <c r="F526" s="210"/>
      <c r="G526" s="210"/>
    </row>
    <row r="527" spans="5:7" ht="12.75" customHeight="1">
      <c r="E527" s="210"/>
      <c r="F527" s="210"/>
      <c r="G527" s="210"/>
    </row>
    <row r="528" spans="5:7" ht="12.75" customHeight="1">
      <c r="E528" s="210"/>
      <c r="F528" s="210"/>
      <c r="G528" s="210"/>
    </row>
    <row r="529" spans="5:7" ht="12.75" customHeight="1">
      <c r="E529" s="210"/>
      <c r="F529" s="210"/>
      <c r="G529" s="210"/>
    </row>
    <row r="530" spans="5:7" ht="12.75" customHeight="1">
      <c r="E530" s="210"/>
      <c r="F530" s="210"/>
      <c r="G530" s="210"/>
    </row>
    <row r="531" spans="5:7" ht="12.75" customHeight="1">
      <c r="E531" s="210"/>
      <c r="F531" s="210"/>
      <c r="G531" s="210"/>
    </row>
    <row r="532" spans="5:7" ht="12.75" customHeight="1">
      <c r="E532" s="210"/>
      <c r="F532" s="210"/>
      <c r="G532" s="210"/>
    </row>
    <row r="533" spans="5:7" ht="12.75" customHeight="1">
      <c r="E533" s="210"/>
      <c r="F533" s="210"/>
      <c r="G533" s="210"/>
    </row>
    <row r="534" spans="5:7" ht="12.75" customHeight="1">
      <c r="E534" s="210"/>
      <c r="F534" s="210"/>
      <c r="G534" s="210"/>
    </row>
    <row r="535" spans="5:7" ht="12.75" customHeight="1">
      <c r="E535" s="210"/>
      <c r="F535" s="210"/>
      <c r="G535" s="210"/>
    </row>
    <row r="536" spans="5:7" ht="12.75" customHeight="1">
      <c r="E536" s="210"/>
      <c r="F536" s="210"/>
      <c r="G536" s="210"/>
    </row>
    <row r="537" spans="5:7" ht="12.75" customHeight="1">
      <c r="E537" s="210"/>
      <c r="F537" s="210"/>
      <c r="G537" s="210"/>
    </row>
    <row r="538" spans="5:7" ht="12.75" customHeight="1">
      <c r="E538" s="210"/>
      <c r="F538" s="210"/>
      <c r="G538" s="210"/>
    </row>
    <row r="539" spans="5:7" ht="12.75" customHeight="1">
      <c r="E539" s="210"/>
      <c r="F539" s="210"/>
      <c r="G539" s="210"/>
    </row>
    <row r="540" spans="5:7" ht="12.75" customHeight="1">
      <c r="E540" s="210"/>
      <c r="F540" s="210"/>
      <c r="G540" s="210"/>
    </row>
    <row r="541" spans="5:7" ht="12.75" customHeight="1">
      <c r="E541" s="210"/>
      <c r="F541" s="210"/>
      <c r="G541" s="210"/>
    </row>
    <row r="542" spans="5:7" ht="12.75" customHeight="1">
      <c r="E542" s="210"/>
      <c r="F542" s="210"/>
      <c r="G542" s="210"/>
    </row>
    <row r="543" spans="5:7" ht="12.75" customHeight="1">
      <c r="E543" s="210"/>
      <c r="F543" s="210"/>
      <c r="G543" s="210"/>
    </row>
    <row r="544" spans="5:7" ht="12.75" customHeight="1">
      <c r="E544" s="210"/>
      <c r="F544" s="210"/>
      <c r="G544" s="210"/>
    </row>
    <row r="545" spans="5:7" ht="12.75" customHeight="1">
      <c r="E545" s="210"/>
      <c r="F545" s="210"/>
      <c r="G545" s="210"/>
    </row>
    <row r="546" spans="5:7" ht="12.75" customHeight="1">
      <c r="E546" s="210"/>
      <c r="F546" s="210"/>
      <c r="G546" s="210"/>
    </row>
    <row r="547" spans="5:7" ht="12.75" customHeight="1">
      <c r="E547" s="210"/>
      <c r="F547" s="210"/>
      <c r="G547" s="210"/>
    </row>
    <row r="548" spans="5:7" ht="12.75" customHeight="1">
      <c r="E548" s="210"/>
      <c r="F548" s="210"/>
      <c r="G548" s="210"/>
    </row>
    <row r="549" spans="5:7" ht="12.75" customHeight="1">
      <c r="E549" s="210"/>
      <c r="F549" s="210"/>
      <c r="G549" s="210"/>
    </row>
    <row r="550" spans="5:7" ht="12.75" customHeight="1">
      <c r="E550" s="210"/>
      <c r="F550" s="210"/>
      <c r="G550" s="210"/>
    </row>
    <row r="551" spans="5:7" ht="12.75" customHeight="1">
      <c r="E551" s="210"/>
      <c r="F551" s="210"/>
      <c r="G551" s="210"/>
    </row>
    <row r="552" spans="5:7" ht="12.75" customHeight="1">
      <c r="E552" s="210"/>
      <c r="F552" s="210"/>
      <c r="G552" s="210"/>
    </row>
    <row r="553" spans="5:7" ht="12.75" customHeight="1">
      <c r="E553" s="210"/>
      <c r="F553" s="210"/>
      <c r="G553" s="210"/>
    </row>
    <row r="554" spans="5:7" ht="12.75" customHeight="1">
      <c r="E554" s="210"/>
      <c r="F554" s="210"/>
      <c r="G554" s="210"/>
    </row>
    <row r="555" spans="5:7" ht="12.75" customHeight="1">
      <c r="E555" s="210"/>
      <c r="F555" s="210"/>
      <c r="G555" s="210"/>
    </row>
    <row r="556" spans="5:7" ht="12.75" customHeight="1">
      <c r="E556" s="210"/>
      <c r="F556" s="210"/>
      <c r="G556" s="210"/>
    </row>
    <row r="557" spans="5:7" ht="12.75" customHeight="1">
      <c r="E557" s="210"/>
      <c r="F557" s="210"/>
      <c r="G557" s="210"/>
    </row>
    <row r="558" spans="5:7" ht="12.75" customHeight="1">
      <c r="E558" s="210"/>
      <c r="F558" s="210"/>
      <c r="G558" s="210"/>
    </row>
    <row r="559" spans="5:7" ht="12.75" customHeight="1">
      <c r="E559" s="210"/>
      <c r="F559" s="210"/>
      <c r="G559" s="210"/>
    </row>
    <row r="560" spans="5:7" ht="12.75" customHeight="1">
      <c r="E560" s="210"/>
      <c r="F560" s="210"/>
      <c r="G560" s="210"/>
    </row>
    <row r="561" spans="5:7" ht="12.75" customHeight="1">
      <c r="E561" s="210"/>
      <c r="F561" s="210"/>
      <c r="G561" s="210"/>
    </row>
    <row r="562" spans="5:7" ht="12.75" customHeight="1">
      <c r="E562" s="210"/>
      <c r="F562" s="210"/>
      <c r="G562" s="210"/>
    </row>
    <row r="563" spans="5:7" ht="12.75" customHeight="1">
      <c r="E563" s="210"/>
      <c r="F563" s="210"/>
      <c r="G563" s="210"/>
    </row>
    <row r="564" spans="5:7" ht="12.75" customHeight="1">
      <c r="E564" s="210"/>
      <c r="F564" s="210"/>
      <c r="G564" s="210"/>
    </row>
    <row r="565" spans="5:7" ht="12.75" customHeight="1">
      <c r="E565" s="210"/>
      <c r="F565" s="210"/>
      <c r="G565" s="210"/>
    </row>
    <row r="566" spans="5:7" ht="12.75" customHeight="1">
      <c r="E566" s="210"/>
      <c r="F566" s="210"/>
      <c r="G566" s="210"/>
    </row>
    <row r="567" spans="5:7" ht="12.75" customHeight="1">
      <c r="E567" s="210"/>
      <c r="F567" s="210"/>
      <c r="G567" s="210"/>
    </row>
    <row r="568" spans="5:7" ht="12.75" customHeight="1">
      <c r="E568" s="210"/>
      <c r="F568" s="210"/>
      <c r="G568" s="210"/>
    </row>
    <row r="569" spans="5:7" ht="12.75" customHeight="1">
      <c r="E569" s="210"/>
      <c r="F569" s="210"/>
      <c r="G569" s="210"/>
    </row>
    <row r="570" spans="5:7" ht="12.75" customHeight="1">
      <c r="E570" s="210"/>
      <c r="F570" s="210"/>
      <c r="G570" s="210"/>
    </row>
    <row r="571" spans="5:7" ht="12.75" customHeight="1">
      <c r="E571" s="210"/>
      <c r="F571" s="210"/>
      <c r="G571" s="210"/>
    </row>
    <row r="572" spans="5:7" ht="12.75" customHeight="1">
      <c r="E572" s="210"/>
      <c r="F572" s="210"/>
      <c r="G572" s="210"/>
    </row>
    <row r="573" spans="5:7" ht="12.75" customHeight="1">
      <c r="E573" s="210"/>
      <c r="F573" s="210"/>
      <c r="G573" s="210"/>
    </row>
    <row r="574" spans="5:7" ht="12.75" customHeight="1">
      <c r="E574" s="210"/>
      <c r="F574" s="210"/>
      <c r="G574" s="210"/>
    </row>
    <row r="575" spans="5:7" ht="12.75" customHeight="1">
      <c r="E575" s="210"/>
      <c r="F575" s="210"/>
      <c r="G575" s="210"/>
    </row>
    <row r="576" spans="5:7" ht="12.75" customHeight="1">
      <c r="E576" s="210"/>
      <c r="F576" s="210"/>
      <c r="G576" s="210"/>
    </row>
    <row r="577" spans="5:7" ht="12.75" customHeight="1">
      <c r="E577" s="210"/>
      <c r="F577" s="210"/>
      <c r="G577" s="210"/>
    </row>
    <row r="578" spans="5:7" ht="12.75" customHeight="1">
      <c r="E578" s="210"/>
      <c r="F578" s="210"/>
      <c r="G578" s="210"/>
    </row>
    <row r="579" spans="5:7" ht="12.75" customHeight="1">
      <c r="E579" s="210"/>
      <c r="F579" s="210"/>
      <c r="G579" s="210"/>
    </row>
    <row r="580" spans="5:7" ht="12.75" customHeight="1">
      <c r="E580" s="210"/>
      <c r="F580" s="210"/>
      <c r="G580" s="210"/>
    </row>
    <row r="581" spans="5:7" ht="12.75" customHeight="1">
      <c r="E581" s="210"/>
      <c r="F581" s="210"/>
      <c r="G581" s="210"/>
    </row>
    <row r="582" spans="5:7" ht="12.75" customHeight="1">
      <c r="E582" s="210"/>
      <c r="F582" s="210"/>
      <c r="G582" s="210"/>
    </row>
    <row r="583" spans="5:7" ht="12.75" customHeight="1">
      <c r="E583" s="210"/>
      <c r="F583" s="210"/>
      <c r="G583" s="210"/>
    </row>
    <row r="584" spans="5:7" ht="12.75" customHeight="1">
      <c r="E584" s="210"/>
      <c r="F584" s="210"/>
      <c r="G584" s="210"/>
    </row>
    <row r="585" spans="5:7" ht="12.75" customHeight="1">
      <c r="E585" s="210"/>
      <c r="F585" s="210"/>
      <c r="G585" s="210"/>
    </row>
    <row r="586" spans="5:7" ht="12.75" customHeight="1">
      <c r="E586" s="210"/>
      <c r="F586" s="210"/>
      <c r="G586" s="210"/>
    </row>
    <row r="587" spans="5:7" ht="12.75" customHeight="1">
      <c r="E587" s="210"/>
      <c r="F587" s="210"/>
      <c r="G587" s="210"/>
    </row>
    <row r="588" spans="5:7" ht="12.75" customHeight="1">
      <c r="E588" s="210"/>
      <c r="F588" s="210"/>
      <c r="G588" s="210"/>
    </row>
    <row r="589" spans="5:7" ht="12.75" customHeight="1">
      <c r="E589" s="210"/>
      <c r="F589" s="210"/>
      <c r="G589" s="210"/>
    </row>
    <row r="590" spans="5:7" ht="12.75" customHeight="1">
      <c r="E590" s="210"/>
      <c r="F590" s="210"/>
      <c r="G590" s="210"/>
    </row>
    <row r="591" spans="5:7" ht="12.75" customHeight="1">
      <c r="E591" s="210"/>
      <c r="F591" s="210"/>
      <c r="G591" s="210"/>
    </row>
    <row r="592" spans="5:7" ht="12.75" customHeight="1">
      <c r="E592" s="210"/>
      <c r="F592" s="210"/>
      <c r="G592" s="210"/>
    </row>
    <row r="593" spans="5:7" ht="12.75" customHeight="1">
      <c r="E593" s="210"/>
      <c r="F593" s="210"/>
      <c r="G593" s="210"/>
    </row>
    <row r="594" spans="5:7" ht="12.75" customHeight="1">
      <c r="E594" s="210"/>
      <c r="F594" s="210"/>
      <c r="G594" s="210"/>
    </row>
    <row r="595" spans="5:7" ht="12.75" customHeight="1">
      <c r="E595" s="210"/>
      <c r="F595" s="210"/>
      <c r="G595" s="210"/>
    </row>
    <row r="596" spans="5:7" ht="12.75" customHeight="1">
      <c r="E596" s="210"/>
      <c r="F596" s="210"/>
      <c r="G596" s="210"/>
    </row>
    <row r="597" spans="5:7" ht="12.75" customHeight="1">
      <c r="E597" s="210"/>
      <c r="F597" s="210"/>
      <c r="G597" s="210"/>
    </row>
    <row r="598" spans="5:7" ht="12.75" customHeight="1">
      <c r="E598" s="210"/>
      <c r="F598" s="210"/>
      <c r="G598" s="210"/>
    </row>
    <row r="599" spans="5:7" ht="12.75" customHeight="1">
      <c r="E599" s="210"/>
      <c r="F599" s="210"/>
      <c r="G599" s="210"/>
    </row>
    <row r="600" spans="5:7" ht="12.75" customHeight="1">
      <c r="E600" s="210"/>
      <c r="F600" s="210"/>
      <c r="G600" s="210"/>
    </row>
    <row r="601" spans="5:7" ht="12.75" customHeight="1">
      <c r="E601" s="210"/>
      <c r="F601" s="210"/>
      <c r="G601" s="210"/>
    </row>
    <row r="602" spans="5:7" ht="12.75" customHeight="1">
      <c r="E602" s="210"/>
      <c r="F602" s="210"/>
      <c r="G602" s="210"/>
    </row>
    <row r="603" spans="5:7" ht="12.75" customHeight="1">
      <c r="E603" s="210"/>
      <c r="F603" s="210"/>
      <c r="G603" s="210"/>
    </row>
    <row r="604" spans="5:7" ht="12.75" customHeight="1">
      <c r="E604" s="210"/>
      <c r="F604" s="210"/>
      <c r="G604" s="210"/>
    </row>
    <row r="605" spans="5:7" ht="12.75" customHeight="1">
      <c r="E605" s="210"/>
      <c r="F605" s="210"/>
      <c r="G605" s="210"/>
    </row>
    <row r="606" spans="5:7" ht="12.75" customHeight="1">
      <c r="E606" s="210"/>
      <c r="F606" s="210"/>
      <c r="G606" s="210"/>
    </row>
    <row r="607" spans="5:7" ht="12.75" customHeight="1">
      <c r="E607" s="210"/>
      <c r="F607" s="210"/>
      <c r="G607" s="210"/>
    </row>
    <row r="608" spans="5:7" ht="12.75" customHeight="1">
      <c r="E608" s="210"/>
      <c r="F608" s="210"/>
      <c r="G608" s="210"/>
    </row>
    <row r="609" spans="5:7" ht="12.75" customHeight="1">
      <c r="E609" s="210"/>
      <c r="F609" s="210"/>
      <c r="G609" s="210"/>
    </row>
    <row r="610" spans="5:7" ht="12.75" customHeight="1">
      <c r="E610" s="210"/>
      <c r="F610" s="210"/>
      <c r="G610" s="210"/>
    </row>
    <row r="611" spans="5:7" ht="12.75" customHeight="1">
      <c r="E611" s="210"/>
      <c r="F611" s="210"/>
      <c r="G611" s="210"/>
    </row>
    <row r="612" spans="5:7" ht="12.75" customHeight="1">
      <c r="E612" s="210"/>
      <c r="F612" s="210"/>
      <c r="G612" s="210"/>
    </row>
    <row r="613" spans="5:7" ht="12.75" customHeight="1">
      <c r="E613" s="210"/>
      <c r="F613" s="210"/>
      <c r="G613" s="210"/>
    </row>
    <row r="614" spans="5:7" ht="12.75" customHeight="1">
      <c r="E614" s="210"/>
      <c r="F614" s="210"/>
      <c r="G614" s="210"/>
    </row>
    <row r="615" spans="5:7" ht="12.75" customHeight="1">
      <c r="E615" s="210"/>
      <c r="F615" s="210"/>
      <c r="G615" s="210"/>
    </row>
    <row r="616" spans="5:7" ht="12.75" customHeight="1">
      <c r="E616" s="210"/>
      <c r="F616" s="210"/>
      <c r="G616" s="210"/>
    </row>
    <row r="617" spans="5:7" ht="12.75" customHeight="1">
      <c r="E617" s="210"/>
      <c r="F617" s="210"/>
      <c r="G617" s="210"/>
    </row>
    <row r="618" spans="5:7" ht="12.75" customHeight="1">
      <c r="E618" s="210"/>
      <c r="F618" s="210"/>
      <c r="G618" s="210"/>
    </row>
    <row r="619" spans="5:7" ht="12.75" customHeight="1">
      <c r="E619" s="210"/>
      <c r="F619" s="210"/>
      <c r="G619" s="210"/>
    </row>
    <row r="620" spans="5:7" ht="12.75" customHeight="1">
      <c r="E620" s="210"/>
      <c r="F620" s="210"/>
      <c r="G620" s="210"/>
    </row>
    <row r="621" spans="5:7" ht="12.75" customHeight="1">
      <c r="E621" s="210"/>
      <c r="F621" s="210"/>
      <c r="G621" s="210"/>
    </row>
    <row r="622" spans="5:7" ht="12.75" customHeight="1">
      <c r="E622" s="210"/>
      <c r="F622" s="210"/>
      <c r="G622" s="210"/>
    </row>
    <row r="623" spans="5:7" ht="12.75" customHeight="1">
      <c r="E623" s="210"/>
      <c r="F623" s="210"/>
      <c r="G623" s="210"/>
    </row>
    <row r="624" spans="5:7" ht="12.75" customHeight="1">
      <c r="E624" s="210"/>
      <c r="F624" s="210"/>
      <c r="G624" s="210"/>
    </row>
    <row r="625" spans="5:7" ht="12.75" customHeight="1">
      <c r="E625" s="210"/>
      <c r="F625" s="210"/>
      <c r="G625" s="210"/>
    </row>
    <row r="626" spans="5:7" ht="12.75" customHeight="1">
      <c r="E626" s="210"/>
      <c r="F626" s="210"/>
      <c r="G626" s="210"/>
    </row>
    <row r="627" spans="5:7" ht="12.75" customHeight="1">
      <c r="E627" s="210"/>
      <c r="F627" s="210"/>
      <c r="G627" s="210"/>
    </row>
    <row r="628" spans="5:7" ht="12.75" customHeight="1">
      <c r="E628" s="210"/>
      <c r="F628" s="210"/>
      <c r="G628" s="210"/>
    </row>
    <row r="629" spans="5:7" ht="12.75" customHeight="1">
      <c r="E629" s="210"/>
      <c r="F629" s="210"/>
      <c r="G629" s="210"/>
    </row>
    <row r="630" spans="5:7" ht="12.75" customHeight="1">
      <c r="E630" s="210"/>
      <c r="F630" s="210"/>
      <c r="G630" s="210"/>
    </row>
    <row r="631" spans="5:7" ht="12.75" customHeight="1">
      <c r="E631" s="210"/>
      <c r="F631" s="210"/>
      <c r="G631" s="210"/>
    </row>
    <row r="632" spans="5:7" ht="12.75" customHeight="1">
      <c r="E632" s="210"/>
      <c r="F632" s="210"/>
      <c r="G632" s="210"/>
    </row>
    <row r="633" spans="5:7" ht="12.75" customHeight="1">
      <c r="E633" s="210"/>
      <c r="F633" s="210"/>
      <c r="G633" s="210"/>
    </row>
    <row r="634" spans="5:7" ht="12.75" customHeight="1">
      <c r="E634" s="210"/>
      <c r="F634" s="210"/>
      <c r="G634" s="210"/>
    </row>
    <row r="635" spans="5:7" ht="12.75" customHeight="1">
      <c r="E635" s="210"/>
      <c r="F635" s="210"/>
      <c r="G635" s="210"/>
    </row>
    <row r="636" spans="5:7" ht="12.75" customHeight="1">
      <c r="E636" s="210"/>
      <c r="F636" s="210"/>
      <c r="G636" s="210"/>
    </row>
    <row r="637" spans="5:7" ht="12.75" customHeight="1">
      <c r="E637" s="210"/>
      <c r="F637" s="210"/>
      <c r="G637" s="210"/>
    </row>
    <row r="638" spans="5:7" ht="12.75" customHeight="1">
      <c r="E638" s="210"/>
      <c r="F638" s="210"/>
      <c r="G638" s="210"/>
    </row>
    <row r="639" spans="5:7" ht="12.75" customHeight="1">
      <c r="E639" s="210"/>
      <c r="F639" s="210"/>
      <c r="G639" s="210"/>
    </row>
    <row r="640" spans="5:7" ht="12.75" customHeight="1">
      <c r="E640" s="210"/>
      <c r="F640" s="210"/>
      <c r="G640" s="210"/>
    </row>
    <row r="641" spans="5:7" ht="12.75" customHeight="1">
      <c r="E641" s="210"/>
      <c r="F641" s="210"/>
      <c r="G641" s="210"/>
    </row>
    <row r="642" spans="5:7" ht="12.75" customHeight="1">
      <c r="E642" s="210"/>
      <c r="F642" s="210"/>
      <c r="G642" s="210"/>
    </row>
    <row r="643" spans="5:7" ht="12.75" customHeight="1">
      <c r="E643" s="210"/>
      <c r="F643" s="210"/>
      <c r="G643" s="210"/>
    </row>
    <row r="644" spans="5:7" ht="12.75" customHeight="1">
      <c r="E644" s="210"/>
      <c r="F644" s="210"/>
      <c r="G644" s="210"/>
    </row>
    <row r="645" spans="5:7" ht="12.75" customHeight="1">
      <c r="E645" s="210"/>
      <c r="F645" s="210"/>
      <c r="G645" s="210"/>
    </row>
    <row r="646" spans="5:7" ht="12.75" customHeight="1">
      <c r="E646" s="210"/>
      <c r="F646" s="210"/>
      <c r="G646" s="210"/>
    </row>
    <row r="647" spans="5:7" ht="12.75" customHeight="1">
      <c r="E647" s="210"/>
      <c r="F647" s="210"/>
      <c r="G647" s="210"/>
    </row>
    <row r="648" spans="5:7" ht="12.75" customHeight="1">
      <c r="E648" s="210"/>
      <c r="F648" s="210"/>
      <c r="G648" s="210"/>
    </row>
    <row r="649" spans="5:7" ht="12.75" customHeight="1">
      <c r="E649" s="210"/>
      <c r="F649" s="210"/>
      <c r="G649" s="210"/>
    </row>
    <row r="650" spans="5:7" ht="12.75" customHeight="1">
      <c r="E650" s="210"/>
      <c r="F650" s="210"/>
      <c r="G650" s="210"/>
    </row>
    <row r="651" spans="5:7" ht="12.75" customHeight="1">
      <c r="E651" s="210"/>
      <c r="F651" s="210"/>
      <c r="G651" s="210"/>
    </row>
    <row r="652" spans="5:7" ht="12.75" customHeight="1">
      <c r="E652" s="210"/>
      <c r="F652" s="210"/>
      <c r="G652" s="210"/>
    </row>
    <row r="653" spans="5:7" ht="12.75" customHeight="1">
      <c r="E653" s="210"/>
      <c r="F653" s="210"/>
      <c r="G653" s="210"/>
    </row>
    <row r="654" spans="5:7" ht="12.75" customHeight="1">
      <c r="E654" s="210"/>
      <c r="F654" s="210"/>
      <c r="G654" s="210"/>
    </row>
    <row r="655" spans="5:7" ht="12.75" customHeight="1">
      <c r="E655" s="210"/>
      <c r="F655" s="210"/>
      <c r="G655" s="210"/>
    </row>
    <row r="656" spans="5:7" ht="12.75" customHeight="1">
      <c r="E656" s="210"/>
      <c r="F656" s="210"/>
      <c r="G656" s="210"/>
    </row>
    <row r="657" spans="5:7" ht="12.75" customHeight="1">
      <c r="E657" s="210"/>
      <c r="F657" s="210"/>
      <c r="G657" s="210"/>
    </row>
    <row r="658" spans="5:7" ht="12.75" customHeight="1">
      <c r="E658" s="210"/>
      <c r="F658" s="210"/>
      <c r="G658" s="210"/>
    </row>
    <row r="659" spans="5:7" ht="12.75" customHeight="1">
      <c r="E659" s="210"/>
      <c r="F659" s="210"/>
      <c r="G659" s="210"/>
    </row>
    <row r="660" spans="5:7" ht="12.75" customHeight="1">
      <c r="E660" s="210"/>
      <c r="F660" s="210"/>
      <c r="G660" s="210"/>
    </row>
    <row r="661" spans="5:7" ht="12.75" customHeight="1">
      <c r="E661" s="210"/>
      <c r="F661" s="210"/>
      <c r="G661" s="210"/>
    </row>
    <row r="662" spans="5:7" ht="12.75" customHeight="1">
      <c r="E662" s="210"/>
      <c r="F662" s="210"/>
      <c r="G662" s="210"/>
    </row>
    <row r="663" spans="5:7" ht="12.75" customHeight="1">
      <c r="E663" s="210"/>
      <c r="F663" s="210"/>
      <c r="G663" s="210"/>
    </row>
    <row r="664" spans="5:7" ht="12.75" customHeight="1">
      <c r="E664" s="210"/>
      <c r="F664" s="210"/>
      <c r="G664" s="210"/>
    </row>
    <row r="665" spans="5:7" ht="12.75" customHeight="1">
      <c r="E665" s="210"/>
      <c r="F665" s="210"/>
      <c r="G665" s="210"/>
    </row>
    <row r="666" spans="5:7" ht="12.75" customHeight="1">
      <c r="E666" s="210"/>
      <c r="F666" s="210"/>
      <c r="G666" s="210"/>
    </row>
    <row r="667" spans="5:7" ht="12.75" customHeight="1">
      <c r="E667" s="210"/>
      <c r="F667" s="210"/>
      <c r="G667" s="210"/>
    </row>
    <row r="668" spans="5:7" ht="12.75" customHeight="1">
      <c r="E668" s="210"/>
      <c r="F668" s="210"/>
      <c r="G668" s="210"/>
    </row>
    <row r="669" spans="5:7" ht="12.75" customHeight="1">
      <c r="E669" s="210"/>
      <c r="F669" s="210"/>
      <c r="G669" s="210"/>
    </row>
    <row r="670" spans="5:7" ht="12.75" customHeight="1">
      <c r="E670" s="210"/>
      <c r="F670" s="210"/>
      <c r="G670" s="210"/>
    </row>
    <row r="671" spans="5:7" ht="12.75" customHeight="1">
      <c r="E671" s="210"/>
      <c r="F671" s="210"/>
      <c r="G671" s="210"/>
    </row>
    <row r="672" spans="5:7" ht="12.75" customHeight="1">
      <c r="E672" s="210"/>
      <c r="F672" s="210"/>
      <c r="G672" s="210"/>
    </row>
    <row r="673" spans="5:7" ht="12.75" customHeight="1">
      <c r="E673" s="210"/>
      <c r="F673" s="210"/>
      <c r="G673" s="210"/>
    </row>
    <row r="674" spans="5:7" ht="12.75" customHeight="1">
      <c r="E674" s="210"/>
      <c r="F674" s="210"/>
      <c r="G674" s="210"/>
    </row>
    <row r="675" spans="5:7" ht="12.75" customHeight="1">
      <c r="E675" s="210"/>
      <c r="F675" s="210"/>
      <c r="G675" s="210"/>
    </row>
    <row r="676" spans="5:7" ht="12.75" customHeight="1">
      <c r="E676" s="210"/>
      <c r="F676" s="210"/>
      <c r="G676" s="210"/>
    </row>
    <row r="677" spans="5:7" ht="12.75" customHeight="1">
      <c r="E677" s="210"/>
      <c r="F677" s="210"/>
      <c r="G677" s="210"/>
    </row>
    <row r="678" spans="5:7" ht="12.75" customHeight="1">
      <c r="E678" s="210"/>
      <c r="F678" s="210"/>
      <c r="G678" s="210"/>
    </row>
    <row r="679" spans="5:7" ht="12.75" customHeight="1">
      <c r="E679" s="210"/>
      <c r="F679" s="210"/>
      <c r="G679" s="210"/>
    </row>
    <row r="680" spans="5:7" ht="12.75" customHeight="1">
      <c r="E680" s="210"/>
      <c r="F680" s="210"/>
      <c r="G680" s="210"/>
    </row>
    <row r="681" spans="5:7" ht="12.75" customHeight="1">
      <c r="E681" s="210"/>
      <c r="F681" s="210"/>
      <c r="G681" s="210"/>
    </row>
    <row r="682" spans="5:7" ht="12.75" customHeight="1">
      <c r="E682" s="210"/>
      <c r="F682" s="210"/>
      <c r="G682" s="210"/>
    </row>
    <row r="683" spans="5:7" ht="12.75" customHeight="1">
      <c r="E683" s="210"/>
      <c r="F683" s="210"/>
      <c r="G683" s="210"/>
    </row>
    <row r="684" spans="5:7" ht="12.75" customHeight="1">
      <c r="E684" s="210"/>
      <c r="F684" s="210"/>
      <c r="G684" s="210"/>
    </row>
    <row r="685" spans="5:7" ht="12.75" customHeight="1">
      <c r="E685" s="210"/>
      <c r="F685" s="210"/>
      <c r="G685" s="210"/>
    </row>
    <row r="686" spans="5:7" ht="12.75" customHeight="1">
      <c r="E686" s="210"/>
      <c r="F686" s="210"/>
      <c r="G686" s="210"/>
    </row>
    <row r="687" spans="5:7" ht="12.75" customHeight="1">
      <c r="E687" s="210"/>
      <c r="F687" s="210"/>
      <c r="G687" s="210"/>
    </row>
    <row r="688" spans="5:7" ht="12.75" customHeight="1">
      <c r="E688" s="210"/>
      <c r="F688" s="210"/>
      <c r="G688" s="210"/>
    </row>
    <row r="689" spans="5:7" ht="12.75" customHeight="1">
      <c r="E689" s="210"/>
      <c r="F689" s="210"/>
      <c r="G689" s="210"/>
    </row>
    <row r="690" spans="5:7" ht="12.75" customHeight="1">
      <c r="E690" s="210"/>
      <c r="F690" s="210"/>
      <c r="G690" s="210"/>
    </row>
    <row r="691" spans="5:7" ht="12.75" customHeight="1">
      <c r="E691" s="210"/>
      <c r="F691" s="210"/>
      <c r="G691" s="210"/>
    </row>
    <row r="692" spans="5:7" ht="12.75" customHeight="1">
      <c r="E692" s="210"/>
      <c r="F692" s="210"/>
      <c r="G692" s="210"/>
    </row>
    <row r="693" spans="5:7" ht="12.75" customHeight="1">
      <c r="E693" s="210"/>
      <c r="F693" s="210"/>
      <c r="G693" s="210"/>
    </row>
    <row r="694" spans="5:7" ht="12.75" customHeight="1">
      <c r="E694" s="210"/>
      <c r="F694" s="210"/>
      <c r="G694" s="210"/>
    </row>
    <row r="695" spans="5:7" ht="12.75" customHeight="1">
      <c r="E695" s="210"/>
      <c r="F695" s="210"/>
      <c r="G695" s="210"/>
    </row>
    <row r="696" spans="5:7" ht="12.75" customHeight="1">
      <c r="E696" s="210"/>
      <c r="F696" s="210"/>
      <c r="G696" s="210"/>
    </row>
    <row r="697" spans="5:7" ht="12.75" customHeight="1">
      <c r="E697" s="210"/>
      <c r="F697" s="210"/>
      <c r="G697" s="210"/>
    </row>
    <row r="698" spans="5:7" ht="12.75" customHeight="1">
      <c r="E698" s="210"/>
      <c r="F698" s="210"/>
      <c r="G698" s="210"/>
    </row>
    <row r="699" spans="5:7" ht="12.75" customHeight="1">
      <c r="E699" s="210"/>
      <c r="F699" s="210"/>
      <c r="G699" s="210"/>
    </row>
    <row r="700" spans="5:7" ht="12.75" customHeight="1">
      <c r="E700" s="210"/>
      <c r="F700" s="210"/>
      <c r="G700" s="210"/>
    </row>
    <row r="701" spans="5:7" ht="12.75" customHeight="1">
      <c r="E701" s="210"/>
      <c r="F701" s="210"/>
      <c r="G701" s="210"/>
    </row>
    <row r="702" spans="5:7" ht="12.75" customHeight="1">
      <c r="E702" s="210"/>
      <c r="F702" s="210"/>
      <c r="G702" s="210"/>
    </row>
    <row r="703" spans="5:7" ht="12.75" customHeight="1">
      <c r="E703" s="210"/>
      <c r="F703" s="210"/>
      <c r="G703" s="210"/>
    </row>
    <row r="704" spans="5:7" ht="12.75" customHeight="1">
      <c r="E704" s="210"/>
      <c r="F704" s="210"/>
      <c r="G704" s="210"/>
    </row>
    <row r="705" spans="5:7" ht="12.75" customHeight="1">
      <c r="E705" s="210"/>
      <c r="F705" s="210"/>
      <c r="G705" s="210"/>
    </row>
    <row r="706" spans="5:7" ht="12.75" customHeight="1">
      <c r="E706" s="210"/>
      <c r="F706" s="210"/>
      <c r="G706" s="210"/>
    </row>
    <row r="707" spans="5:7" ht="12.75" customHeight="1">
      <c r="E707" s="210"/>
      <c r="F707" s="210"/>
      <c r="G707" s="210"/>
    </row>
    <row r="708" spans="5:7" ht="12.75" customHeight="1">
      <c r="E708" s="210"/>
      <c r="F708" s="210"/>
      <c r="G708" s="210"/>
    </row>
    <row r="709" spans="5:7" ht="12.75" customHeight="1">
      <c r="E709" s="210"/>
      <c r="F709" s="210"/>
      <c r="G709" s="210"/>
    </row>
    <row r="710" spans="5:7" ht="12.75" customHeight="1">
      <c r="E710" s="210"/>
      <c r="F710" s="210"/>
      <c r="G710" s="210"/>
    </row>
    <row r="711" spans="5:7" ht="12.75" customHeight="1">
      <c r="E711" s="210"/>
      <c r="F711" s="210"/>
      <c r="G711" s="210"/>
    </row>
    <row r="712" spans="5:7" ht="12.75" customHeight="1">
      <c r="E712" s="210"/>
      <c r="F712" s="210"/>
      <c r="G712" s="210"/>
    </row>
    <row r="713" spans="5:7" ht="12.75" customHeight="1">
      <c r="E713" s="210"/>
      <c r="F713" s="210"/>
      <c r="G713" s="210"/>
    </row>
    <row r="714" spans="5:7" ht="12.75" customHeight="1">
      <c r="E714" s="210"/>
      <c r="F714" s="210"/>
      <c r="G714" s="210"/>
    </row>
    <row r="715" spans="5:7" ht="12.75" customHeight="1">
      <c r="E715" s="210"/>
      <c r="F715" s="210"/>
      <c r="G715" s="210"/>
    </row>
    <row r="716" spans="5:7" ht="12.75" customHeight="1">
      <c r="E716" s="210"/>
      <c r="F716" s="210"/>
      <c r="G716" s="210"/>
    </row>
    <row r="717" spans="5:7" ht="12.75" customHeight="1">
      <c r="E717" s="210"/>
      <c r="F717" s="210"/>
      <c r="G717" s="210"/>
    </row>
    <row r="718" spans="5:7" ht="12.75" customHeight="1">
      <c r="E718" s="210"/>
      <c r="F718" s="210"/>
      <c r="G718" s="210"/>
    </row>
    <row r="719" spans="5:7" ht="12.75" customHeight="1">
      <c r="E719" s="210"/>
      <c r="F719" s="210"/>
      <c r="G719" s="210"/>
    </row>
    <row r="720" spans="5:7" ht="12.75" customHeight="1">
      <c r="E720" s="210"/>
      <c r="F720" s="210"/>
      <c r="G720" s="210"/>
    </row>
    <row r="721" spans="5:7" ht="12.75" customHeight="1">
      <c r="E721" s="210"/>
      <c r="F721" s="210"/>
      <c r="G721" s="210"/>
    </row>
    <row r="722" spans="5:7" ht="12.75" customHeight="1">
      <c r="E722" s="210"/>
      <c r="F722" s="210"/>
      <c r="G722" s="210"/>
    </row>
    <row r="723" spans="5:7" ht="12.75" customHeight="1">
      <c r="E723" s="210"/>
      <c r="F723" s="210"/>
      <c r="G723" s="210"/>
    </row>
    <row r="724" spans="5:7" ht="12.75" customHeight="1">
      <c r="E724" s="210"/>
      <c r="F724" s="210"/>
      <c r="G724" s="210"/>
    </row>
    <row r="725" spans="5:7" ht="12.75" customHeight="1">
      <c r="E725" s="210"/>
      <c r="F725" s="210"/>
      <c r="G725" s="210"/>
    </row>
    <row r="726" spans="5:7" ht="12.75" customHeight="1">
      <c r="E726" s="210"/>
      <c r="F726" s="210"/>
      <c r="G726" s="210"/>
    </row>
    <row r="727" spans="5:7" ht="12.75" customHeight="1">
      <c r="E727" s="210"/>
      <c r="F727" s="210"/>
      <c r="G727" s="210"/>
    </row>
    <row r="728" spans="5:7" ht="12.75" customHeight="1">
      <c r="E728" s="210"/>
      <c r="F728" s="210"/>
      <c r="G728" s="210"/>
    </row>
    <row r="729" spans="5:7" ht="12.75" customHeight="1">
      <c r="E729" s="210"/>
      <c r="F729" s="210"/>
      <c r="G729" s="210"/>
    </row>
    <row r="730" spans="5:7" ht="12.75" customHeight="1">
      <c r="E730" s="210"/>
      <c r="F730" s="210"/>
      <c r="G730" s="210"/>
    </row>
    <row r="731" spans="5:7" ht="12.75" customHeight="1">
      <c r="E731" s="210"/>
      <c r="F731" s="210"/>
      <c r="G731" s="210"/>
    </row>
    <row r="732" spans="5:7" ht="12.75" customHeight="1">
      <c r="E732" s="210"/>
      <c r="F732" s="210"/>
      <c r="G732" s="210"/>
    </row>
    <row r="733" spans="5:7" ht="12.75" customHeight="1">
      <c r="E733" s="210"/>
      <c r="F733" s="210"/>
      <c r="G733" s="210"/>
    </row>
    <row r="734" spans="5:7" ht="12.75" customHeight="1">
      <c r="E734" s="210"/>
      <c r="F734" s="210"/>
      <c r="G734" s="210"/>
    </row>
    <row r="735" spans="5:7" ht="12.75" customHeight="1">
      <c r="E735" s="210"/>
      <c r="F735" s="210"/>
      <c r="G735" s="210"/>
    </row>
    <row r="736" spans="5:7" ht="12.75" customHeight="1">
      <c r="E736" s="210"/>
      <c r="F736" s="210"/>
      <c r="G736" s="210"/>
    </row>
    <row r="737" spans="5:7" ht="12.75" customHeight="1">
      <c r="E737" s="210"/>
      <c r="F737" s="210"/>
      <c r="G737" s="210"/>
    </row>
    <row r="738" spans="5:7" ht="12.75" customHeight="1">
      <c r="E738" s="210"/>
      <c r="F738" s="210"/>
      <c r="G738" s="210"/>
    </row>
    <row r="739" spans="5:7" ht="12.75" customHeight="1">
      <c r="E739" s="210"/>
      <c r="F739" s="210"/>
      <c r="G739" s="210"/>
    </row>
    <row r="740" spans="5:7" ht="12.75" customHeight="1">
      <c r="E740" s="210"/>
      <c r="F740" s="210"/>
      <c r="G740" s="210"/>
    </row>
    <row r="741" spans="5:7" ht="12.75" customHeight="1">
      <c r="E741" s="210"/>
      <c r="F741" s="210"/>
      <c r="G741" s="210"/>
    </row>
    <row r="742" spans="5:7" ht="12.75" customHeight="1">
      <c r="E742" s="210"/>
      <c r="F742" s="210"/>
      <c r="G742" s="210"/>
    </row>
    <row r="743" spans="5:7" ht="12.75" customHeight="1">
      <c r="E743" s="210"/>
      <c r="F743" s="210"/>
      <c r="G743" s="210"/>
    </row>
    <row r="744" spans="5:7" ht="12.75" customHeight="1">
      <c r="E744" s="210"/>
      <c r="F744" s="210"/>
      <c r="G744" s="210"/>
    </row>
    <row r="745" spans="5:7" ht="12.75" customHeight="1">
      <c r="E745" s="210"/>
      <c r="F745" s="210"/>
      <c r="G745" s="210"/>
    </row>
    <row r="746" spans="5:7" ht="12.75" customHeight="1">
      <c r="E746" s="210"/>
      <c r="F746" s="210"/>
      <c r="G746" s="210"/>
    </row>
    <row r="747" spans="5:7" ht="12.75" customHeight="1">
      <c r="E747" s="210"/>
      <c r="F747" s="210"/>
      <c r="G747" s="210"/>
    </row>
    <row r="748" spans="5:7" ht="12.75" customHeight="1">
      <c r="E748" s="210"/>
      <c r="F748" s="210"/>
      <c r="G748" s="210"/>
    </row>
    <row r="749" spans="5:7" ht="12.75" customHeight="1">
      <c r="E749" s="210"/>
      <c r="F749" s="210"/>
      <c r="G749" s="210"/>
    </row>
    <row r="750" spans="5:7" ht="12.75" customHeight="1">
      <c r="E750" s="210"/>
      <c r="F750" s="210"/>
      <c r="G750" s="210"/>
    </row>
    <row r="751" spans="5:7" ht="12.75" customHeight="1">
      <c r="E751" s="210"/>
      <c r="F751" s="210"/>
      <c r="G751" s="210"/>
    </row>
    <row r="752" spans="5:7" ht="12.75" customHeight="1">
      <c r="E752" s="210"/>
      <c r="F752" s="210"/>
      <c r="G752" s="210"/>
    </row>
    <row r="753" spans="5:7" ht="12.75" customHeight="1">
      <c r="E753" s="210"/>
      <c r="F753" s="210"/>
      <c r="G753" s="210"/>
    </row>
    <row r="754" spans="5:7" ht="12.75" customHeight="1">
      <c r="E754" s="210"/>
      <c r="F754" s="210"/>
      <c r="G754" s="210"/>
    </row>
    <row r="755" spans="5:7" ht="12.75" customHeight="1">
      <c r="E755" s="210"/>
      <c r="F755" s="210"/>
      <c r="G755" s="210"/>
    </row>
    <row r="756" spans="5:7" ht="12.75" customHeight="1">
      <c r="E756" s="210"/>
      <c r="F756" s="210"/>
      <c r="G756" s="210"/>
    </row>
    <row r="757" spans="5:7" ht="12.75" customHeight="1">
      <c r="E757" s="210"/>
      <c r="F757" s="210"/>
      <c r="G757" s="210"/>
    </row>
    <row r="758" spans="5:7" ht="12.75" customHeight="1">
      <c r="E758" s="210"/>
      <c r="F758" s="210"/>
      <c r="G758" s="210"/>
    </row>
    <row r="759" spans="5:7" ht="12.75" customHeight="1">
      <c r="E759" s="210"/>
      <c r="F759" s="210"/>
      <c r="G759" s="210"/>
    </row>
    <row r="760" spans="5:7" ht="12.75" customHeight="1">
      <c r="E760" s="210"/>
      <c r="F760" s="210"/>
      <c r="G760" s="210"/>
    </row>
    <row r="761" spans="5:7" ht="12.75" customHeight="1">
      <c r="E761" s="210"/>
      <c r="F761" s="210"/>
      <c r="G761" s="210"/>
    </row>
    <row r="762" spans="5:7" ht="12.75" customHeight="1">
      <c r="E762" s="210"/>
      <c r="F762" s="210"/>
      <c r="G762" s="210"/>
    </row>
    <row r="763" spans="5:7" ht="12.75" customHeight="1">
      <c r="E763" s="210"/>
      <c r="F763" s="210"/>
      <c r="G763" s="210"/>
    </row>
    <row r="764" spans="5:7" ht="12.75" customHeight="1">
      <c r="E764" s="210"/>
      <c r="F764" s="210"/>
      <c r="G764" s="210"/>
    </row>
    <row r="765" spans="5:7" ht="12.75" customHeight="1">
      <c r="E765" s="210"/>
      <c r="F765" s="210"/>
      <c r="G765" s="210"/>
    </row>
    <row r="766" spans="5:7" ht="12.75" customHeight="1">
      <c r="E766" s="210"/>
      <c r="F766" s="210"/>
      <c r="G766" s="210"/>
    </row>
    <row r="767" spans="5:7" ht="12.75" customHeight="1">
      <c r="E767" s="210"/>
      <c r="F767" s="210"/>
      <c r="G767" s="210"/>
    </row>
    <row r="768" spans="5:7" ht="12.75" customHeight="1">
      <c r="E768" s="210"/>
      <c r="F768" s="210"/>
      <c r="G768" s="210"/>
    </row>
    <row r="769" spans="5:7" ht="12.75" customHeight="1">
      <c r="E769" s="210"/>
      <c r="F769" s="210"/>
      <c r="G769" s="210"/>
    </row>
    <row r="770" spans="5:7" ht="12.75" customHeight="1">
      <c r="E770" s="210"/>
      <c r="F770" s="210"/>
      <c r="G770" s="210"/>
    </row>
    <row r="771" spans="5:7" ht="12.75" customHeight="1">
      <c r="E771" s="210"/>
      <c r="F771" s="210"/>
      <c r="G771" s="210"/>
    </row>
    <row r="772" spans="5:7" ht="12.75" customHeight="1">
      <c r="E772" s="210"/>
      <c r="F772" s="210"/>
      <c r="G772" s="210"/>
    </row>
    <row r="773" spans="5:7" ht="12.75" customHeight="1">
      <c r="E773" s="210"/>
      <c r="F773" s="210"/>
      <c r="G773" s="210"/>
    </row>
    <row r="774" spans="5:7" ht="12.75" customHeight="1">
      <c r="E774" s="210"/>
      <c r="F774" s="210"/>
      <c r="G774" s="210"/>
    </row>
    <row r="775" spans="5:7" ht="12.75" customHeight="1">
      <c r="E775" s="210"/>
      <c r="F775" s="210"/>
      <c r="G775" s="210"/>
    </row>
    <row r="776" spans="5:7" ht="12.75" customHeight="1">
      <c r="E776" s="210"/>
      <c r="F776" s="210"/>
      <c r="G776" s="210"/>
    </row>
    <row r="777" spans="5:7" ht="12.75" customHeight="1">
      <c r="E777" s="210"/>
      <c r="F777" s="210"/>
      <c r="G777" s="210"/>
    </row>
    <row r="778" spans="5:7" ht="12.75" customHeight="1">
      <c r="E778" s="210"/>
      <c r="F778" s="210"/>
      <c r="G778" s="210"/>
    </row>
    <row r="779" spans="5:7" ht="12.75" customHeight="1">
      <c r="E779" s="210"/>
      <c r="F779" s="210"/>
      <c r="G779" s="210"/>
    </row>
    <row r="780" spans="5:7" ht="12.75" customHeight="1">
      <c r="E780" s="210"/>
      <c r="F780" s="210"/>
      <c r="G780" s="210"/>
    </row>
    <row r="781" spans="5:7" ht="12.75" customHeight="1">
      <c r="E781" s="210"/>
      <c r="F781" s="210"/>
      <c r="G781" s="210"/>
    </row>
    <row r="782" spans="5:7" ht="12.75" customHeight="1">
      <c r="E782" s="210"/>
      <c r="F782" s="210"/>
      <c r="G782" s="210"/>
    </row>
    <row r="783" spans="5:7" ht="12.75" customHeight="1">
      <c r="E783" s="210"/>
      <c r="F783" s="210"/>
      <c r="G783" s="210"/>
    </row>
    <row r="784" spans="5:7" ht="12.75" customHeight="1">
      <c r="E784" s="210"/>
      <c r="F784" s="210"/>
      <c r="G784" s="210"/>
    </row>
    <row r="785" spans="5:7" ht="12.75" customHeight="1">
      <c r="E785" s="210"/>
      <c r="F785" s="210"/>
      <c r="G785" s="210"/>
    </row>
    <row r="786" spans="5:7" ht="12.75" customHeight="1">
      <c r="E786" s="210"/>
      <c r="F786" s="210"/>
      <c r="G786" s="210"/>
    </row>
    <row r="787" spans="5:7" ht="12.75" customHeight="1">
      <c r="E787" s="210"/>
      <c r="F787" s="210"/>
      <c r="G787" s="210"/>
    </row>
    <row r="788" spans="5:7" ht="12.75" customHeight="1">
      <c r="E788" s="210"/>
      <c r="F788" s="210"/>
      <c r="G788" s="210"/>
    </row>
    <row r="789" spans="5:7" ht="12.75" customHeight="1">
      <c r="E789" s="210"/>
      <c r="F789" s="210"/>
      <c r="G789" s="210"/>
    </row>
    <row r="790" spans="5:7" ht="12.75" customHeight="1">
      <c r="E790" s="210"/>
      <c r="F790" s="210"/>
      <c r="G790" s="210"/>
    </row>
    <row r="791" spans="5:7" ht="12.75" customHeight="1">
      <c r="E791" s="210"/>
      <c r="F791" s="210"/>
      <c r="G791" s="210"/>
    </row>
    <row r="792" spans="5:7" ht="12.75" customHeight="1">
      <c r="E792" s="210"/>
      <c r="F792" s="210"/>
      <c r="G792" s="210"/>
    </row>
    <row r="793" spans="5:7" ht="12.75" customHeight="1">
      <c r="E793" s="210"/>
      <c r="F793" s="210"/>
      <c r="G793" s="210"/>
    </row>
    <row r="794" spans="5:7" ht="12.75" customHeight="1">
      <c r="E794" s="210"/>
      <c r="F794" s="210"/>
      <c r="G794" s="210"/>
    </row>
    <row r="795" spans="5:7" ht="12.75" customHeight="1">
      <c r="E795" s="210"/>
      <c r="F795" s="210"/>
      <c r="G795" s="210"/>
    </row>
    <row r="796" spans="5:7" ht="12.75" customHeight="1">
      <c r="E796" s="210"/>
      <c r="F796" s="210"/>
      <c r="G796" s="210"/>
    </row>
    <row r="797" spans="5:7" ht="12.75" customHeight="1">
      <c r="E797" s="210"/>
      <c r="F797" s="210"/>
      <c r="G797" s="210"/>
    </row>
    <row r="798" spans="5:7" ht="12.75" customHeight="1">
      <c r="E798" s="210"/>
      <c r="F798" s="210"/>
      <c r="G798" s="210"/>
    </row>
    <row r="799" spans="5:7" ht="12.75" customHeight="1">
      <c r="E799" s="210"/>
      <c r="F799" s="210"/>
      <c r="G799" s="210"/>
    </row>
    <row r="800" spans="5:7" ht="12.75" customHeight="1">
      <c r="E800" s="210"/>
      <c r="F800" s="210"/>
      <c r="G800" s="210"/>
    </row>
    <row r="801" spans="5:7" ht="12.75" customHeight="1">
      <c r="E801" s="210"/>
      <c r="F801" s="210"/>
      <c r="G801" s="210"/>
    </row>
    <row r="802" spans="5:7" ht="12.75" customHeight="1">
      <c r="E802" s="210"/>
      <c r="F802" s="210"/>
      <c r="G802" s="210"/>
    </row>
    <row r="803" spans="5:7" ht="12.75" customHeight="1">
      <c r="E803" s="210"/>
      <c r="F803" s="210"/>
      <c r="G803" s="210"/>
    </row>
    <row r="804" spans="5:7" ht="12.75" customHeight="1">
      <c r="E804" s="210"/>
      <c r="F804" s="210"/>
      <c r="G804" s="210"/>
    </row>
    <row r="805" spans="5:7" ht="12.75" customHeight="1">
      <c r="E805" s="210"/>
      <c r="F805" s="210"/>
      <c r="G805" s="210"/>
    </row>
    <row r="806" spans="5:7" ht="12.75" customHeight="1">
      <c r="E806" s="210"/>
      <c r="F806" s="210"/>
      <c r="G806" s="210"/>
    </row>
    <row r="807" spans="5:7" ht="12.75" customHeight="1">
      <c r="E807" s="210"/>
      <c r="F807" s="210"/>
      <c r="G807" s="210"/>
    </row>
    <row r="808" spans="5:7" ht="12.75" customHeight="1">
      <c r="E808" s="210"/>
      <c r="F808" s="210"/>
      <c r="G808" s="210"/>
    </row>
    <row r="809" spans="5:7" ht="12.75" customHeight="1">
      <c r="E809" s="210"/>
      <c r="F809" s="210"/>
      <c r="G809" s="210"/>
    </row>
    <row r="810" spans="5:7" ht="12.75" customHeight="1">
      <c r="E810" s="210"/>
      <c r="F810" s="210"/>
      <c r="G810" s="210"/>
    </row>
    <row r="811" spans="5:7" ht="12.75" customHeight="1">
      <c r="E811" s="210"/>
      <c r="F811" s="210"/>
      <c r="G811" s="210"/>
    </row>
    <row r="812" spans="5:7" ht="12.75" customHeight="1">
      <c r="E812" s="210"/>
      <c r="F812" s="210"/>
      <c r="G812" s="210"/>
    </row>
    <row r="813" spans="5:7" ht="12.75" customHeight="1">
      <c r="E813" s="210"/>
      <c r="F813" s="210"/>
      <c r="G813" s="210"/>
    </row>
    <row r="814" spans="5:7" ht="12.75" customHeight="1">
      <c r="E814" s="210"/>
      <c r="F814" s="210"/>
      <c r="G814" s="210"/>
    </row>
    <row r="815" spans="5:7" ht="12.75" customHeight="1">
      <c r="E815" s="210"/>
      <c r="F815" s="210"/>
      <c r="G815" s="210"/>
    </row>
    <row r="816" spans="5:7" ht="12.75" customHeight="1">
      <c r="E816" s="210"/>
      <c r="F816" s="210"/>
      <c r="G816" s="210"/>
    </row>
    <row r="817" spans="5:7" ht="12.75" customHeight="1">
      <c r="E817" s="210"/>
      <c r="F817" s="210"/>
      <c r="G817" s="210"/>
    </row>
    <row r="818" spans="5:7" ht="12.75" customHeight="1">
      <c r="E818" s="210"/>
      <c r="F818" s="210"/>
      <c r="G818" s="210"/>
    </row>
    <row r="819" spans="5:7" ht="12.75" customHeight="1">
      <c r="E819" s="210"/>
      <c r="F819" s="210"/>
      <c r="G819" s="210"/>
    </row>
    <row r="820" spans="5:7" ht="12.75" customHeight="1">
      <c r="E820" s="210"/>
      <c r="F820" s="210"/>
      <c r="G820" s="210"/>
    </row>
    <row r="821" spans="5:7" ht="12.75" customHeight="1">
      <c r="E821" s="210"/>
      <c r="F821" s="210"/>
      <c r="G821" s="210"/>
    </row>
    <row r="822" spans="5:7" ht="12.75" customHeight="1">
      <c r="E822" s="210"/>
      <c r="F822" s="210"/>
      <c r="G822" s="210"/>
    </row>
    <row r="823" spans="5:7" ht="12.75" customHeight="1">
      <c r="E823" s="210"/>
      <c r="F823" s="210"/>
      <c r="G823" s="210"/>
    </row>
    <row r="824" spans="5:7" ht="12.75" customHeight="1">
      <c r="E824" s="210"/>
      <c r="F824" s="210"/>
      <c r="G824" s="210"/>
    </row>
    <row r="825" spans="5:7" ht="12.75" customHeight="1">
      <c r="E825" s="210"/>
      <c r="F825" s="210"/>
      <c r="G825" s="210"/>
    </row>
    <row r="826" spans="5:7" ht="12.75" customHeight="1">
      <c r="E826" s="210"/>
      <c r="F826" s="210"/>
      <c r="G826" s="210"/>
    </row>
    <row r="827" spans="5:7" ht="12.75" customHeight="1">
      <c r="E827" s="210"/>
      <c r="F827" s="210"/>
      <c r="G827" s="210"/>
    </row>
    <row r="828" spans="5:7" ht="12.75" customHeight="1">
      <c r="E828" s="210"/>
      <c r="F828" s="210"/>
      <c r="G828" s="210"/>
    </row>
    <row r="829" spans="5:7" ht="12.75" customHeight="1">
      <c r="E829" s="210"/>
      <c r="F829" s="210"/>
      <c r="G829" s="210"/>
    </row>
    <row r="830" spans="5:7" ht="12.75" customHeight="1">
      <c r="E830" s="210"/>
      <c r="F830" s="210"/>
      <c r="G830" s="210"/>
    </row>
    <row r="831" spans="5:7" ht="12.75" customHeight="1">
      <c r="E831" s="210"/>
      <c r="F831" s="210"/>
      <c r="G831" s="210"/>
    </row>
    <row r="832" spans="5:7" ht="12.75" customHeight="1">
      <c r="E832" s="210"/>
      <c r="F832" s="210"/>
      <c r="G832" s="210"/>
    </row>
    <row r="833" spans="5:7" ht="12.75" customHeight="1">
      <c r="E833" s="210"/>
      <c r="F833" s="210"/>
      <c r="G833" s="210"/>
    </row>
    <row r="834" spans="5:7" ht="12.75" customHeight="1">
      <c r="E834" s="210"/>
      <c r="F834" s="210"/>
      <c r="G834" s="210"/>
    </row>
    <row r="835" spans="5:7" ht="12.75" customHeight="1">
      <c r="E835" s="210"/>
      <c r="F835" s="210"/>
      <c r="G835" s="210"/>
    </row>
    <row r="836" spans="5:7" ht="12.75" customHeight="1">
      <c r="E836" s="210"/>
      <c r="F836" s="210"/>
      <c r="G836" s="210"/>
    </row>
    <row r="837" spans="5:7" ht="12.75" customHeight="1">
      <c r="E837" s="210"/>
      <c r="F837" s="210"/>
      <c r="G837" s="210"/>
    </row>
    <row r="838" spans="5:7" ht="12.75" customHeight="1">
      <c r="E838" s="210"/>
      <c r="F838" s="210"/>
      <c r="G838" s="210"/>
    </row>
    <row r="839" spans="5:7" ht="12.75" customHeight="1">
      <c r="E839" s="210"/>
      <c r="F839" s="210"/>
      <c r="G839" s="210"/>
    </row>
    <row r="840" spans="5:7" ht="12.75" customHeight="1">
      <c r="E840" s="210"/>
      <c r="F840" s="210"/>
      <c r="G840" s="210"/>
    </row>
    <row r="841" spans="5:7" ht="12.75" customHeight="1">
      <c r="E841" s="210"/>
      <c r="F841" s="210"/>
      <c r="G841" s="210"/>
    </row>
    <row r="842" spans="5:7" ht="12.75" customHeight="1">
      <c r="E842" s="210"/>
      <c r="F842" s="210"/>
      <c r="G842" s="210"/>
    </row>
    <row r="843" spans="5:7" ht="12.75" customHeight="1">
      <c r="E843" s="210"/>
      <c r="F843" s="210"/>
      <c r="G843" s="210"/>
    </row>
    <row r="844" spans="5:7" ht="12.75" customHeight="1">
      <c r="E844" s="210"/>
      <c r="F844" s="210"/>
      <c r="G844" s="210"/>
    </row>
    <row r="845" spans="5:7" ht="12.75" customHeight="1">
      <c r="E845" s="210"/>
      <c r="F845" s="210"/>
      <c r="G845" s="210"/>
    </row>
    <row r="846" spans="5:7" ht="12.75" customHeight="1">
      <c r="E846" s="210"/>
      <c r="F846" s="210"/>
      <c r="G846" s="210"/>
    </row>
    <row r="847" spans="5:7" ht="12.75" customHeight="1">
      <c r="E847" s="210"/>
      <c r="F847" s="210"/>
      <c r="G847" s="210"/>
    </row>
    <row r="848" spans="5:7" ht="12.75" customHeight="1">
      <c r="E848" s="210"/>
      <c r="F848" s="210"/>
      <c r="G848" s="210"/>
    </row>
    <row r="849" spans="5:7" ht="12.75" customHeight="1">
      <c r="E849" s="210"/>
      <c r="F849" s="210"/>
      <c r="G849" s="210"/>
    </row>
    <row r="850" spans="5:7" ht="12.75" customHeight="1">
      <c r="E850" s="210"/>
      <c r="F850" s="210"/>
      <c r="G850" s="210"/>
    </row>
    <row r="851" spans="5:7" ht="12.75" customHeight="1">
      <c r="E851" s="210"/>
      <c r="F851" s="210"/>
      <c r="G851" s="210"/>
    </row>
    <row r="852" spans="5:7" ht="12.75" customHeight="1">
      <c r="E852" s="210"/>
      <c r="F852" s="210"/>
      <c r="G852" s="210"/>
    </row>
    <row r="853" spans="5:7" ht="12.75" customHeight="1">
      <c r="E853" s="210"/>
      <c r="F853" s="210"/>
      <c r="G853" s="210"/>
    </row>
    <row r="854" spans="5:7" ht="12.75" customHeight="1">
      <c r="E854" s="210"/>
      <c r="F854" s="210"/>
      <c r="G854" s="210"/>
    </row>
    <row r="855" spans="5:7" ht="12.75" customHeight="1">
      <c r="E855" s="210"/>
      <c r="F855" s="210"/>
      <c r="G855" s="210"/>
    </row>
    <row r="856" spans="5:7" ht="12.75" customHeight="1">
      <c r="E856" s="210"/>
      <c r="F856" s="210"/>
      <c r="G856" s="210"/>
    </row>
    <row r="857" spans="5:7" ht="12.75" customHeight="1">
      <c r="E857" s="210"/>
      <c r="F857" s="210"/>
      <c r="G857" s="210"/>
    </row>
    <row r="858" spans="5:7" ht="12.75" customHeight="1">
      <c r="E858" s="210"/>
      <c r="F858" s="210"/>
      <c r="G858" s="210"/>
    </row>
    <row r="859" spans="5:7" ht="12.75" customHeight="1">
      <c r="E859" s="210"/>
      <c r="F859" s="210"/>
      <c r="G859" s="210"/>
    </row>
    <row r="860" spans="5:7" ht="12.75" customHeight="1">
      <c r="E860" s="210"/>
      <c r="F860" s="210"/>
      <c r="G860" s="210"/>
    </row>
    <row r="861" spans="5:7" ht="12.75" customHeight="1">
      <c r="E861" s="210"/>
      <c r="F861" s="210"/>
      <c r="G861" s="210"/>
    </row>
    <row r="862" spans="5:7" ht="12.75" customHeight="1">
      <c r="E862" s="210"/>
      <c r="F862" s="210"/>
      <c r="G862" s="210"/>
    </row>
    <row r="863" spans="5:7" ht="12.75" customHeight="1">
      <c r="E863" s="210"/>
      <c r="F863" s="210"/>
      <c r="G863" s="210"/>
    </row>
    <row r="864" spans="5:7" ht="12.75" customHeight="1">
      <c r="E864" s="210"/>
      <c r="F864" s="210"/>
      <c r="G864" s="210"/>
    </row>
    <row r="865" spans="5:7" ht="12.75" customHeight="1">
      <c r="E865" s="210"/>
      <c r="F865" s="210"/>
      <c r="G865" s="210"/>
    </row>
    <row r="866" spans="5:7" ht="12.75" customHeight="1">
      <c r="E866" s="210"/>
      <c r="F866" s="210"/>
      <c r="G866" s="210"/>
    </row>
    <row r="867" spans="5:7" ht="12.75" customHeight="1">
      <c r="E867" s="210"/>
      <c r="F867" s="210"/>
      <c r="G867" s="210"/>
    </row>
    <row r="868" spans="5:7" ht="12.75" customHeight="1">
      <c r="E868" s="210"/>
      <c r="F868" s="210"/>
      <c r="G868" s="210"/>
    </row>
    <row r="869" spans="5:7" ht="12.75" customHeight="1">
      <c r="E869" s="210"/>
      <c r="F869" s="210"/>
      <c r="G869" s="210"/>
    </row>
    <row r="870" spans="5:7" ht="12.75" customHeight="1">
      <c r="E870" s="210"/>
      <c r="F870" s="210"/>
      <c r="G870" s="210"/>
    </row>
    <row r="871" spans="5:7" ht="12.75" customHeight="1">
      <c r="E871" s="210"/>
      <c r="F871" s="210"/>
      <c r="G871" s="210"/>
    </row>
    <row r="872" spans="5:7" ht="12.75" customHeight="1">
      <c r="E872" s="210"/>
      <c r="F872" s="210"/>
      <c r="G872" s="210"/>
    </row>
    <row r="873" spans="5:7" ht="12.75" customHeight="1">
      <c r="E873" s="210"/>
      <c r="F873" s="210"/>
      <c r="G873" s="210"/>
    </row>
    <row r="874" spans="5:7" ht="12.75" customHeight="1">
      <c r="E874" s="210"/>
      <c r="F874" s="210"/>
      <c r="G874" s="210"/>
    </row>
    <row r="875" spans="5:7" ht="12.75" customHeight="1">
      <c r="E875" s="210"/>
      <c r="F875" s="210"/>
      <c r="G875" s="210"/>
    </row>
    <row r="876" spans="5:7" ht="12.75" customHeight="1">
      <c r="E876" s="210"/>
      <c r="F876" s="210"/>
      <c r="G876" s="210"/>
    </row>
    <row r="877" spans="5:7" ht="12.75" customHeight="1">
      <c r="E877" s="210"/>
      <c r="F877" s="210"/>
      <c r="G877" s="210"/>
    </row>
    <row r="878" spans="5:7" ht="12.75" customHeight="1">
      <c r="E878" s="210"/>
      <c r="F878" s="210"/>
      <c r="G878" s="210"/>
    </row>
    <row r="879" spans="5:7" ht="12.75" customHeight="1">
      <c r="E879" s="210"/>
      <c r="F879" s="210"/>
      <c r="G879" s="210"/>
    </row>
    <row r="880" spans="5:7" ht="12.75" customHeight="1">
      <c r="E880" s="210"/>
      <c r="F880" s="210"/>
      <c r="G880" s="210"/>
    </row>
    <row r="881" spans="5:7" ht="12.75" customHeight="1">
      <c r="E881" s="210"/>
      <c r="F881" s="210"/>
      <c r="G881" s="210"/>
    </row>
    <row r="882" spans="5:7" ht="12.75" customHeight="1">
      <c r="E882" s="210"/>
      <c r="F882" s="210"/>
      <c r="G882" s="210"/>
    </row>
    <row r="883" spans="5:7" ht="12.75" customHeight="1">
      <c r="E883" s="210"/>
      <c r="F883" s="210"/>
      <c r="G883" s="210"/>
    </row>
    <row r="884" spans="5:7" ht="12.75" customHeight="1">
      <c r="E884" s="210"/>
      <c r="F884" s="210"/>
      <c r="G884" s="210"/>
    </row>
    <row r="885" spans="5:7" ht="12.75" customHeight="1">
      <c r="E885" s="210"/>
      <c r="F885" s="210"/>
      <c r="G885" s="210"/>
    </row>
    <row r="886" spans="5:7" ht="12.75" customHeight="1">
      <c r="E886" s="210"/>
      <c r="F886" s="210"/>
      <c r="G886" s="210"/>
    </row>
    <row r="887" spans="5:7" ht="12.75" customHeight="1">
      <c r="E887" s="210"/>
      <c r="F887" s="210"/>
      <c r="G887" s="210"/>
    </row>
    <row r="888" spans="5:7" ht="12.75" customHeight="1">
      <c r="E888" s="210"/>
      <c r="F888" s="210"/>
      <c r="G888" s="210"/>
    </row>
    <row r="889" spans="5:7" ht="12.75" customHeight="1">
      <c r="E889" s="210"/>
      <c r="F889" s="210"/>
      <c r="G889" s="210"/>
    </row>
    <row r="890" spans="5:7" ht="12.75" customHeight="1">
      <c r="E890" s="210"/>
      <c r="F890" s="210"/>
      <c r="G890" s="210"/>
    </row>
    <row r="891" spans="5:7" ht="12.75" customHeight="1">
      <c r="E891" s="210"/>
      <c r="F891" s="210"/>
      <c r="G891" s="210"/>
    </row>
    <row r="892" spans="5:7" ht="12.75" customHeight="1">
      <c r="E892" s="210"/>
      <c r="F892" s="210"/>
      <c r="G892" s="210"/>
    </row>
    <row r="893" spans="5:7" ht="12.75" customHeight="1">
      <c r="E893" s="210"/>
      <c r="F893" s="210"/>
      <c r="G893" s="210"/>
    </row>
    <row r="894" spans="5:7" ht="12.75" customHeight="1">
      <c r="E894" s="210"/>
      <c r="F894" s="210"/>
      <c r="G894" s="210"/>
    </row>
    <row r="895" spans="5:7" ht="12.75" customHeight="1">
      <c r="E895" s="210"/>
      <c r="F895" s="210"/>
      <c r="G895" s="210"/>
    </row>
    <row r="896" spans="5:7" ht="12.75" customHeight="1">
      <c r="E896" s="210"/>
      <c r="F896" s="210"/>
      <c r="G896" s="210"/>
    </row>
    <row r="897" spans="5:7" ht="12.75" customHeight="1">
      <c r="E897" s="210"/>
      <c r="F897" s="210"/>
      <c r="G897" s="210"/>
    </row>
    <row r="898" spans="5:7" ht="12.75" customHeight="1">
      <c r="E898" s="210"/>
      <c r="F898" s="210"/>
      <c r="G898" s="210"/>
    </row>
    <row r="899" spans="5:7" ht="12.75" customHeight="1">
      <c r="E899" s="210"/>
      <c r="F899" s="210"/>
      <c r="G899" s="210"/>
    </row>
    <row r="900" spans="5:7" ht="12.75" customHeight="1">
      <c r="E900" s="210"/>
      <c r="F900" s="210"/>
      <c r="G900" s="210"/>
    </row>
    <row r="901" spans="5:7" ht="12.75" customHeight="1">
      <c r="E901" s="210"/>
      <c r="F901" s="210"/>
      <c r="G901" s="210"/>
    </row>
    <row r="902" spans="5:7" ht="12.75" customHeight="1">
      <c r="E902" s="210"/>
      <c r="F902" s="210"/>
      <c r="G902" s="210"/>
    </row>
    <row r="903" spans="5:7" ht="12.75" customHeight="1">
      <c r="E903" s="210"/>
      <c r="F903" s="210"/>
      <c r="G903" s="210"/>
    </row>
    <row r="904" spans="5:7" ht="12.75" customHeight="1">
      <c r="E904" s="210"/>
      <c r="F904" s="210"/>
      <c r="G904" s="210"/>
    </row>
    <row r="905" spans="5:7" ht="12.75" customHeight="1">
      <c r="E905" s="210"/>
      <c r="F905" s="210"/>
      <c r="G905" s="210"/>
    </row>
    <row r="906" spans="5:7" ht="12.75" customHeight="1">
      <c r="E906" s="210"/>
      <c r="F906" s="210"/>
      <c r="G906" s="210"/>
    </row>
    <row r="907" spans="5:7" ht="12.75" customHeight="1">
      <c r="E907" s="210"/>
      <c r="F907" s="210"/>
      <c r="G907" s="210"/>
    </row>
    <row r="908" spans="5:7" ht="12.75" customHeight="1">
      <c r="E908" s="210"/>
      <c r="F908" s="210"/>
      <c r="G908" s="210"/>
    </row>
    <row r="909" spans="5:7" ht="12.75" customHeight="1">
      <c r="E909" s="210"/>
      <c r="F909" s="210"/>
      <c r="G909" s="210"/>
    </row>
    <row r="910" spans="5:7" ht="12.75" customHeight="1">
      <c r="E910" s="210"/>
      <c r="F910" s="210"/>
      <c r="G910" s="210"/>
    </row>
    <row r="911" spans="5:7" ht="12.75" customHeight="1">
      <c r="E911" s="210"/>
      <c r="F911" s="210"/>
      <c r="G911" s="210"/>
    </row>
    <row r="912" spans="5:7" ht="12.75" customHeight="1">
      <c r="E912" s="210"/>
      <c r="F912" s="210"/>
      <c r="G912" s="210"/>
    </row>
    <row r="913" spans="5:7" ht="12.75" customHeight="1">
      <c r="E913" s="210"/>
      <c r="F913" s="210"/>
      <c r="G913" s="210"/>
    </row>
    <row r="914" spans="5:7" ht="12.75" customHeight="1">
      <c r="E914" s="210"/>
      <c r="F914" s="210"/>
      <c r="G914" s="210"/>
    </row>
    <row r="915" spans="5:7" ht="12.75" customHeight="1">
      <c r="E915" s="210"/>
      <c r="F915" s="210"/>
      <c r="G915" s="210"/>
    </row>
    <row r="916" spans="5:7" ht="12.75" customHeight="1">
      <c r="E916" s="210"/>
      <c r="F916" s="210"/>
      <c r="G916" s="210"/>
    </row>
    <row r="917" spans="5:7" ht="12.75" customHeight="1">
      <c r="E917" s="210"/>
      <c r="F917" s="210"/>
      <c r="G917" s="210"/>
    </row>
    <row r="918" spans="5:7" ht="12.75" customHeight="1">
      <c r="E918" s="210"/>
      <c r="F918" s="210"/>
      <c r="G918" s="210"/>
    </row>
    <row r="919" spans="5:7" ht="12.75" customHeight="1">
      <c r="E919" s="210"/>
      <c r="F919" s="210"/>
      <c r="G919" s="210"/>
    </row>
    <row r="920" spans="5:7" ht="12.75" customHeight="1">
      <c r="E920" s="210"/>
      <c r="F920" s="210"/>
      <c r="G920" s="210"/>
    </row>
    <row r="921" spans="5:7" ht="12.75" customHeight="1">
      <c r="E921" s="210"/>
      <c r="F921" s="210"/>
      <c r="G921" s="210"/>
    </row>
    <row r="922" spans="5:7" ht="12.75" customHeight="1">
      <c r="E922" s="210"/>
      <c r="F922" s="210"/>
      <c r="G922" s="210"/>
    </row>
    <row r="923" spans="5:7" ht="12.75" customHeight="1">
      <c r="E923" s="210"/>
      <c r="F923" s="210"/>
      <c r="G923" s="210"/>
    </row>
    <row r="924" spans="5:7" ht="12.75" customHeight="1">
      <c r="E924" s="210"/>
      <c r="F924" s="210"/>
      <c r="G924" s="210"/>
    </row>
    <row r="925" spans="5:7" ht="12.75" customHeight="1">
      <c r="E925" s="210"/>
      <c r="F925" s="210"/>
      <c r="G925" s="210"/>
    </row>
    <row r="926" spans="5:7" ht="12.75" customHeight="1">
      <c r="E926" s="210"/>
      <c r="F926" s="210"/>
      <c r="G926" s="210"/>
    </row>
    <row r="927" spans="5:7" ht="12.75" customHeight="1">
      <c r="E927" s="210"/>
      <c r="F927" s="210"/>
      <c r="G927" s="210"/>
    </row>
    <row r="928" spans="5:7" ht="12.75" customHeight="1">
      <c r="E928" s="210"/>
      <c r="F928" s="210"/>
      <c r="G928" s="210"/>
    </row>
    <row r="929" spans="5:7" ht="12.75" customHeight="1">
      <c r="E929" s="210"/>
      <c r="F929" s="210"/>
      <c r="G929" s="210"/>
    </row>
    <row r="930" spans="5:7" ht="12.75" customHeight="1">
      <c r="E930" s="210"/>
      <c r="F930" s="210"/>
      <c r="G930" s="210"/>
    </row>
    <row r="931" spans="5:7" ht="12.75" customHeight="1">
      <c r="E931" s="210"/>
      <c r="F931" s="210"/>
      <c r="G931" s="210"/>
    </row>
    <row r="932" spans="5:7" ht="12.75" customHeight="1">
      <c r="E932" s="210"/>
      <c r="F932" s="210"/>
      <c r="G932" s="210"/>
    </row>
    <row r="933" spans="5:7" ht="12.75" customHeight="1">
      <c r="E933" s="210"/>
      <c r="F933" s="210"/>
      <c r="G933" s="210"/>
    </row>
    <row r="934" spans="5:7" ht="12.75" customHeight="1">
      <c r="E934" s="210"/>
      <c r="F934" s="210"/>
      <c r="G934" s="210"/>
    </row>
    <row r="935" spans="5:7" ht="12.75" customHeight="1">
      <c r="E935" s="210"/>
      <c r="F935" s="210"/>
      <c r="G935" s="210"/>
    </row>
    <row r="936" spans="5:7" ht="12.75" customHeight="1">
      <c r="E936" s="210"/>
      <c r="F936" s="210"/>
      <c r="G936" s="210"/>
    </row>
    <row r="937" spans="5:7" ht="12.75" customHeight="1">
      <c r="E937" s="210"/>
      <c r="F937" s="210"/>
      <c r="G937" s="210"/>
    </row>
    <row r="938" spans="5:7" ht="12.75" customHeight="1">
      <c r="E938" s="210"/>
      <c r="F938" s="210"/>
      <c r="G938" s="210"/>
    </row>
    <row r="939" spans="5:7" ht="12.75" customHeight="1">
      <c r="E939" s="210"/>
      <c r="F939" s="210"/>
      <c r="G939" s="210"/>
    </row>
    <row r="940" spans="5:7" ht="12.75" customHeight="1">
      <c r="E940" s="210"/>
      <c r="F940" s="210"/>
      <c r="G940" s="210"/>
    </row>
    <row r="941" spans="5:7" ht="12.75" customHeight="1">
      <c r="E941" s="210"/>
      <c r="F941" s="210"/>
      <c r="G941" s="210"/>
    </row>
    <row r="942" spans="5:7" ht="12.75" customHeight="1">
      <c r="E942" s="210"/>
      <c r="F942" s="210"/>
      <c r="G942" s="210"/>
    </row>
    <row r="943" spans="5:7" ht="12.75" customHeight="1">
      <c r="E943" s="210"/>
      <c r="F943" s="210"/>
      <c r="G943" s="210"/>
    </row>
    <row r="944" spans="5:7" ht="12.75" customHeight="1">
      <c r="E944" s="210"/>
      <c r="F944" s="210"/>
      <c r="G944" s="210"/>
    </row>
    <row r="945" spans="5:7" ht="12.75" customHeight="1">
      <c r="E945" s="210"/>
      <c r="F945" s="210"/>
      <c r="G945" s="210"/>
    </row>
    <row r="946" spans="5:7" ht="12.75" customHeight="1">
      <c r="E946" s="210"/>
      <c r="F946" s="210"/>
      <c r="G946" s="210"/>
    </row>
    <row r="947" spans="5:7" ht="12.75" customHeight="1">
      <c r="E947" s="210"/>
      <c r="F947" s="210"/>
      <c r="G947" s="210"/>
    </row>
    <row r="948" spans="5:7" ht="12.75" customHeight="1">
      <c r="E948" s="210"/>
      <c r="F948" s="210"/>
      <c r="G948" s="210"/>
    </row>
    <row r="949" spans="5:7" ht="12.75" customHeight="1">
      <c r="E949" s="210"/>
      <c r="F949" s="210"/>
      <c r="G949" s="210"/>
    </row>
    <row r="950" spans="5:7" ht="12.75" customHeight="1">
      <c r="E950" s="210"/>
      <c r="F950" s="210"/>
      <c r="G950" s="210"/>
    </row>
    <row r="951" spans="5:7" ht="12.75" customHeight="1">
      <c r="E951" s="210"/>
      <c r="F951" s="210"/>
      <c r="G951" s="210"/>
    </row>
    <row r="952" spans="5:7" ht="12.75" customHeight="1">
      <c r="E952" s="210"/>
      <c r="F952" s="210"/>
      <c r="G952" s="210"/>
    </row>
    <row r="953" spans="5:7" ht="12.75" customHeight="1">
      <c r="E953" s="210"/>
      <c r="F953" s="210"/>
      <c r="G953" s="210"/>
    </row>
    <row r="954" spans="5:7" ht="12.75" customHeight="1">
      <c r="E954" s="210"/>
      <c r="F954" s="210"/>
      <c r="G954" s="210"/>
    </row>
    <row r="955" spans="5:7" ht="12.75" customHeight="1">
      <c r="E955" s="210"/>
      <c r="F955" s="210"/>
      <c r="G955" s="210"/>
    </row>
    <row r="956" spans="5:7" ht="12.75" customHeight="1">
      <c r="E956" s="210"/>
      <c r="F956" s="210"/>
      <c r="G956" s="210"/>
    </row>
    <row r="957" spans="5:7" ht="12.75" customHeight="1">
      <c r="E957" s="210"/>
      <c r="F957" s="210"/>
      <c r="G957" s="210"/>
    </row>
    <row r="958" spans="5:7" ht="12.75" customHeight="1">
      <c r="E958" s="210"/>
      <c r="F958" s="210"/>
      <c r="G958" s="210"/>
    </row>
    <row r="959" spans="5:7" ht="12.75" customHeight="1">
      <c r="E959" s="210"/>
      <c r="F959" s="210"/>
      <c r="G959" s="210"/>
    </row>
    <row r="960" spans="5:7" ht="12.75" customHeight="1">
      <c r="E960" s="210"/>
      <c r="F960" s="210"/>
      <c r="G960" s="210"/>
    </row>
    <row r="961" spans="5:7" ht="12.75" customHeight="1">
      <c r="E961" s="210"/>
      <c r="F961" s="210"/>
      <c r="G961" s="210"/>
    </row>
    <row r="962" spans="5:7" ht="12.75" customHeight="1">
      <c r="E962" s="210"/>
      <c r="F962" s="210"/>
      <c r="G962" s="210"/>
    </row>
    <row r="963" spans="5:7" ht="12.75" customHeight="1">
      <c r="E963" s="210"/>
      <c r="F963" s="210"/>
      <c r="G963" s="210"/>
    </row>
    <row r="964" spans="5:7" ht="12.75" customHeight="1">
      <c r="E964" s="210"/>
      <c r="F964" s="210"/>
      <c r="G964" s="210"/>
    </row>
    <row r="965" spans="5:7" ht="12.75" customHeight="1">
      <c r="E965" s="210"/>
      <c r="F965" s="210"/>
      <c r="G965" s="210"/>
    </row>
    <row r="966" spans="5:7" ht="12.75" customHeight="1">
      <c r="E966" s="210"/>
      <c r="F966" s="210"/>
      <c r="G966" s="210"/>
    </row>
    <row r="967" spans="5:7" ht="12.75" customHeight="1">
      <c r="E967" s="210"/>
      <c r="F967" s="210"/>
      <c r="G967" s="210"/>
    </row>
    <row r="968" spans="5:7" ht="12.75" customHeight="1">
      <c r="E968" s="210"/>
      <c r="F968" s="210"/>
      <c r="G968" s="210"/>
    </row>
    <row r="969" spans="5:7" ht="12.75" customHeight="1">
      <c r="E969" s="210"/>
      <c r="F969" s="210"/>
      <c r="G969" s="210"/>
    </row>
    <row r="970" spans="5:7" ht="12.75" customHeight="1">
      <c r="E970" s="210"/>
      <c r="F970" s="210"/>
      <c r="G970" s="210"/>
    </row>
    <row r="971" spans="5:7" ht="12.75" customHeight="1">
      <c r="E971" s="210"/>
      <c r="F971" s="210"/>
      <c r="G971" s="210"/>
    </row>
    <row r="972" spans="5:7" ht="12.75" customHeight="1">
      <c r="E972" s="210"/>
      <c r="F972" s="210"/>
      <c r="G972" s="210"/>
    </row>
    <row r="973" spans="5:7" ht="12.75" customHeight="1">
      <c r="E973" s="210"/>
      <c r="F973" s="210"/>
      <c r="G973" s="210"/>
    </row>
    <row r="974" spans="5:7" ht="12.75" customHeight="1">
      <c r="E974" s="210"/>
      <c r="F974" s="210"/>
      <c r="G974" s="210"/>
    </row>
    <row r="975" spans="5:7" ht="12.75" customHeight="1">
      <c r="E975" s="210"/>
      <c r="F975" s="210"/>
      <c r="G975" s="210"/>
    </row>
    <row r="976" spans="5:7" ht="12.75" customHeight="1">
      <c r="E976" s="210"/>
      <c r="F976" s="210"/>
      <c r="G976" s="210"/>
    </row>
    <row r="977" spans="5:7" ht="12.75" customHeight="1">
      <c r="E977" s="210"/>
      <c r="F977" s="210"/>
      <c r="G977" s="210"/>
    </row>
    <row r="978" spans="5:7" ht="12.75" customHeight="1">
      <c r="E978" s="210"/>
      <c r="F978" s="210"/>
      <c r="G978" s="210"/>
    </row>
    <row r="979" spans="5:7" ht="12.75" customHeight="1">
      <c r="E979" s="210"/>
      <c r="F979" s="210"/>
      <c r="G979" s="210"/>
    </row>
    <row r="980" spans="5:7" ht="12.75" customHeight="1">
      <c r="E980" s="210"/>
      <c r="F980" s="210"/>
      <c r="G980" s="210"/>
    </row>
    <row r="981" spans="5:7" ht="12.75" customHeight="1">
      <c r="E981" s="210"/>
      <c r="F981" s="210"/>
      <c r="G981" s="210"/>
    </row>
    <row r="982" spans="5:7" ht="12.75" customHeight="1">
      <c r="E982" s="210"/>
      <c r="F982" s="210"/>
      <c r="G982" s="210"/>
    </row>
    <row r="983" spans="5:7" ht="12.75" customHeight="1">
      <c r="E983" s="210"/>
      <c r="F983" s="210"/>
      <c r="G983" s="210"/>
    </row>
    <row r="984" spans="5:7" ht="12.75" customHeight="1">
      <c r="E984" s="210"/>
      <c r="F984" s="210"/>
      <c r="G984" s="210"/>
    </row>
    <row r="985" spans="5:7" ht="12.75" customHeight="1">
      <c r="E985" s="210"/>
      <c r="F985" s="210"/>
      <c r="G985" s="210"/>
    </row>
    <row r="986" spans="5:7" ht="12.75" customHeight="1">
      <c r="E986" s="210"/>
      <c r="F986" s="210"/>
      <c r="G986" s="210"/>
    </row>
    <row r="987" spans="5:7" ht="12.75" customHeight="1">
      <c r="E987" s="210"/>
      <c r="F987" s="210"/>
      <c r="G987" s="210"/>
    </row>
    <row r="988" spans="5:7" ht="12.75" customHeight="1">
      <c r="E988" s="210"/>
      <c r="F988" s="210"/>
      <c r="G988" s="210"/>
    </row>
    <row r="989" spans="5:7" ht="12.75" customHeight="1">
      <c r="E989" s="210"/>
      <c r="F989" s="210"/>
      <c r="G989" s="210"/>
    </row>
    <row r="990" spans="5:7" ht="12.75" customHeight="1">
      <c r="E990" s="210"/>
      <c r="F990" s="210"/>
      <c r="G990" s="210"/>
    </row>
    <row r="991" spans="5:7" ht="12.75" customHeight="1">
      <c r="E991" s="210"/>
      <c r="F991" s="210"/>
      <c r="G991" s="210"/>
    </row>
    <row r="992" spans="5:7" ht="12.75" customHeight="1">
      <c r="E992" s="210"/>
      <c r="F992" s="210"/>
      <c r="G992" s="210"/>
    </row>
    <row r="993" spans="5:7" ht="12.75" customHeight="1">
      <c r="E993" s="210"/>
      <c r="F993" s="210"/>
      <c r="G993" s="210"/>
    </row>
    <row r="994" spans="5:7" ht="12.75" customHeight="1">
      <c r="E994" s="210"/>
      <c r="F994" s="210"/>
      <c r="G994" s="210"/>
    </row>
    <row r="995" spans="5:7" ht="12.75" customHeight="1">
      <c r="E995" s="210"/>
      <c r="F995" s="210"/>
      <c r="G995" s="210"/>
    </row>
    <row r="996" spans="5:7" ht="12.75" customHeight="1">
      <c r="E996" s="210"/>
      <c r="F996" s="210"/>
      <c r="G996" s="210"/>
    </row>
    <row r="997" spans="5:7" ht="12.75" customHeight="1">
      <c r="E997" s="210"/>
      <c r="F997" s="210"/>
      <c r="G997" s="210"/>
    </row>
    <row r="998" spans="5:7" ht="12.75" customHeight="1">
      <c r="E998" s="210"/>
      <c r="F998" s="210"/>
      <c r="G998" s="210"/>
    </row>
    <row r="999" spans="5:7" ht="12.75" customHeight="1">
      <c r="E999" s="210"/>
      <c r="F999" s="210"/>
      <c r="G999" s="210"/>
    </row>
    <row r="1000" spans="5:7" ht="12.75" customHeight="1">
      <c r="E1000" s="210"/>
      <c r="F1000" s="210"/>
      <c r="G1000" s="210"/>
    </row>
  </sheetData>
  <mergeCells count="4">
    <mergeCell ref="D2:H2"/>
    <mergeCell ref="A5:J5"/>
    <mergeCell ref="A13:J13"/>
    <mergeCell ref="A15:J15"/>
  </mergeCell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workbookViewId="0"/>
  </sheetViews>
  <sheetFormatPr baseColWidth="10" defaultColWidth="12.6640625" defaultRowHeight="15" customHeight="1"/>
  <cols>
    <col min="1" max="2" width="19.109375" customWidth="1"/>
    <col min="3" max="3" width="41.21875" customWidth="1"/>
    <col min="4" max="4" width="21.88671875" customWidth="1"/>
    <col min="5" max="6" width="17" customWidth="1"/>
    <col min="7" max="7" width="18" customWidth="1"/>
    <col min="8" max="8" width="17" customWidth="1"/>
    <col min="9" max="9" width="19.109375" customWidth="1"/>
    <col min="10" max="10" width="43.33203125" customWidth="1"/>
    <col min="11" max="26" width="10" customWidth="1"/>
  </cols>
  <sheetData>
    <row r="1" spans="1:26" ht="12.75" customHeight="1">
      <c r="A1" s="82" t="s">
        <v>498</v>
      </c>
    </row>
    <row r="2" spans="1:26" ht="27.75" customHeight="1">
      <c r="D2" s="309" t="s">
        <v>116</v>
      </c>
      <c r="E2" s="310"/>
      <c r="F2" s="310"/>
      <c r="G2" s="310"/>
      <c r="H2" s="310"/>
    </row>
    <row r="3" spans="1:26" ht="12.75" customHeight="1"/>
    <row r="4" spans="1:26" ht="12.75" customHeight="1"/>
    <row r="5" spans="1:26" ht="43.5" customHeight="1">
      <c r="A5" s="311" t="s">
        <v>117</v>
      </c>
      <c r="B5" s="297"/>
      <c r="C5" s="297"/>
      <c r="D5" s="297"/>
      <c r="E5" s="297"/>
      <c r="F5" s="297"/>
      <c r="G5" s="297"/>
      <c r="H5" s="297"/>
      <c r="I5" s="297"/>
      <c r="J5" s="298"/>
    </row>
    <row r="6" spans="1:26" ht="15.75" customHeight="1"/>
    <row r="7" spans="1:26" ht="75.75" customHeight="1">
      <c r="A7" s="81" t="s">
        <v>118</v>
      </c>
      <c r="B7" s="106" t="s">
        <v>499</v>
      </c>
      <c r="C7" s="82" t="s">
        <v>500</v>
      </c>
      <c r="D7" s="106" t="s">
        <v>501</v>
      </c>
      <c r="E7" s="106" t="s">
        <v>502</v>
      </c>
      <c r="F7" s="247" t="s">
        <v>503</v>
      </c>
      <c r="G7" s="149" t="s">
        <v>504</v>
      </c>
      <c r="H7" s="106" t="s">
        <v>125</v>
      </c>
      <c r="I7" s="106" t="s">
        <v>505</v>
      </c>
      <c r="J7" s="106" t="s">
        <v>506</v>
      </c>
      <c r="K7" s="85"/>
      <c r="L7" s="85"/>
      <c r="M7" s="85"/>
      <c r="N7" s="85"/>
      <c r="O7" s="85"/>
      <c r="P7" s="85"/>
      <c r="Q7" s="85"/>
      <c r="R7" s="85"/>
      <c r="S7" s="85"/>
      <c r="T7" s="85"/>
      <c r="U7" s="85"/>
      <c r="V7" s="85"/>
      <c r="W7" s="85"/>
      <c r="X7" s="85"/>
      <c r="Y7" s="85"/>
      <c r="Z7" s="85"/>
    </row>
    <row r="8" spans="1:26" ht="133.5" customHeight="1">
      <c r="A8" s="119" t="s">
        <v>128</v>
      </c>
      <c r="B8" s="31" t="s">
        <v>507</v>
      </c>
      <c r="C8" s="248" t="s">
        <v>508</v>
      </c>
      <c r="D8" s="249" t="s">
        <v>509</v>
      </c>
      <c r="E8" s="250" t="s">
        <v>510</v>
      </c>
      <c r="F8" s="250" t="s">
        <v>511</v>
      </c>
      <c r="G8" s="251" t="s">
        <v>512</v>
      </c>
      <c r="H8" s="241" t="s">
        <v>292</v>
      </c>
      <c r="I8" s="31" t="s">
        <v>513</v>
      </c>
      <c r="J8" s="252" t="s">
        <v>514</v>
      </c>
    </row>
    <row r="9" spans="1:26" ht="66">
      <c r="A9" s="119" t="s">
        <v>135</v>
      </c>
      <c r="B9" s="31" t="s">
        <v>515</v>
      </c>
      <c r="C9" s="31" t="s">
        <v>516</v>
      </c>
      <c r="D9" s="252" t="s">
        <v>517</v>
      </c>
      <c r="E9" s="250" t="s">
        <v>510</v>
      </c>
      <c r="F9" s="250" t="s">
        <v>511</v>
      </c>
      <c r="G9" s="251" t="s">
        <v>512</v>
      </c>
      <c r="H9" s="241" t="s">
        <v>292</v>
      </c>
      <c r="I9" s="31" t="s">
        <v>513</v>
      </c>
      <c r="J9" s="253" t="s">
        <v>518</v>
      </c>
    </row>
    <row r="10" spans="1:26" ht="91.2">
      <c r="A10" s="119" t="s">
        <v>144</v>
      </c>
      <c r="B10" s="31" t="s">
        <v>519</v>
      </c>
      <c r="C10" s="31" t="s">
        <v>516</v>
      </c>
      <c r="D10" s="254" t="s">
        <v>520</v>
      </c>
      <c r="E10" s="250" t="s">
        <v>510</v>
      </c>
      <c r="F10" s="250" t="s">
        <v>511</v>
      </c>
      <c r="G10" s="251" t="s">
        <v>512</v>
      </c>
      <c r="H10" s="241" t="s">
        <v>292</v>
      </c>
      <c r="I10" s="31" t="s">
        <v>513</v>
      </c>
      <c r="J10" s="253" t="s">
        <v>521</v>
      </c>
    </row>
    <row r="11" spans="1:26" ht="15" hidden="1" customHeight="1">
      <c r="A11" s="96"/>
      <c r="B11" s="128"/>
      <c r="C11" s="128"/>
      <c r="D11" s="128"/>
      <c r="E11" s="128"/>
      <c r="F11" s="128"/>
      <c r="G11" s="128"/>
      <c r="H11" s="128"/>
      <c r="I11" s="128"/>
      <c r="J11" s="128"/>
    </row>
    <row r="12" spans="1:26" ht="12.75" customHeight="1"/>
    <row r="13" spans="1:26" ht="138.75" customHeight="1">
      <c r="A13" s="312" t="s">
        <v>522</v>
      </c>
      <c r="B13" s="297"/>
      <c r="C13" s="297"/>
      <c r="D13" s="297"/>
      <c r="E13" s="297"/>
      <c r="F13" s="297"/>
      <c r="G13" s="297"/>
      <c r="H13" s="297"/>
      <c r="I13" s="297"/>
      <c r="J13" s="298"/>
    </row>
    <row r="14" spans="1:26" ht="12.75" customHeight="1"/>
    <row r="15" spans="1:26" ht="75" customHeight="1">
      <c r="A15" s="312" t="s">
        <v>523</v>
      </c>
      <c r="B15" s="297"/>
      <c r="C15" s="297"/>
      <c r="D15" s="297"/>
      <c r="E15" s="297"/>
      <c r="F15" s="297"/>
      <c r="G15" s="297"/>
      <c r="H15" s="297"/>
      <c r="I15" s="297"/>
      <c r="J15" s="29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98"/>
      <c r="E26" s="98"/>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1500-000000000000}"/>
  </hyperlink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workbookViewId="0"/>
  </sheetViews>
  <sheetFormatPr baseColWidth="10" defaultColWidth="12.6640625" defaultRowHeight="15" customHeight="1"/>
  <cols>
    <col min="1" max="3" width="19.109375" customWidth="1"/>
    <col min="4" max="4" width="21.88671875" customWidth="1"/>
    <col min="5" max="6" width="17" customWidth="1"/>
    <col min="7" max="7" width="18" customWidth="1"/>
    <col min="8" max="8" width="17" customWidth="1"/>
    <col min="9" max="10" width="19.109375" customWidth="1"/>
    <col min="11" max="26" width="10" customWidth="1"/>
  </cols>
  <sheetData>
    <row r="1" spans="1:26" ht="12.75" customHeight="1">
      <c r="A1" s="8"/>
    </row>
    <row r="2" spans="1:26" ht="27.75" customHeight="1">
      <c r="D2" s="309" t="s">
        <v>116</v>
      </c>
      <c r="E2" s="310"/>
      <c r="F2" s="310"/>
      <c r="G2" s="310"/>
      <c r="H2" s="310"/>
    </row>
    <row r="3" spans="1:26" ht="12.75" customHeight="1"/>
    <row r="4" spans="1:26" ht="12.75" customHeight="1"/>
    <row r="5" spans="1:26" ht="43.5" customHeight="1">
      <c r="A5" s="311" t="s">
        <v>117</v>
      </c>
      <c r="B5" s="297"/>
      <c r="C5" s="297"/>
      <c r="D5" s="297"/>
      <c r="E5" s="297"/>
      <c r="F5" s="297"/>
      <c r="G5" s="297"/>
      <c r="H5" s="297"/>
      <c r="I5" s="297"/>
      <c r="J5" s="298"/>
    </row>
    <row r="6" spans="1:26" ht="15.75" customHeight="1"/>
    <row r="7" spans="1:26" ht="75.75" customHeight="1">
      <c r="A7" s="81" t="s">
        <v>118</v>
      </c>
      <c r="B7" s="106" t="s">
        <v>524</v>
      </c>
      <c r="C7" s="82" t="s">
        <v>525</v>
      </c>
      <c r="D7" s="106" t="s">
        <v>526</v>
      </c>
      <c r="E7" s="106" t="s">
        <v>527</v>
      </c>
      <c r="F7" s="255" t="s">
        <v>528</v>
      </c>
      <c r="G7" s="149" t="s">
        <v>529</v>
      </c>
      <c r="H7" s="106" t="s">
        <v>125</v>
      </c>
      <c r="I7" s="106" t="s">
        <v>530</v>
      </c>
      <c r="J7" s="106" t="s">
        <v>531</v>
      </c>
      <c r="K7" s="85"/>
      <c r="L7" s="85"/>
      <c r="M7" s="85"/>
      <c r="N7" s="85"/>
      <c r="O7" s="85"/>
      <c r="P7" s="85"/>
      <c r="Q7" s="85"/>
      <c r="R7" s="85"/>
      <c r="S7" s="85"/>
      <c r="T7" s="85"/>
      <c r="U7" s="85"/>
      <c r="V7" s="85"/>
      <c r="W7" s="85"/>
      <c r="X7" s="85"/>
      <c r="Y7" s="85"/>
      <c r="Z7" s="85"/>
    </row>
    <row r="8" spans="1:26" ht="50.25" customHeight="1">
      <c r="A8" s="119" t="s">
        <v>128</v>
      </c>
      <c r="B8" s="31" t="s">
        <v>532</v>
      </c>
      <c r="C8" s="31" t="s">
        <v>533</v>
      </c>
      <c r="D8" s="256" t="s">
        <v>534</v>
      </c>
      <c r="E8" s="257" t="s">
        <v>535</v>
      </c>
      <c r="F8" s="257" t="s">
        <v>536</v>
      </c>
      <c r="G8" s="251" t="s">
        <v>537</v>
      </c>
      <c r="H8" s="241" t="s">
        <v>292</v>
      </c>
      <c r="I8" s="31" t="s">
        <v>538</v>
      </c>
      <c r="J8" s="150" t="s">
        <v>539</v>
      </c>
    </row>
    <row r="9" spans="1:26" ht="50.25" customHeight="1">
      <c r="A9" s="119" t="s">
        <v>135</v>
      </c>
      <c r="B9" s="31" t="s">
        <v>540</v>
      </c>
      <c r="C9" s="258" t="s">
        <v>541</v>
      </c>
      <c r="D9" s="150" t="s">
        <v>542</v>
      </c>
      <c r="E9" s="257" t="s">
        <v>543</v>
      </c>
      <c r="F9" s="257" t="s">
        <v>544</v>
      </c>
      <c r="G9" s="251" t="s">
        <v>545</v>
      </c>
      <c r="H9" s="241" t="s">
        <v>292</v>
      </c>
      <c r="I9" s="31" t="s">
        <v>538</v>
      </c>
      <c r="J9" s="150" t="s">
        <v>546</v>
      </c>
    </row>
    <row r="10" spans="1:26" ht="50.25" customHeight="1">
      <c r="A10" s="119" t="s">
        <v>144</v>
      </c>
      <c r="B10" s="31" t="s">
        <v>547</v>
      </c>
      <c r="C10" s="259" t="s">
        <v>548</v>
      </c>
      <c r="D10" s="256" t="s">
        <v>549</v>
      </c>
      <c r="E10" s="257" t="s">
        <v>550</v>
      </c>
      <c r="F10" s="257" t="s">
        <v>551</v>
      </c>
      <c r="G10" s="251" t="s">
        <v>552</v>
      </c>
      <c r="H10" s="241" t="s">
        <v>292</v>
      </c>
      <c r="I10" s="31" t="s">
        <v>538</v>
      </c>
      <c r="J10" s="150" t="s">
        <v>553</v>
      </c>
    </row>
    <row r="11" spans="1:26" ht="15" hidden="1" customHeight="1">
      <c r="A11" s="96"/>
      <c r="B11" s="128"/>
      <c r="C11" s="128"/>
      <c r="D11" s="128"/>
      <c r="E11" s="128"/>
      <c r="F11" s="128"/>
      <c r="G11" s="128"/>
      <c r="H11" s="128"/>
      <c r="I11" s="128"/>
      <c r="J11" s="128"/>
    </row>
    <row r="12" spans="1:26" ht="12.75" customHeight="1"/>
    <row r="13" spans="1:26" ht="138.75" customHeight="1">
      <c r="A13" s="312" t="s">
        <v>554</v>
      </c>
      <c r="B13" s="297"/>
      <c r="C13" s="297"/>
      <c r="D13" s="297"/>
      <c r="E13" s="297"/>
      <c r="F13" s="297"/>
      <c r="G13" s="297"/>
      <c r="H13" s="297"/>
      <c r="I13" s="297"/>
      <c r="J13" s="298"/>
    </row>
    <row r="14" spans="1:26" ht="12.75" customHeight="1"/>
    <row r="15" spans="1:26" ht="75" customHeight="1">
      <c r="A15" s="312" t="s">
        <v>555</v>
      </c>
      <c r="B15" s="297"/>
      <c r="C15" s="297"/>
      <c r="D15" s="297"/>
      <c r="E15" s="297"/>
      <c r="F15" s="297"/>
      <c r="G15" s="297"/>
      <c r="H15" s="297"/>
      <c r="I15" s="297"/>
      <c r="J15" s="29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98"/>
      <c r="E26" s="98"/>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0"/>
  <sheetViews>
    <sheetView workbookViewId="0"/>
  </sheetViews>
  <sheetFormatPr baseColWidth="10" defaultColWidth="12.6640625" defaultRowHeight="15" customHeight="1"/>
  <cols>
    <col min="1" max="3" width="19.109375" customWidth="1"/>
    <col min="4" max="4" width="38.33203125" customWidth="1"/>
    <col min="5" max="6" width="17" customWidth="1"/>
    <col min="7" max="7" width="18" customWidth="1"/>
    <col min="8" max="8" width="17" customWidth="1"/>
    <col min="9" max="10" width="19.109375" customWidth="1"/>
    <col min="11" max="26" width="10" customWidth="1"/>
  </cols>
  <sheetData>
    <row r="1" spans="1:26" ht="12.75" customHeight="1">
      <c r="A1" s="8"/>
    </row>
    <row r="2" spans="1:26" ht="27.75" customHeight="1">
      <c r="D2" s="309" t="s">
        <v>116</v>
      </c>
      <c r="E2" s="310"/>
      <c r="F2" s="310"/>
      <c r="G2" s="310"/>
      <c r="H2" s="310"/>
    </row>
    <row r="3" spans="1:26" ht="12.75" customHeight="1"/>
    <row r="4" spans="1:26" ht="12.75" customHeight="1"/>
    <row r="5" spans="1:26" ht="43.5" customHeight="1">
      <c r="A5" s="321" t="s">
        <v>117</v>
      </c>
      <c r="B5" s="310"/>
      <c r="C5" s="310"/>
      <c r="D5" s="310"/>
      <c r="E5" s="310"/>
      <c r="F5" s="310"/>
      <c r="G5" s="310"/>
      <c r="H5" s="310"/>
      <c r="I5" s="310"/>
      <c r="J5" s="310"/>
      <c r="K5" s="260"/>
    </row>
    <row r="6" spans="1:26" ht="15.75" customHeight="1"/>
    <row r="7" spans="1:26" ht="75.75" customHeight="1">
      <c r="A7" s="81" t="s">
        <v>118</v>
      </c>
      <c r="B7" s="106" t="s">
        <v>556</v>
      </c>
      <c r="C7" s="82" t="s">
        <v>557</v>
      </c>
      <c r="D7" s="106" t="s">
        <v>558</v>
      </c>
      <c r="E7" s="106" t="s">
        <v>559</v>
      </c>
      <c r="F7" s="247" t="s">
        <v>560</v>
      </c>
      <c r="G7" s="149" t="s">
        <v>561</v>
      </c>
      <c r="H7" s="106" t="s">
        <v>125</v>
      </c>
      <c r="I7" s="106" t="s">
        <v>562</v>
      </c>
      <c r="J7" s="106" t="s">
        <v>563</v>
      </c>
      <c r="K7" s="261" t="s">
        <v>564</v>
      </c>
      <c r="L7" s="85"/>
      <c r="M7" s="85"/>
      <c r="N7" s="85"/>
      <c r="O7" s="85"/>
      <c r="P7" s="85"/>
      <c r="Q7" s="85"/>
      <c r="R7" s="85"/>
      <c r="S7" s="85"/>
      <c r="T7" s="85"/>
      <c r="U7" s="85"/>
      <c r="V7" s="85"/>
      <c r="W7" s="85"/>
      <c r="X7" s="85"/>
      <c r="Y7" s="85"/>
      <c r="Z7" s="85"/>
    </row>
    <row r="8" spans="1:26" ht="100.5" customHeight="1">
      <c r="A8" s="119" t="s">
        <v>128</v>
      </c>
      <c r="B8" s="31" t="s">
        <v>565</v>
      </c>
      <c r="C8" s="31" t="s">
        <v>566</v>
      </c>
      <c r="D8" s="262" t="s">
        <v>567</v>
      </c>
      <c r="E8" s="257" t="s">
        <v>568</v>
      </c>
      <c r="F8" s="257" t="s">
        <v>511</v>
      </c>
      <c r="G8" s="251" t="s">
        <v>512</v>
      </c>
      <c r="H8" s="241" t="s">
        <v>292</v>
      </c>
      <c r="I8" s="150" t="s">
        <v>569</v>
      </c>
      <c r="J8" s="150" t="s">
        <v>570</v>
      </c>
    </row>
    <row r="9" spans="1:26" ht="132">
      <c r="A9" s="119" t="s">
        <v>135</v>
      </c>
      <c r="B9" s="31" t="s">
        <v>571</v>
      </c>
      <c r="C9" s="31" t="s">
        <v>541</v>
      </c>
      <c r="D9" s="262" t="s">
        <v>572</v>
      </c>
      <c r="E9" s="257" t="s">
        <v>573</v>
      </c>
      <c r="F9" s="257" t="s">
        <v>574</v>
      </c>
      <c r="G9" s="251" t="s">
        <v>575</v>
      </c>
      <c r="H9" s="241" t="s">
        <v>292</v>
      </c>
      <c r="I9" s="31" t="s">
        <v>576</v>
      </c>
      <c r="J9" s="150" t="s">
        <v>577</v>
      </c>
    </row>
    <row r="10" spans="1:26" ht="110.25" customHeight="1">
      <c r="A10" s="119" t="s">
        <v>144</v>
      </c>
      <c r="B10" s="31" t="s">
        <v>578</v>
      </c>
      <c r="C10" s="31" t="s">
        <v>579</v>
      </c>
      <c r="D10" s="185" t="s">
        <v>580</v>
      </c>
      <c r="E10" s="257" t="s">
        <v>581</v>
      </c>
      <c r="F10" s="257" t="s">
        <v>582</v>
      </c>
      <c r="G10" s="251" t="s">
        <v>583</v>
      </c>
      <c r="H10" s="241" t="s">
        <v>292</v>
      </c>
      <c r="I10" s="31" t="s">
        <v>584</v>
      </c>
      <c r="J10" s="185" t="s">
        <v>585</v>
      </c>
    </row>
    <row r="11" spans="1:26" ht="15" hidden="1" customHeight="1">
      <c r="A11" s="96"/>
      <c r="B11" s="128"/>
      <c r="C11" s="128"/>
      <c r="D11" s="128"/>
      <c r="E11" s="128"/>
      <c r="F11" s="128"/>
      <c r="G11" s="128"/>
      <c r="H11" s="128"/>
      <c r="I11" s="128"/>
      <c r="J11" s="128"/>
    </row>
    <row r="12" spans="1:26" ht="12.75" customHeight="1"/>
    <row r="13" spans="1:26" ht="138.75" customHeight="1">
      <c r="A13" s="312" t="s">
        <v>586</v>
      </c>
      <c r="B13" s="297"/>
      <c r="C13" s="297"/>
      <c r="D13" s="297"/>
      <c r="E13" s="297"/>
      <c r="F13" s="297"/>
      <c r="G13" s="297"/>
      <c r="H13" s="297"/>
      <c r="I13" s="297"/>
      <c r="J13" s="298"/>
    </row>
    <row r="14" spans="1:26" ht="12.75" customHeight="1"/>
    <row r="15" spans="1:26" ht="75" customHeight="1">
      <c r="A15" s="312" t="s">
        <v>587</v>
      </c>
      <c r="B15" s="297"/>
      <c r="C15" s="297"/>
      <c r="D15" s="297"/>
      <c r="E15" s="297"/>
      <c r="F15" s="297"/>
      <c r="G15" s="297"/>
      <c r="H15" s="297"/>
      <c r="I15" s="297"/>
      <c r="J15" s="29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98"/>
      <c r="E26" s="98"/>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D8" r:id="rId1" xr:uid="{00000000-0004-0000-1700-000000000000}"/>
    <hyperlink ref="D9" r:id="rId2" xr:uid="{00000000-0004-0000-1700-000001000000}"/>
  </hyperlink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Z1000"/>
  <sheetViews>
    <sheetView workbookViewId="0"/>
  </sheetViews>
  <sheetFormatPr baseColWidth="10" defaultColWidth="12.6640625" defaultRowHeight="15" customHeight="1"/>
  <cols>
    <col min="2" max="2" width="18.6640625" customWidth="1"/>
    <col min="3" max="3" width="21.77734375" customWidth="1"/>
    <col min="4" max="4" width="26" customWidth="1"/>
    <col min="5" max="5" width="19.21875" customWidth="1"/>
    <col min="6" max="6" width="21.33203125" customWidth="1"/>
    <col min="7" max="7" width="20.21875" customWidth="1"/>
    <col min="8" max="8" width="18.77734375" customWidth="1"/>
    <col min="9" max="9" width="20.77734375" customWidth="1"/>
    <col min="10" max="10" width="28.21875" customWidth="1"/>
  </cols>
  <sheetData>
    <row r="1" spans="1:26" ht="13.2">
      <c r="A1" s="25"/>
      <c r="B1" s="25"/>
      <c r="C1" s="25"/>
      <c r="D1" s="25"/>
      <c r="E1" s="25"/>
      <c r="F1" s="25"/>
      <c r="G1" s="25"/>
      <c r="H1" s="25"/>
      <c r="I1" s="25"/>
      <c r="J1" s="25"/>
      <c r="K1" s="25"/>
      <c r="L1" s="25"/>
      <c r="M1" s="25"/>
      <c r="N1" s="25"/>
      <c r="O1" s="25"/>
      <c r="P1" s="25"/>
      <c r="Q1" s="25"/>
      <c r="R1" s="25"/>
      <c r="S1" s="25"/>
      <c r="T1" s="25"/>
      <c r="U1" s="25"/>
      <c r="V1" s="25"/>
      <c r="W1" s="25"/>
      <c r="X1" s="25"/>
      <c r="Y1" s="25"/>
      <c r="Z1" s="25"/>
    </row>
    <row r="2" spans="1:26" ht="13.2">
      <c r="A2" s="25"/>
      <c r="B2" s="25"/>
      <c r="C2" s="25"/>
      <c r="D2" s="25"/>
      <c r="E2" s="25"/>
      <c r="F2" s="25"/>
      <c r="G2" s="25"/>
      <c r="H2" s="25"/>
      <c r="I2" s="25"/>
      <c r="J2" s="25"/>
      <c r="K2" s="25"/>
      <c r="L2" s="25"/>
      <c r="M2" s="25"/>
      <c r="N2" s="25"/>
      <c r="O2" s="25"/>
      <c r="P2" s="25"/>
      <c r="Q2" s="25"/>
      <c r="R2" s="25"/>
      <c r="S2" s="25"/>
      <c r="T2" s="25"/>
      <c r="U2" s="25"/>
      <c r="V2" s="25"/>
      <c r="W2" s="25"/>
      <c r="X2" s="25"/>
      <c r="Y2" s="25"/>
      <c r="Z2" s="25"/>
    </row>
    <row r="3" spans="1:26" ht="13.2">
      <c r="A3" s="25"/>
      <c r="B3" s="25"/>
      <c r="C3" s="25"/>
      <c r="D3" s="25"/>
      <c r="E3" s="25"/>
      <c r="F3" s="25"/>
      <c r="G3" s="25"/>
      <c r="H3" s="25"/>
      <c r="I3" s="25"/>
      <c r="J3" s="25"/>
      <c r="K3" s="25"/>
      <c r="L3" s="25"/>
      <c r="M3" s="25"/>
      <c r="N3" s="25"/>
      <c r="O3" s="25"/>
      <c r="P3" s="25"/>
      <c r="Q3" s="25"/>
      <c r="R3" s="25"/>
      <c r="S3" s="25"/>
      <c r="T3" s="25"/>
      <c r="U3" s="25"/>
      <c r="V3" s="25"/>
      <c r="W3" s="25"/>
      <c r="X3" s="25"/>
      <c r="Y3" s="25"/>
      <c r="Z3" s="25"/>
    </row>
    <row r="4" spans="1:26" ht="13.2">
      <c r="A4" s="25"/>
      <c r="B4" s="25"/>
      <c r="C4" s="25"/>
      <c r="D4" s="25"/>
      <c r="E4" s="25"/>
      <c r="F4" s="25"/>
      <c r="G4" s="25"/>
      <c r="H4" s="25"/>
      <c r="I4" s="25"/>
      <c r="J4" s="25"/>
      <c r="K4" s="25"/>
      <c r="L4" s="25"/>
      <c r="M4" s="25"/>
      <c r="N4" s="25"/>
      <c r="O4" s="25"/>
      <c r="P4" s="25"/>
      <c r="Q4" s="25"/>
      <c r="R4" s="25"/>
      <c r="S4" s="25"/>
      <c r="T4" s="25"/>
      <c r="U4" s="25"/>
      <c r="V4" s="25"/>
      <c r="W4" s="25"/>
      <c r="X4" s="25"/>
      <c r="Y4" s="25"/>
      <c r="Z4" s="25"/>
    </row>
    <row r="5" spans="1:26" ht="13.2">
      <c r="A5" s="25"/>
      <c r="B5" s="25"/>
      <c r="C5" s="25"/>
      <c r="D5" s="25"/>
      <c r="E5" s="25"/>
      <c r="F5" s="25"/>
      <c r="G5" s="25"/>
      <c r="H5" s="25"/>
      <c r="I5" s="25"/>
      <c r="J5" s="25"/>
      <c r="K5" s="25"/>
      <c r="L5" s="25"/>
      <c r="M5" s="25"/>
      <c r="N5" s="25"/>
      <c r="O5" s="25"/>
      <c r="P5" s="25"/>
      <c r="Q5" s="25"/>
      <c r="R5" s="25"/>
      <c r="S5" s="25"/>
      <c r="T5" s="25"/>
      <c r="U5" s="25"/>
      <c r="V5" s="25"/>
      <c r="W5" s="25"/>
      <c r="X5" s="25"/>
      <c r="Y5" s="25"/>
      <c r="Z5" s="25"/>
    </row>
    <row r="6" spans="1:26" ht="13.2">
      <c r="A6" s="311" t="s">
        <v>588</v>
      </c>
      <c r="B6" s="297"/>
      <c r="C6" s="297"/>
      <c r="D6" s="297"/>
      <c r="E6" s="297"/>
      <c r="F6" s="297"/>
      <c r="G6" s="297"/>
      <c r="H6" s="297"/>
      <c r="I6" s="297"/>
      <c r="J6" s="298"/>
      <c r="K6" s="25"/>
      <c r="L6" s="25"/>
      <c r="M6" s="25"/>
      <c r="N6" s="25"/>
      <c r="O6" s="25"/>
      <c r="P6" s="25"/>
      <c r="Q6" s="25"/>
      <c r="R6" s="25"/>
      <c r="S6" s="25"/>
      <c r="T6" s="25"/>
      <c r="U6" s="25"/>
      <c r="V6" s="25"/>
      <c r="W6" s="25"/>
      <c r="X6" s="25"/>
      <c r="Y6" s="25"/>
      <c r="Z6" s="25"/>
    </row>
    <row r="7" spans="1:26" ht="13.2">
      <c r="A7" s="25"/>
      <c r="B7" s="25"/>
      <c r="C7" s="25"/>
      <c r="D7" s="25"/>
      <c r="E7" s="263"/>
      <c r="F7" s="263"/>
      <c r="G7" s="263"/>
      <c r="H7" s="25"/>
      <c r="I7" s="25"/>
      <c r="J7" s="25"/>
      <c r="K7" s="25"/>
      <c r="L7" s="25"/>
      <c r="M7" s="25"/>
      <c r="N7" s="25"/>
      <c r="O7" s="25"/>
      <c r="P7" s="25"/>
      <c r="Q7" s="25"/>
      <c r="R7" s="25"/>
      <c r="S7" s="25"/>
      <c r="T7" s="25"/>
      <c r="U7" s="25"/>
      <c r="V7" s="25"/>
      <c r="W7" s="25"/>
      <c r="X7" s="25"/>
      <c r="Y7" s="25"/>
      <c r="Z7" s="25"/>
    </row>
    <row r="8" spans="1:26" ht="52.8">
      <c r="A8" s="81" t="s">
        <v>118</v>
      </c>
      <c r="B8" s="106" t="s">
        <v>589</v>
      </c>
      <c r="C8" s="82" t="s">
        <v>590</v>
      </c>
      <c r="D8" s="106" t="s">
        <v>591</v>
      </c>
      <c r="E8" s="164" t="s">
        <v>592</v>
      </c>
      <c r="F8" s="235" t="s">
        <v>593</v>
      </c>
      <c r="G8" s="236" t="s">
        <v>594</v>
      </c>
      <c r="H8" s="106" t="s">
        <v>125</v>
      </c>
      <c r="I8" s="82" t="s">
        <v>595</v>
      </c>
      <c r="J8" s="106" t="s">
        <v>596</v>
      </c>
      <c r="K8" s="25"/>
      <c r="L8" s="25"/>
      <c r="M8" s="25"/>
      <c r="N8" s="25"/>
      <c r="O8" s="25"/>
      <c r="P8" s="25"/>
      <c r="Q8" s="25"/>
      <c r="R8" s="25"/>
      <c r="S8" s="25"/>
      <c r="T8" s="25"/>
      <c r="U8" s="25"/>
      <c r="V8" s="25"/>
      <c r="W8" s="25"/>
      <c r="X8" s="25"/>
      <c r="Y8" s="25"/>
      <c r="Z8" s="25"/>
    </row>
    <row r="9" spans="1:26" ht="46.5" customHeight="1">
      <c r="A9" s="264" t="s">
        <v>128</v>
      </c>
      <c r="B9" s="150" t="s">
        <v>597</v>
      </c>
      <c r="C9" s="31" t="s">
        <v>598</v>
      </c>
      <c r="D9" s="248" t="s">
        <v>599</v>
      </c>
      <c r="E9" s="240" t="s">
        <v>600</v>
      </c>
      <c r="F9" s="240" t="s">
        <v>601</v>
      </c>
      <c r="G9" s="265" t="s">
        <v>602</v>
      </c>
      <c r="H9" s="241" t="s">
        <v>292</v>
      </c>
      <c r="I9" s="31" t="s">
        <v>603</v>
      </c>
      <c r="J9" s="185" t="s">
        <v>604</v>
      </c>
      <c r="K9" s="25"/>
      <c r="L9" s="25"/>
      <c r="M9" s="25"/>
      <c r="N9" s="25"/>
      <c r="O9" s="25"/>
      <c r="P9" s="25"/>
      <c r="Q9" s="25"/>
      <c r="R9" s="25"/>
      <c r="S9" s="25"/>
      <c r="T9" s="25"/>
      <c r="U9" s="25"/>
      <c r="V9" s="25"/>
      <c r="W9" s="25"/>
      <c r="X9" s="25"/>
      <c r="Y9" s="25"/>
      <c r="Z9" s="25"/>
    </row>
    <row r="10" spans="1:26" ht="66">
      <c r="A10" s="264" t="s">
        <v>135</v>
      </c>
      <c r="B10" s="150" t="s">
        <v>605</v>
      </c>
      <c r="C10" s="31" t="s">
        <v>606</v>
      </c>
      <c r="D10" s="248" t="s">
        <v>607</v>
      </c>
      <c r="E10" s="240" t="s">
        <v>608</v>
      </c>
      <c r="F10" s="240">
        <v>181711.08</v>
      </c>
      <c r="G10" s="240" t="s">
        <v>609</v>
      </c>
      <c r="H10" s="241" t="s">
        <v>298</v>
      </c>
      <c r="I10" s="31" t="s">
        <v>603</v>
      </c>
      <c r="J10" s="185" t="s">
        <v>610</v>
      </c>
      <c r="K10" s="25"/>
      <c r="L10" s="25"/>
      <c r="M10" s="25"/>
      <c r="N10" s="25"/>
      <c r="O10" s="25"/>
      <c r="P10" s="25"/>
      <c r="Q10" s="25"/>
      <c r="R10" s="25"/>
      <c r="S10" s="25"/>
      <c r="T10" s="25"/>
      <c r="U10" s="25"/>
      <c r="V10" s="25"/>
      <c r="W10" s="25"/>
      <c r="X10" s="25"/>
      <c r="Y10" s="25"/>
      <c r="Z10" s="25"/>
    </row>
    <row r="11" spans="1:26" ht="66">
      <c r="A11" s="264" t="s">
        <v>144</v>
      </c>
      <c r="B11" s="150" t="s">
        <v>611</v>
      </c>
      <c r="C11" s="31" t="s">
        <v>612</v>
      </c>
      <c r="D11" s="248" t="s">
        <v>613</v>
      </c>
      <c r="E11" s="240" t="s">
        <v>614</v>
      </c>
      <c r="F11" s="240">
        <v>210958.95</v>
      </c>
      <c r="G11" s="240" t="s">
        <v>615</v>
      </c>
      <c r="H11" s="241" t="s">
        <v>301</v>
      </c>
      <c r="I11" s="31" t="s">
        <v>603</v>
      </c>
      <c r="J11" s="185" t="s">
        <v>610</v>
      </c>
      <c r="K11" s="25"/>
      <c r="L11" s="25"/>
      <c r="M11" s="25"/>
      <c r="N11" s="25"/>
      <c r="O11" s="25"/>
      <c r="P11" s="25"/>
      <c r="Q11" s="25"/>
      <c r="R11" s="25"/>
      <c r="S11" s="25"/>
      <c r="T11" s="25"/>
      <c r="U11" s="25"/>
      <c r="V11" s="25"/>
      <c r="W11" s="25"/>
      <c r="X11" s="25"/>
      <c r="Y11" s="25"/>
      <c r="Z11" s="25"/>
    </row>
    <row r="12" spans="1:26" ht="13.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3.2">
      <c r="A13" s="311" t="s">
        <v>616</v>
      </c>
      <c r="B13" s="297"/>
      <c r="C13" s="297"/>
      <c r="D13" s="297"/>
      <c r="E13" s="297"/>
      <c r="F13" s="297"/>
      <c r="G13" s="297"/>
      <c r="H13" s="297"/>
      <c r="I13" s="297"/>
      <c r="J13" s="298"/>
      <c r="K13" s="25"/>
      <c r="L13" s="25"/>
      <c r="M13" s="25"/>
      <c r="N13" s="25"/>
      <c r="O13" s="25"/>
      <c r="P13" s="25"/>
      <c r="Q13" s="25"/>
      <c r="R13" s="25"/>
      <c r="S13" s="25"/>
      <c r="T13" s="25"/>
      <c r="U13" s="25"/>
      <c r="V13" s="25"/>
      <c r="W13" s="25"/>
      <c r="X13" s="25"/>
      <c r="Y13" s="25"/>
      <c r="Z13" s="25"/>
    </row>
    <row r="14" spans="1:26" ht="13.2">
      <c r="A14" s="25"/>
      <c r="B14" s="25"/>
      <c r="C14" s="25"/>
      <c r="D14" s="25"/>
      <c r="E14" s="263"/>
      <c r="F14" s="263"/>
      <c r="G14" s="263"/>
      <c r="H14" s="25"/>
      <c r="I14" s="25"/>
      <c r="J14" s="25"/>
      <c r="K14" s="25"/>
      <c r="L14" s="25"/>
      <c r="M14" s="25"/>
      <c r="N14" s="25"/>
      <c r="O14" s="25"/>
      <c r="P14" s="25"/>
      <c r="Q14" s="25"/>
      <c r="R14" s="25"/>
      <c r="S14" s="25"/>
      <c r="T14" s="25"/>
      <c r="U14" s="25"/>
      <c r="V14" s="25"/>
      <c r="W14" s="25"/>
      <c r="X14" s="25"/>
      <c r="Y14" s="25"/>
      <c r="Z14" s="25"/>
    </row>
    <row r="15" spans="1:26" ht="52.8">
      <c r="A15" s="81" t="s">
        <v>118</v>
      </c>
      <c r="B15" s="106" t="s">
        <v>617</v>
      </c>
      <c r="C15" s="82" t="s">
        <v>618</v>
      </c>
      <c r="D15" s="106" t="s">
        <v>619</v>
      </c>
      <c r="E15" s="164" t="s">
        <v>620</v>
      </c>
      <c r="F15" s="235" t="s">
        <v>621</v>
      </c>
      <c r="G15" s="236" t="s">
        <v>622</v>
      </c>
      <c r="H15" s="106" t="s">
        <v>125</v>
      </c>
      <c r="I15" s="82" t="s">
        <v>623</v>
      </c>
      <c r="J15" s="106" t="s">
        <v>624</v>
      </c>
      <c r="K15" s="25"/>
      <c r="L15" s="25"/>
      <c r="M15" s="25"/>
      <c r="N15" s="25"/>
      <c r="O15" s="25"/>
      <c r="P15" s="25"/>
      <c r="Q15" s="25"/>
      <c r="R15" s="25"/>
      <c r="S15" s="25"/>
      <c r="T15" s="25"/>
      <c r="U15" s="25"/>
      <c r="V15" s="25"/>
      <c r="W15" s="25"/>
      <c r="X15" s="25"/>
      <c r="Y15" s="25"/>
      <c r="Z15" s="25"/>
    </row>
    <row r="16" spans="1:26" ht="31.5" customHeight="1">
      <c r="A16" s="264" t="s">
        <v>128</v>
      </c>
      <c r="B16" s="150" t="s">
        <v>605</v>
      </c>
      <c r="C16" s="31" t="s">
        <v>606</v>
      </c>
      <c r="D16" s="248" t="s">
        <v>625</v>
      </c>
      <c r="E16" s="240">
        <v>0</v>
      </c>
      <c r="F16" s="240">
        <v>0</v>
      </c>
      <c r="G16" s="240">
        <v>0</v>
      </c>
      <c r="H16" s="241" t="s">
        <v>292</v>
      </c>
      <c r="I16" s="31" t="s">
        <v>626</v>
      </c>
      <c r="J16" s="185" t="s">
        <v>627</v>
      </c>
      <c r="K16" s="25"/>
      <c r="L16" s="25"/>
      <c r="M16" s="25"/>
      <c r="N16" s="25"/>
      <c r="O16" s="25"/>
      <c r="P16" s="25"/>
      <c r="Q16" s="25"/>
      <c r="R16" s="25"/>
      <c r="S16" s="25"/>
      <c r="T16" s="25"/>
      <c r="U16" s="25"/>
      <c r="V16" s="25"/>
      <c r="W16" s="25"/>
      <c r="X16" s="25"/>
      <c r="Y16" s="25"/>
      <c r="Z16" s="25"/>
    </row>
    <row r="17" spans="1:26" ht="39.6">
      <c r="A17" s="264" t="s">
        <v>135</v>
      </c>
      <c r="B17" s="150" t="s">
        <v>628</v>
      </c>
      <c r="C17" s="31" t="s">
        <v>606</v>
      </c>
      <c r="D17" s="248" t="s">
        <v>629</v>
      </c>
      <c r="E17" s="240">
        <v>0</v>
      </c>
      <c r="F17" s="240">
        <v>0</v>
      </c>
      <c r="G17" s="240">
        <v>0</v>
      </c>
      <c r="H17" s="241" t="s">
        <v>298</v>
      </c>
      <c r="I17" s="31" t="s">
        <v>626</v>
      </c>
      <c r="J17" s="185" t="s">
        <v>630</v>
      </c>
      <c r="K17" s="25"/>
      <c r="L17" s="25"/>
      <c r="M17" s="25"/>
      <c r="N17" s="25"/>
      <c r="O17" s="25"/>
      <c r="P17" s="25"/>
      <c r="Q17" s="25"/>
      <c r="R17" s="25"/>
      <c r="S17" s="25"/>
      <c r="T17" s="25"/>
      <c r="U17" s="25"/>
      <c r="V17" s="25"/>
      <c r="W17" s="25"/>
      <c r="X17" s="25"/>
      <c r="Y17" s="25"/>
      <c r="Z17" s="25"/>
    </row>
    <row r="18" spans="1:26" ht="39.6">
      <c r="A18" s="264" t="s">
        <v>144</v>
      </c>
      <c r="B18" s="150" t="s">
        <v>631</v>
      </c>
      <c r="C18" s="31" t="s">
        <v>606</v>
      </c>
      <c r="D18" s="248" t="s">
        <v>632</v>
      </c>
      <c r="E18" s="240">
        <v>0</v>
      </c>
      <c r="F18" s="240">
        <v>0</v>
      </c>
      <c r="G18" s="240">
        <v>0</v>
      </c>
      <c r="H18" s="241" t="s">
        <v>301</v>
      </c>
      <c r="I18" s="31" t="s">
        <v>626</v>
      </c>
      <c r="J18" s="31" t="s">
        <v>633</v>
      </c>
      <c r="K18" s="25"/>
      <c r="L18" s="25"/>
      <c r="M18" s="25"/>
      <c r="N18" s="25"/>
      <c r="O18" s="25"/>
      <c r="P18" s="25"/>
      <c r="Q18" s="25"/>
      <c r="R18" s="25"/>
      <c r="S18" s="25"/>
      <c r="T18" s="25"/>
      <c r="U18" s="25"/>
      <c r="V18" s="25"/>
      <c r="W18" s="25"/>
      <c r="X18" s="25"/>
      <c r="Y18" s="25"/>
      <c r="Z18" s="25"/>
    </row>
    <row r="19" spans="1:26" ht="13.2">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3.2">
      <c r="A20" s="311" t="s">
        <v>634</v>
      </c>
      <c r="B20" s="297"/>
      <c r="C20" s="297"/>
      <c r="D20" s="297"/>
      <c r="E20" s="297"/>
      <c r="F20" s="297"/>
      <c r="G20" s="297"/>
      <c r="H20" s="297"/>
      <c r="I20" s="297"/>
      <c r="J20" s="298"/>
      <c r="K20" s="25"/>
      <c r="L20" s="25"/>
      <c r="M20" s="25"/>
      <c r="N20" s="25"/>
      <c r="O20" s="25"/>
      <c r="P20" s="25"/>
      <c r="Q20" s="25"/>
      <c r="R20" s="25"/>
      <c r="S20" s="25"/>
      <c r="T20" s="25"/>
      <c r="U20" s="25"/>
      <c r="V20" s="25"/>
      <c r="W20" s="25"/>
      <c r="X20" s="25"/>
      <c r="Y20" s="25"/>
      <c r="Z20" s="25"/>
    </row>
    <row r="21" spans="1:26" ht="13.2">
      <c r="A21" s="25"/>
      <c r="B21" s="25"/>
      <c r="C21" s="25"/>
      <c r="D21" s="25"/>
      <c r="E21" s="263"/>
      <c r="F21" s="263"/>
      <c r="G21" s="263"/>
      <c r="H21" s="25"/>
      <c r="I21" s="25"/>
      <c r="J21" s="25"/>
      <c r="K21" s="25"/>
      <c r="L21" s="25"/>
      <c r="M21" s="25"/>
      <c r="N21" s="25"/>
      <c r="O21" s="25"/>
      <c r="P21" s="25"/>
      <c r="Q21" s="25"/>
      <c r="R21" s="25"/>
      <c r="S21" s="25"/>
      <c r="T21" s="25"/>
      <c r="U21" s="25"/>
      <c r="V21" s="25"/>
      <c r="W21" s="25"/>
      <c r="X21" s="25"/>
      <c r="Y21" s="25"/>
      <c r="Z21" s="25"/>
    </row>
    <row r="22" spans="1:26" ht="52.8">
      <c r="A22" s="81" t="s">
        <v>118</v>
      </c>
      <c r="B22" s="106" t="s">
        <v>635</v>
      </c>
      <c r="C22" s="82" t="s">
        <v>636</v>
      </c>
      <c r="D22" s="106" t="s">
        <v>637</v>
      </c>
      <c r="E22" s="164" t="s">
        <v>638</v>
      </c>
      <c r="F22" s="235" t="s">
        <v>639</v>
      </c>
      <c r="G22" s="236" t="s">
        <v>640</v>
      </c>
      <c r="H22" s="106" t="s">
        <v>125</v>
      </c>
      <c r="I22" s="82" t="s">
        <v>641</v>
      </c>
      <c r="J22" s="106" t="s">
        <v>642</v>
      </c>
      <c r="K22" s="25"/>
      <c r="L22" s="25"/>
      <c r="M22" s="25"/>
      <c r="N22" s="25"/>
      <c r="O22" s="25"/>
      <c r="P22" s="25"/>
      <c r="Q22" s="25"/>
      <c r="R22" s="25"/>
      <c r="S22" s="25"/>
      <c r="T22" s="25"/>
      <c r="U22" s="25"/>
      <c r="V22" s="25"/>
      <c r="W22" s="25"/>
      <c r="X22" s="25"/>
      <c r="Y22" s="25"/>
      <c r="Z22" s="25"/>
    </row>
    <row r="23" spans="1:26" ht="52.8">
      <c r="A23" s="264" t="s">
        <v>128</v>
      </c>
      <c r="B23" s="150" t="s">
        <v>643</v>
      </c>
      <c r="C23" s="31" t="s">
        <v>606</v>
      </c>
      <c r="D23" s="248" t="s">
        <v>644</v>
      </c>
      <c r="E23" s="240" t="s">
        <v>645</v>
      </c>
      <c r="F23" s="240">
        <v>108809.03</v>
      </c>
      <c r="G23" s="240">
        <v>25</v>
      </c>
      <c r="H23" s="241" t="s">
        <v>292</v>
      </c>
      <c r="I23" s="31" t="s">
        <v>232</v>
      </c>
      <c r="J23" s="185" t="s">
        <v>646</v>
      </c>
      <c r="K23" s="25"/>
      <c r="L23" s="25"/>
      <c r="M23" s="25"/>
      <c r="N23" s="25"/>
      <c r="O23" s="25"/>
      <c r="P23" s="25"/>
      <c r="Q23" s="25"/>
      <c r="R23" s="25"/>
      <c r="S23" s="25"/>
      <c r="T23" s="25"/>
      <c r="U23" s="25"/>
      <c r="V23" s="25"/>
      <c r="W23" s="25"/>
      <c r="X23" s="25"/>
      <c r="Y23" s="25"/>
      <c r="Z23" s="25"/>
    </row>
    <row r="24" spans="1:26" ht="52.8">
      <c r="A24" s="264" t="s">
        <v>135</v>
      </c>
      <c r="B24" s="150" t="s">
        <v>605</v>
      </c>
      <c r="C24" s="31" t="s">
        <v>606</v>
      </c>
      <c r="D24" s="248" t="s">
        <v>647</v>
      </c>
      <c r="E24" s="240" t="s">
        <v>648</v>
      </c>
      <c r="F24" s="240">
        <v>238291.79</v>
      </c>
      <c r="G24" s="240" t="s">
        <v>649</v>
      </c>
      <c r="H24" s="241" t="s">
        <v>298</v>
      </c>
      <c r="I24" s="31" t="s">
        <v>232</v>
      </c>
      <c r="J24" s="185" t="s">
        <v>650</v>
      </c>
      <c r="K24" s="25"/>
      <c r="L24" s="25"/>
      <c r="M24" s="25"/>
      <c r="N24" s="25"/>
      <c r="O24" s="25"/>
      <c r="P24" s="25"/>
      <c r="Q24" s="25"/>
      <c r="R24" s="25"/>
      <c r="S24" s="25"/>
      <c r="T24" s="25"/>
      <c r="U24" s="25"/>
      <c r="V24" s="25"/>
      <c r="W24" s="25"/>
      <c r="X24" s="25"/>
      <c r="Y24" s="25"/>
      <c r="Z24" s="25"/>
    </row>
    <row r="25" spans="1:26" ht="66">
      <c r="A25" s="264" t="s">
        <v>144</v>
      </c>
      <c r="B25" s="150" t="s">
        <v>611</v>
      </c>
      <c r="C25" s="31" t="s">
        <v>612</v>
      </c>
      <c r="D25" s="248" t="s">
        <v>651</v>
      </c>
      <c r="E25" s="240" t="s">
        <v>652</v>
      </c>
      <c r="F25" s="240">
        <v>217.62</v>
      </c>
      <c r="G25" s="240">
        <v>0.05</v>
      </c>
      <c r="H25" s="241" t="s">
        <v>292</v>
      </c>
      <c r="I25" s="31" t="s">
        <v>232</v>
      </c>
      <c r="J25" s="185" t="s">
        <v>653</v>
      </c>
      <c r="K25" s="25"/>
      <c r="L25" s="25"/>
      <c r="M25" s="25"/>
      <c r="N25" s="25"/>
      <c r="O25" s="25"/>
      <c r="P25" s="25"/>
      <c r="Q25" s="25"/>
      <c r="R25" s="25"/>
      <c r="S25" s="25"/>
      <c r="T25" s="25"/>
      <c r="U25" s="25"/>
      <c r="V25" s="25"/>
      <c r="W25" s="25"/>
      <c r="X25" s="25"/>
      <c r="Y25" s="25"/>
      <c r="Z25" s="25"/>
    </row>
    <row r="26" spans="1:26" ht="13.2">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3.2">
      <c r="A27" s="311" t="s">
        <v>654</v>
      </c>
      <c r="B27" s="297"/>
      <c r="C27" s="297"/>
      <c r="D27" s="297"/>
      <c r="E27" s="297"/>
      <c r="F27" s="297"/>
      <c r="G27" s="297"/>
      <c r="H27" s="297"/>
      <c r="I27" s="297"/>
      <c r="J27" s="298"/>
      <c r="K27" s="25"/>
      <c r="L27" s="25"/>
      <c r="M27" s="25"/>
      <c r="N27" s="25"/>
      <c r="O27" s="25"/>
      <c r="P27" s="25"/>
      <c r="Q27" s="25"/>
      <c r="R27" s="25"/>
      <c r="S27" s="25"/>
      <c r="T27" s="25"/>
      <c r="U27" s="25"/>
      <c r="V27" s="25"/>
      <c r="W27" s="25"/>
      <c r="X27" s="25"/>
      <c r="Y27" s="25"/>
      <c r="Z27" s="25"/>
    </row>
    <row r="28" spans="1:26" ht="13.2">
      <c r="A28" s="25"/>
      <c r="B28" s="25"/>
      <c r="C28" s="25"/>
      <c r="D28" s="25"/>
      <c r="E28" s="263"/>
      <c r="F28" s="263"/>
      <c r="G28" s="263"/>
      <c r="H28" s="25"/>
      <c r="I28" s="25"/>
      <c r="J28" s="25"/>
      <c r="K28" s="25"/>
      <c r="L28" s="25"/>
      <c r="M28" s="25"/>
      <c r="N28" s="25"/>
      <c r="O28" s="25"/>
      <c r="P28" s="25"/>
      <c r="Q28" s="25"/>
      <c r="R28" s="25"/>
      <c r="S28" s="25"/>
      <c r="T28" s="25"/>
      <c r="U28" s="25"/>
      <c r="V28" s="25"/>
      <c r="W28" s="25"/>
      <c r="X28" s="25"/>
      <c r="Y28" s="25"/>
      <c r="Z28" s="25"/>
    </row>
    <row r="29" spans="1:26" ht="52.8">
      <c r="A29" s="81" t="s">
        <v>118</v>
      </c>
      <c r="B29" s="106" t="s">
        <v>655</v>
      </c>
      <c r="C29" s="82" t="s">
        <v>656</v>
      </c>
      <c r="D29" s="106" t="s">
        <v>657</v>
      </c>
      <c r="E29" s="164" t="s">
        <v>658</v>
      </c>
      <c r="F29" s="235" t="s">
        <v>659</v>
      </c>
      <c r="G29" s="236" t="s">
        <v>660</v>
      </c>
      <c r="H29" s="106" t="s">
        <v>125</v>
      </c>
      <c r="I29" s="82" t="s">
        <v>661</v>
      </c>
      <c r="J29" s="106" t="s">
        <v>662</v>
      </c>
      <c r="K29" s="25"/>
      <c r="L29" s="25"/>
      <c r="M29" s="25"/>
      <c r="N29" s="25"/>
      <c r="O29" s="25"/>
      <c r="P29" s="25"/>
      <c r="Q29" s="25"/>
      <c r="R29" s="25"/>
      <c r="S29" s="25"/>
      <c r="T29" s="25"/>
      <c r="U29" s="25"/>
      <c r="V29" s="25"/>
      <c r="W29" s="25"/>
      <c r="X29" s="25"/>
      <c r="Y29" s="25"/>
      <c r="Z29" s="25"/>
    </row>
    <row r="30" spans="1:26" ht="66">
      <c r="A30" s="264" t="s">
        <v>128</v>
      </c>
      <c r="B30" s="150" t="s">
        <v>597</v>
      </c>
      <c r="C30" s="31" t="s">
        <v>598</v>
      </c>
      <c r="D30" s="248" t="s">
        <v>663</v>
      </c>
      <c r="E30" s="240" t="s">
        <v>664</v>
      </c>
      <c r="F30" s="240" t="s">
        <v>665</v>
      </c>
      <c r="G30" s="240" t="s">
        <v>666</v>
      </c>
      <c r="H30" s="241" t="s">
        <v>292</v>
      </c>
      <c r="I30" s="31" t="s">
        <v>232</v>
      </c>
      <c r="J30" s="185" t="s">
        <v>667</v>
      </c>
      <c r="K30" s="25"/>
      <c r="L30" s="25"/>
      <c r="M30" s="25"/>
      <c r="N30" s="25"/>
      <c r="O30" s="25"/>
      <c r="P30" s="25"/>
      <c r="Q30" s="25"/>
      <c r="R30" s="25"/>
      <c r="S30" s="25"/>
      <c r="T30" s="25"/>
      <c r="U30" s="25"/>
      <c r="V30" s="25"/>
      <c r="W30" s="25"/>
      <c r="X30" s="25"/>
      <c r="Y30" s="25"/>
      <c r="Z30" s="25"/>
    </row>
    <row r="31" spans="1:26" ht="79.2">
      <c r="A31" s="264" t="s">
        <v>135</v>
      </c>
      <c r="B31" s="150" t="s">
        <v>605</v>
      </c>
      <c r="C31" s="31" t="s">
        <v>606</v>
      </c>
      <c r="D31" s="248" t="s">
        <v>668</v>
      </c>
      <c r="E31" s="240" t="s">
        <v>669</v>
      </c>
      <c r="F31" s="240">
        <v>316504.24</v>
      </c>
      <c r="G31" s="240">
        <v>73</v>
      </c>
      <c r="H31" s="241" t="s">
        <v>298</v>
      </c>
      <c r="I31" s="31" t="s">
        <v>232</v>
      </c>
      <c r="J31" s="31" t="s">
        <v>670</v>
      </c>
      <c r="K31" s="25"/>
      <c r="L31" s="25"/>
      <c r="M31" s="25"/>
      <c r="N31" s="25"/>
      <c r="O31" s="25"/>
      <c r="P31" s="25"/>
      <c r="Q31" s="25"/>
      <c r="R31" s="25"/>
      <c r="S31" s="25"/>
      <c r="T31" s="25"/>
      <c r="U31" s="25"/>
      <c r="V31" s="25"/>
      <c r="W31" s="25"/>
      <c r="X31" s="25"/>
      <c r="Y31" s="25"/>
      <c r="Z31" s="25"/>
    </row>
    <row r="32" spans="1:26" ht="52.8">
      <c r="A32" s="264" t="s">
        <v>144</v>
      </c>
      <c r="B32" s="150" t="s">
        <v>611</v>
      </c>
      <c r="C32" s="31" t="s">
        <v>612</v>
      </c>
      <c r="D32" s="248" t="s">
        <v>671</v>
      </c>
      <c r="E32" s="240" t="s">
        <v>672</v>
      </c>
      <c r="F32" s="240" t="s">
        <v>673</v>
      </c>
      <c r="G32" s="240" t="s">
        <v>666</v>
      </c>
      <c r="H32" s="241" t="s">
        <v>301</v>
      </c>
      <c r="I32" s="31" t="s">
        <v>232</v>
      </c>
      <c r="J32" s="31" t="s">
        <v>674</v>
      </c>
      <c r="K32" s="25"/>
      <c r="L32" s="25"/>
      <c r="M32" s="25"/>
      <c r="N32" s="25"/>
      <c r="O32" s="25"/>
      <c r="P32" s="25"/>
      <c r="Q32" s="25"/>
      <c r="R32" s="25"/>
      <c r="S32" s="25"/>
      <c r="T32" s="25"/>
      <c r="U32" s="25"/>
      <c r="V32" s="25"/>
      <c r="W32" s="25"/>
      <c r="X32" s="25"/>
      <c r="Y32" s="25"/>
      <c r="Z32" s="25"/>
    </row>
    <row r="33" spans="1:26" ht="13.2">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3.2">
      <c r="A34" s="311" t="s">
        <v>675</v>
      </c>
      <c r="B34" s="297"/>
      <c r="C34" s="297"/>
      <c r="D34" s="297"/>
      <c r="E34" s="297"/>
      <c r="F34" s="297"/>
      <c r="G34" s="297"/>
      <c r="H34" s="297"/>
      <c r="I34" s="297"/>
      <c r="J34" s="298"/>
      <c r="K34" s="25"/>
      <c r="L34" s="25"/>
      <c r="M34" s="25"/>
      <c r="N34" s="25"/>
      <c r="O34" s="25"/>
      <c r="P34" s="25"/>
      <c r="Q34" s="25"/>
      <c r="R34" s="25"/>
      <c r="S34" s="25"/>
      <c r="T34" s="25"/>
      <c r="U34" s="25"/>
      <c r="V34" s="25"/>
      <c r="W34" s="25"/>
      <c r="X34" s="25"/>
      <c r="Y34" s="25"/>
      <c r="Z34" s="25"/>
    </row>
    <row r="35" spans="1:26" ht="13.2">
      <c r="A35" s="25"/>
      <c r="B35" s="25"/>
      <c r="C35" s="25"/>
      <c r="D35" s="25"/>
      <c r="E35" s="263"/>
      <c r="F35" s="263"/>
      <c r="G35" s="263"/>
      <c r="H35" s="25"/>
      <c r="I35" s="25"/>
      <c r="J35" s="25"/>
      <c r="K35" s="25"/>
      <c r="L35" s="25"/>
      <c r="M35" s="25"/>
      <c r="N35" s="25"/>
      <c r="O35" s="25"/>
      <c r="P35" s="25"/>
      <c r="Q35" s="25"/>
      <c r="R35" s="25"/>
      <c r="S35" s="25"/>
      <c r="T35" s="25"/>
      <c r="U35" s="25"/>
      <c r="V35" s="25"/>
      <c r="W35" s="25"/>
      <c r="X35" s="25"/>
      <c r="Y35" s="25"/>
      <c r="Z35" s="25"/>
    </row>
    <row r="36" spans="1:26" ht="52.8">
      <c r="A36" s="81" t="s">
        <v>118</v>
      </c>
      <c r="B36" s="106" t="s">
        <v>676</v>
      </c>
      <c r="C36" s="82" t="s">
        <v>677</v>
      </c>
      <c r="D36" s="106" t="s">
        <v>678</v>
      </c>
      <c r="E36" s="164" t="s">
        <v>679</v>
      </c>
      <c r="F36" s="235" t="s">
        <v>680</v>
      </c>
      <c r="G36" s="236" t="s">
        <v>681</v>
      </c>
      <c r="H36" s="106" t="s">
        <v>125</v>
      </c>
      <c r="I36" s="82" t="s">
        <v>682</v>
      </c>
      <c r="J36" s="106" t="s">
        <v>683</v>
      </c>
      <c r="K36" s="25"/>
      <c r="L36" s="25"/>
      <c r="M36" s="25"/>
      <c r="N36" s="25"/>
      <c r="O36" s="25"/>
      <c r="P36" s="25"/>
      <c r="Q36" s="25"/>
      <c r="R36" s="25"/>
      <c r="S36" s="25"/>
      <c r="T36" s="25"/>
      <c r="U36" s="25"/>
      <c r="V36" s="25"/>
      <c r="W36" s="25"/>
      <c r="X36" s="25"/>
      <c r="Y36" s="25"/>
      <c r="Z36" s="25"/>
    </row>
    <row r="37" spans="1:26" ht="52.8">
      <c r="A37" s="264" t="s">
        <v>128</v>
      </c>
      <c r="B37" s="150" t="s">
        <v>684</v>
      </c>
      <c r="C37" s="31" t="s">
        <v>685</v>
      </c>
      <c r="D37" s="266" t="s">
        <v>686</v>
      </c>
      <c r="E37" s="240">
        <v>0</v>
      </c>
      <c r="F37" s="240">
        <v>0</v>
      </c>
      <c r="G37" s="240">
        <v>0</v>
      </c>
      <c r="H37" s="241" t="s">
        <v>292</v>
      </c>
      <c r="I37" s="31" t="s">
        <v>232</v>
      </c>
      <c r="J37" s="31" t="s">
        <v>687</v>
      </c>
      <c r="K37" s="25"/>
      <c r="L37" s="25"/>
      <c r="M37" s="25"/>
      <c r="N37" s="25"/>
      <c r="O37" s="25"/>
      <c r="P37" s="25"/>
      <c r="Q37" s="25"/>
      <c r="R37" s="25"/>
      <c r="S37" s="25"/>
      <c r="T37" s="25"/>
      <c r="U37" s="25"/>
      <c r="V37" s="25"/>
      <c r="W37" s="25"/>
      <c r="X37" s="25"/>
      <c r="Y37" s="25"/>
      <c r="Z37" s="25"/>
    </row>
    <row r="38" spans="1:26" ht="44.25" customHeight="1">
      <c r="A38" s="264" t="s">
        <v>135</v>
      </c>
      <c r="B38" s="150" t="s">
        <v>611</v>
      </c>
      <c r="C38" s="31" t="s">
        <v>688</v>
      </c>
      <c r="D38" s="248" t="s">
        <v>689</v>
      </c>
      <c r="E38" s="240">
        <v>0</v>
      </c>
      <c r="F38" s="240">
        <v>0</v>
      </c>
      <c r="G38" s="240">
        <v>0</v>
      </c>
      <c r="H38" s="241" t="s">
        <v>298</v>
      </c>
      <c r="I38" s="31" t="s">
        <v>232</v>
      </c>
      <c r="J38" s="185" t="s">
        <v>690</v>
      </c>
      <c r="K38" s="25"/>
      <c r="L38" s="25"/>
      <c r="M38" s="25"/>
      <c r="N38" s="25"/>
      <c r="O38" s="25"/>
      <c r="P38" s="25"/>
      <c r="Q38" s="25"/>
      <c r="R38" s="25"/>
      <c r="S38" s="25"/>
      <c r="T38" s="25"/>
      <c r="U38" s="25"/>
      <c r="V38" s="25"/>
      <c r="W38" s="25"/>
      <c r="X38" s="25"/>
      <c r="Y38" s="25"/>
      <c r="Z38" s="25"/>
    </row>
    <row r="39" spans="1:26" ht="52.8">
      <c r="A39" s="264" t="s">
        <v>144</v>
      </c>
      <c r="B39" s="150" t="s">
        <v>605</v>
      </c>
      <c r="C39" s="31" t="s">
        <v>606</v>
      </c>
      <c r="D39" s="266" t="s">
        <v>691</v>
      </c>
      <c r="E39" s="240">
        <v>0</v>
      </c>
      <c r="F39" s="240">
        <v>0</v>
      </c>
      <c r="G39" s="240">
        <v>0</v>
      </c>
      <c r="H39" s="241" t="s">
        <v>301</v>
      </c>
      <c r="I39" s="31" t="s">
        <v>232</v>
      </c>
      <c r="J39" s="31" t="s">
        <v>692</v>
      </c>
      <c r="K39" s="25"/>
      <c r="L39" s="25"/>
      <c r="M39" s="25"/>
      <c r="N39" s="25"/>
      <c r="O39" s="25"/>
      <c r="P39" s="25"/>
      <c r="Q39" s="25"/>
      <c r="R39" s="25"/>
      <c r="S39" s="25"/>
      <c r="T39" s="25"/>
      <c r="U39" s="25"/>
      <c r="V39" s="25"/>
      <c r="W39" s="25"/>
      <c r="X39" s="25"/>
      <c r="Y39" s="25"/>
      <c r="Z39" s="25"/>
    </row>
    <row r="40" spans="1:26" ht="13.2">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3.2">
      <c r="A41" s="311" t="s">
        <v>693</v>
      </c>
      <c r="B41" s="297"/>
      <c r="C41" s="297"/>
      <c r="D41" s="297"/>
      <c r="E41" s="297"/>
      <c r="F41" s="297"/>
      <c r="G41" s="297"/>
      <c r="H41" s="297"/>
      <c r="I41" s="297"/>
      <c r="J41" s="298"/>
      <c r="K41" s="25"/>
      <c r="L41" s="25"/>
      <c r="M41" s="25"/>
      <c r="N41" s="25"/>
      <c r="O41" s="25"/>
      <c r="P41" s="25"/>
      <c r="Q41" s="25"/>
      <c r="R41" s="25"/>
      <c r="S41" s="25"/>
      <c r="T41" s="25"/>
      <c r="U41" s="25"/>
      <c r="V41" s="25"/>
      <c r="W41" s="25"/>
      <c r="X41" s="25"/>
      <c r="Y41" s="25"/>
      <c r="Z41" s="25"/>
    </row>
    <row r="42" spans="1:26" ht="13.2">
      <c r="A42" s="25"/>
      <c r="B42" s="25"/>
      <c r="C42" s="25"/>
      <c r="D42" s="25"/>
      <c r="E42" s="263"/>
      <c r="F42" s="263"/>
      <c r="G42" s="263"/>
      <c r="H42" s="25"/>
      <c r="I42" s="25"/>
      <c r="J42" s="25"/>
      <c r="K42" s="25"/>
      <c r="L42" s="25"/>
      <c r="M42" s="25"/>
      <c r="N42" s="25"/>
      <c r="O42" s="25"/>
      <c r="P42" s="25"/>
      <c r="Q42" s="25"/>
      <c r="R42" s="25"/>
      <c r="S42" s="25"/>
      <c r="T42" s="25"/>
      <c r="U42" s="25"/>
      <c r="V42" s="25"/>
      <c r="W42" s="25"/>
      <c r="X42" s="25"/>
      <c r="Y42" s="25"/>
      <c r="Z42" s="25"/>
    </row>
    <row r="43" spans="1:26" ht="52.8">
      <c r="A43" s="81" t="s">
        <v>118</v>
      </c>
      <c r="B43" s="106" t="s">
        <v>694</v>
      </c>
      <c r="C43" s="82" t="s">
        <v>695</v>
      </c>
      <c r="D43" s="106" t="s">
        <v>696</v>
      </c>
      <c r="E43" s="164" t="s">
        <v>697</v>
      </c>
      <c r="F43" s="235" t="s">
        <v>698</v>
      </c>
      <c r="G43" s="236" t="s">
        <v>699</v>
      </c>
      <c r="H43" s="106" t="s">
        <v>125</v>
      </c>
      <c r="I43" s="82" t="s">
        <v>700</v>
      </c>
      <c r="J43" s="106" t="s">
        <v>701</v>
      </c>
      <c r="K43" s="25"/>
      <c r="L43" s="25"/>
      <c r="M43" s="25"/>
      <c r="N43" s="25"/>
      <c r="O43" s="25"/>
      <c r="P43" s="25"/>
      <c r="Q43" s="25"/>
      <c r="R43" s="25"/>
      <c r="S43" s="25"/>
      <c r="T43" s="25"/>
      <c r="U43" s="25"/>
      <c r="V43" s="25"/>
      <c r="W43" s="25"/>
      <c r="X43" s="25"/>
      <c r="Y43" s="25"/>
      <c r="Z43" s="25"/>
    </row>
    <row r="44" spans="1:26" ht="42.75" customHeight="1">
      <c r="A44" s="264" t="s">
        <v>128</v>
      </c>
      <c r="B44" s="150" t="s">
        <v>684</v>
      </c>
      <c r="C44" s="31" t="s">
        <v>685</v>
      </c>
      <c r="D44" s="266" t="s">
        <v>702</v>
      </c>
      <c r="E44" s="240">
        <v>100000</v>
      </c>
      <c r="F44" s="240">
        <v>119000</v>
      </c>
      <c r="G44" s="240">
        <v>27.42</v>
      </c>
      <c r="H44" s="241" t="s">
        <v>292</v>
      </c>
      <c r="I44" s="31" t="s">
        <v>232</v>
      </c>
      <c r="J44" s="31" t="s">
        <v>703</v>
      </c>
      <c r="K44" s="25"/>
      <c r="L44" s="25"/>
      <c r="M44" s="25"/>
      <c r="N44" s="25"/>
      <c r="O44" s="25"/>
      <c r="P44" s="25"/>
      <c r="Q44" s="25"/>
      <c r="R44" s="25"/>
      <c r="S44" s="25"/>
      <c r="T44" s="25"/>
      <c r="U44" s="25"/>
      <c r="V44" s="25"/>
      <c r="W44" s="25"/>
      <c r="X44" s="25"/>
      <c r="Y44" s="25"/>
      <c r="Z44" s="25"/>
    </row>
    <row r="45" spans="1:26" ht="57.75" customHeight="1">
      <c r="A45" s="264" t="s">
        <v>135</v>
      </c>
      <c r="B45" s="150" t="s">
        <v>611</v>
      </c>
      <c r="C45" s="31" t="s">
        <v>688</v>
      </c>
      <c r="D45" s="248" t="s">
        <v>704</v>
      </c>
      <c r="E45" s="267">
        <v>110000</v>
      </c>
      <c r="F45" s="244">
        <v>130900</v>
      </c>
      <c r="G45" s="240">
        <v>30.1</v>
      </c>
      <c r="H45" s="241" t="s">
        <v>298</v>
      </c>
      <c r="I45" s="31" t="s">
        <v>232</v>
      </c>
      <c r="J45" s="185" t="s">
        <v>705</v>
      </c>
      <c r="K45" s="25"/>
      <c r="L45" s="25"/>
      <c r="M45" s="25"/>
      <c r="N45" s="25"/>
      <c r="O45" s="25"/>
      <c r="P45" s="25"/>
      <c r="Q45" s="25"/>
      <c r="R45" s="25"/>
      <c r="S45" s="25"/>
      <c r="T45" s="25"/>
      <c r="U45" s="25"/>
      <c r="V45" s="25"/>
      <c r="W45" s="25"/>
      <c r="X45" s="25"/>
      <c r="Y45" s="25"/>
      <c r="Z45" s="25"/>
    </row>
    <row r="46" spans="1:26" ht="38.25" customHeight="1">
      <c r="A46" s="264" t="s">
        <v>144</v>
      </c>
      <c r="B46" s="150" t="s">
        <v>605</v>
      </c>
      <c r="C46" s="31" t="s">
        <v>606</v>
      </c>
      <c r="D46" s="266" t="s">
        <v>706</v>
      </c>
      <c r="E46" s="244">
        <v>120000</v>
      </c>
      <c r="F46" s="244">
        <v>142800</v>
      </c>
      <c r="G46" s="240">
        <v>32.9</v>
      </c>
      <c r="H46" s="241" t="s">
        <v>301</v>
      </c>
      <c r="I46" s="31" t="s">
        <v>232</v>
      </c>
      <c r="J46" s="31" t="s">
        <v>707</v>
      </c>
      <c r="K46" s="25"/>
      <c r="M46" s="25"/>
      <c r="N46" s="25"/>
      <c r="O46" s="25"/>
      <c r="P46" s="25"/>
      <c r="Q46" s="25"/>
      <c r="R46" s="25"/>
      <c r="S46" s="25"/>
      <c r="T46" s="25"/>
      <c r="U46" s="25"/>
      <c r="V46" s="25"/>
      <c r="W46" s="25"/>
      <c r="X46" s="25"/>
      <c r="Y46" s="25"/>
      <c r="Z46" s="25"/>
    </row>
    <row r="47" spans="1:26" ht="13.2">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3.2">
      <c r="A48" s="311" t="s">
        <v>708</v>
      </c>
      <c r="B48" s="297"/>
      <c r="C48" s="297"/>
      <c r="D48" s="297"/>
      <c r="E48" s="297"/>
      <c r="F48" s="297"/>
      <c r="G48" s="297"/>
      <c r="H48" s="297"/>
      <c r="I48" s="297"/>
      <c r="J48" s="298"/>
      <c r="K48" s="25"/>
      <c r="L48" s="25"/>
      <c r="M48" s="25"/>
      <c r="N48" s="25"/>
      <c r="O48" s="25"/>
      <c r="P48" s="25"/>
      <c r="Q48" s="25"/>
      <c r="R48" s="25"/>
      <c r="S48" s="25"/>
      <c r="T48" s="25"/>
      <c r="U48" s="25"/>
      <c r="V48" s="25"/>
      <c r="W48" s="25"/>
      <c r="X48" s="25"/>
      <c r="Y48" s="25"/>
      <c r="Z48" s="25"/>
    </row>
    <row r="49" spans="1:26" ht="13.2">
      <c r="A49" s="25"/>
      <c r="B49" s="25"/>
      <c r="C49" s="25"/>
      <c r="D49" s="25"/>
      <c r="E49" s="263"/>
      <c r="F49" s="263"/>
      <c r="G49" s="263"/>
      <c r="H49" s="25"/>
      <c r="I49" s="25"/>
      <c r="J49" s="25"/>
      <c r="K49" s="25"/>
      <c r="L49" s="25"/>
      <c r="M49" s="25"/>
      <c r="N49" s="25"/>
      <c r="O49" s="25"/>
      <c r="P49" s="25"/>
      <c r="Q49" s="25"/>
      <c r="R49" s="25"/>
      <c r="S49" s="25"/>
      <c r="T49" s="25"/>
      <c r="U49" s="25"/>
      <c r="V49" s="25"/>
      <c r="W49" s="25"/>
      <c r="X49" s="25"/>
      <c r="Y49" s="25"/>
      <c r="Z49" s="25"/>
    </row>
    <row r="50" spans="1:26" ht="52.8">
      <c r="A50" s="81" t="s">
        <v>118</v>
      </c>
      <c r="B50" s="106" t="s">
        <v>709</v>
      </c>
      <c r="C50" s="82" t="s">
        <v>710</v>
      </c>
      <c r="D50" s="106" t="s">
        <v>711</v>
      </c>
      <c r="E50" s="164" t="s">
        <v>712</v>
      </c>
      <c r="F50" s="235" t="s">
        <v>713</v>
      </c>
      <c r="G50" s="236" t="s">
        <v>714</v>
      </c>
      <c r="H50" s="106" t="s">
        <v>125</v>
      </c>
      <c r="I50" s="82" t="s">
        <v>715</v>
      </c>
      <c r="J50" s="106" t="s">
        <v>716</v>
      </c>
      <c r="K50" s="25"/>
      <c r="L50" s="25"/>
      <c r="M50" s="25"/>
      <c r="N50" s="25"/>
      <c r="O50" s="25"/>
      <c r="P50" s="25"/>
      <c r="Q50" s="25"/>
      <c r="R50" s="25"/>
      <c r="S50" s="25"/>
      <c r="T50" s="25"/>
      <c r="U50" s="25"/>
      <c r="V50" s="25"/>
      <c r="W50" s="25"/>
      <c r="X50" s="25"/>
      <c r="Y50" s="25"/>
      <c r="Z50" s="25"/>
    </row>
    <row r="51" spans="1:26" ht="52.8">
      <c r="A51" s="264" t="s">
        <v>128</v>
      </c>
      <c r="B51" s="268" t="s">
        <v>717</v>
      </c>
      <c r="C51" s="269" t="s">
        <v>718</v>
      </c>
      <c r="D51" s="266" t="s">
        <v>719</v>
      </c>
      <c r="E51" s="240">
        <v>0</v>
      </c>
      <c r="F51" s="240">
        <v>0</v>
      </c>
      <c r="G51" s="240">
        <v>0</v>
      </c>
      <c r="H51" s="241" t="s">
        <v>292</v>
      </c>
      <c r="I51" s="31" t="s">
        <v>232</v>
      </c>
      <c r="J51" s="31" t="s">
        <v>720</v>
      </c>
      <c r="K51" s="25"/>
      <c r="L51" s="25"/>
      <c r="M51" s="25"/>
      <c r="N51" s="25"/>
      <c r="O51" s="25"/>
      <c r="P51" s="25"/>
      <c r="Q51" s="25"/>
      <c r="R51" s="25"/>
      <c r="S51" s="25"/>
      <c r="T51" s="25"/>
      <c r="U51" s="25"/>
      <c r="V51" s="25"/>
      <c r="W51" s="25"/>
      <c r="X51" s="25"/>
      <c r="Y51" s="25"/>
      <c r="Z51" s="25"/>
    </row>
    <row r="52" spans="1:26" ht="52.8">
      <c r="A52" s="264" t="s">
        <v>135</v>
      </c>
      <c r="B52" s="150" t="s">
        <v>611</v>
      </c>
      <c r="C52" s="31" t="s">
        <v>688</v>
      </c>
      <c r="D52" s="248" t="s">
        <v>721</v>
      </c>
      <c r="E52" s="240">
        <v>0</v>
      </c>
      <c r="F52" s="240">
        <v>0</v>
      </c>
      <c r="G52" s="240">
        <v>0</v>
      </c>
      <c r="H52" s="241" t="s">
        <v>292</v>
      </c>
      <c r="I52" s="31" t="s">
        <v>232</v>
      </c>
      <c r="J52" s="270" t="s">
        <v>722</v>
      </c>
      <c r="K52" s="25"/>
      <c r="L52" s="25"/>
      <c r="M52" s="25"/>
      <c r="N52" s="25"/>
      <c r="O52" s="25"/>
      <c r="P52" s="25"/>
      <c r="Q52" s="25"/>
      <c r="R52" s="25"/>
      <c r="S52" s="25"/>
      <c r="T52" s="25"/>
      <c r="U52" s="25"/>
      <c r="V52" s="25"/>
      <c r="W52" s="25"/>
      <c r="X52" s="25"/>
      <c r="Y52" s="25"/>
      <c r="Z52" s="25"/>
    </row>
    <row r="53" spans="1:26" ht="42.75" customHeight="1">
      <c r="A53" s="264" t="s">
        <v>144</v>
      </c>
      <c r="B53" s="150" t="s">
        <v>605</v>
      </c>
      <c r="C53" s="31" t="s">
        <v>606</v>
      </c>
      <c r="D53" s="248" t="s">
        <v>723</v>
      </c>
      <c r="E53" s="240">
        <v>0</v>
      </c>
      <c r="F53" s="240">
        <v>0</v>
      </c>
      <c r="G53" s="240">
        <v>0</v>
      </c>
      <c r="H53" s="241" t="s">
        <v>292</v>
      </c>
      <c r="I53" s="31" t="s">
        <v>232</v>
      </c>
      <c r="J53" s="31" t="s">
        <v>724</v>
      </c>
      <c r="K53" s="25"/>
      <c r="L53" s="25"/>
      <c r="M53" s="25"/>
      <c r="N53" s="25"/>
      <c r="O53" s="25"/>
      <c r="P53" s="25"/>
      <c r="Q53" s="25"/>
      <c r="R53" s="25"/>
      <c r="S53" s="25"/>
      <c r="T53" s="25"/>
      <c r="U53" s="25"/>
      <c r="V53" s="25"/>
      <c r="W53" s="25"/>
      <c r="X53" s="25"/>
      <c r="Y53" s="25"/>
      <c r="Z53" s="25"/>
    </row>
    <row r="54" spans="1:26" ht="13.2">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3.2">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3.2">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3.2">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3.2">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3.2">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3.2">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3.2">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3.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3.2">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3.2">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3.2">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3.2">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3.2">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3.2">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3.2">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3.2">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3.2">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3.2">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3.2">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3.2">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3.2">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3.2">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3.2">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3.2">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3.2">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3.2">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3.2">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3.2">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3.2">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3.2">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3.2">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3.2">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3.2">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3.2">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3.2">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3.2">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3.2">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3.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3.2">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3.2">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3.2">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3.2">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3.2">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3.2">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3.2">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3.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3.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3.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3.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3.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3.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3.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3.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3.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3.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3.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3.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3.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3.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3.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3.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3.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3.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3.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3.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3.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3.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3.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3.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3.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3.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3.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3.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3.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3.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3.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3.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3.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3.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3.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3.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3.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3.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3.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3.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3.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3.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3.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3.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3.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3.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3.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3.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3.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3.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3.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3.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3.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3.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3.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3.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3.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3.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3.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3.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3.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3.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3.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3.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3.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3.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3.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3.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3.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3.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3.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3.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3.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3.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3.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3.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3.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3.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3.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3.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3.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3.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3.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3.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3.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3.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3.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3.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3.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3.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3.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3.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3.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3.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3.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3.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3.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3.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3.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3.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3.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3.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3.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3.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3.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3.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3.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3.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3.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3.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3.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3.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3.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3.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3.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3.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3.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3.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3.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3.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3.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3.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3.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3.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3.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3.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3.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3.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3.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3.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3.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3.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3.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3.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3.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3.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3.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3.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3.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3.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3.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3.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3.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3.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3.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3.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3.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3.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3.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3.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3.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3.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3.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3.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3.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3.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3.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3.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3.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3.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3.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3.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3.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3.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3.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3.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3.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3.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3.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3.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3.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3.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3.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3.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3.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3.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3.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3.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3.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3.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3.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3.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3.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3.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3.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3.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3.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3.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3.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3.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3.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3.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3.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3.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3.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3.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3.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3.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3.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3.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3.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3.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3.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3.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3.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3.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3.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3.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3.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3.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3.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3.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3.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3.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3.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3.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3.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3.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3.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3.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3.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3.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3.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3.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3.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3.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3.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3.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3.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3.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3.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3.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3.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3.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3.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3.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3.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3.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3.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3.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3.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3.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3.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3.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3.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3.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3.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3.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3.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3.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3.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3.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3.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3.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3.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3.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3.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3.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3.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3.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3.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3.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3.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3.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3.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3.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3.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3.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3.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3.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3.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3.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3.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3.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3.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3.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3.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3.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3.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3.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3.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3.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3.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3.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3.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3.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3.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3.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3.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3.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3.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3.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3.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3.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3.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3.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3.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3.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3.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3.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3.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3.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3.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3.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3.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3.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3.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3.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3.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3.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3.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3.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3.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3.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3.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3.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3.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3.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3.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3.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3.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3.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3.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3.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3.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3.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3.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3.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3.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3.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3.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3.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3.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3.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3.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3.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3.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3.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3.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3.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3.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3.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3.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3.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3.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3.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3.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3.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3.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3.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3.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3.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3.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3.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3.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3.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3.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3.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3.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3.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3.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3.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3.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3.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3.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3.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3.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3.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3.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3.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3.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3.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3.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3.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3.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3.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3.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3.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3.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3.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3.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3.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3.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3.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3.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3.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3.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3.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3.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3.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3.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3.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3.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3.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3.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3.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3.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3.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3.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3.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3.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3.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3.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3.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3.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3.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3.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3.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3.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3.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3.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3.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3.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3.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3.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3.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3.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3.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3.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3.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3.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3.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3.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3.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3.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3.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3.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3.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3.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3.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3.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3.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3.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3.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3.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3.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3.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3.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3.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3.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3.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3.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3.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3.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3.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3.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3.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3.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3.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3.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3.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3.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3.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3.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3.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3.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3.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3.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3.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3.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3.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3.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3.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3.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3.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3.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3.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3.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3.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3.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3.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3.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3.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3.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3.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3.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3.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3.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3.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3.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3.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3.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3.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3.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3.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3.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3.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3.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3.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3.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3.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3.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3.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3.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3.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3.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3.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3.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3.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3.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3.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3.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3.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3.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3.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3.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3.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3.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3.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3.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3.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3.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3.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3.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3.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3.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3.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3.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3.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3.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3.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3.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3.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3.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3.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3.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3.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3.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3.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3.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3.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3.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3.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3.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3.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3.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3.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3.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3.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3.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3.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3.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3.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3.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3.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3.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3.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3.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3.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3.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3.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3.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3.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3.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3.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3.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3.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3.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3.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3.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3.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3.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3.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3.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3.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3.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3.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3.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3.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3.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3.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3.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3.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3.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3.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3.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3.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3.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3.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3.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3.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3.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3.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3.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3.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3.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3.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3.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3.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3.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3.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3.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3.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3.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3.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3.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3.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3.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3.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3.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3.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3.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3.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3.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3.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3.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3.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3.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3.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3.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3.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3.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3.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3.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3.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3.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3.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3.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3.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3.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3.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3.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3.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3.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3.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3.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3.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3.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3.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3.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3.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3.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3.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3.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3.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3.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3.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3.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3.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3.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3.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3.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3.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3.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3.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3.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3.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3.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3.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3.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3.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3.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3.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3.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3.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3.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3.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3.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3.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3.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3.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3.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3.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3.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3.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3.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3.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3.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3.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3.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3.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3.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3.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3.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3.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3.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3.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3.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3.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3.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3.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3.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3.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3.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3.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3.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3.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3.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3.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3.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3.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3.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3.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3.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3.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3.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3.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3.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3.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3.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3.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3.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3.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3.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3.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3.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3.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3.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3.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3.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3.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3.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3.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3.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3.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3.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3.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3.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3.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3.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3.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3.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3.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3.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3.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3.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3.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3.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3.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3.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3.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3.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3.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3.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3.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3.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3.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3.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3.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3.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3.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3.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3.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3.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3.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3.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3.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3.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3.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3.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3.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3.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3.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3.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3.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3.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3.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3.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3.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3.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3.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3.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3.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3.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3.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3.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3.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3.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3.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3.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3.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3.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3.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3.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3.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3.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3.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3.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3.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3.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3.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3.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3.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3.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3.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3.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3.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3.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3.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3.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3.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3.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3.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3.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3.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3.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3.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3.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3.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3.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3.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3.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3.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3.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3.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3.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3.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3.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3.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3.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3.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3.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3.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3.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3.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3.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3.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3.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3.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3.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3.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3.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3.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3.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3.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3.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3.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3.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3.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3.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3.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3.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3.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3.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3.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3.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3.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3.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3.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3.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3.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3.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3.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3.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3.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3.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3.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3.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3.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3.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3.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3.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3.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3.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3.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3.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3.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3.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3.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3.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3.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3.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3.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3.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3.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3.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3.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3.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3.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3.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3.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3.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3.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3.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3.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3.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3.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3.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3.2">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3.2">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3.2">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3.2">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3.2">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3.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3.2">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3.2">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3.2">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3.2">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3.2">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3.2">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3.2">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3.2">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7">
    <mergeCell ref="A41:J41"/>
    <mergeCell ref="A48:J48"/>
    <mergeCell ref="A6:J6"/>
    <mergeCell ref="A13:J13"/>
    <mergeCell ref="A20:J20"/>
    <mergeCell ref="A27:J27"/>
    <mergeCell ref="A34:J34"/>
  </mergeCells>
  <hyperlinks>
    <hyperlink ref="D9" r:id="rId1" xr:uid="{00000000-0004-0000-1800-000000000000}"/>
    <hyperlink ref="D10" r:id="rId2" xr:uid="{00000000-0004-0000-1800-000001000000}"/>
    <hyperlink ref="D11" r:id="rId3" xr:uid="{00000000-0004-0000-1800-000002000000}"/>
    <hyperlink ref="D16" r:id="rId4" xr:uid="{00000000-0004-0000-1800-000003000000}"/>
    <hyperlink ref="D17" r:id="rId5" xr:uid="{00000000-0004-0000-1800-000004000000}"/>
    <hyperlink ref="D18" r:id="rId6" xr:uid="{00000000-0004-0000-1800-000005000000}"/>
    <hyperlink ref="D23" r:id="rId7" xr:uid="{00000000-0004-0000-1800-000006000000}"/>
    <hyperlink ref="D24" r:id="rId8" xr:uid="{00000000-0004-0000-1800-000007000000}"/>
    <hyperlink ref="D25" r:id="rId9" xr:uid="{00000000-0004-0000-1800-000008000000}"/>
    <hyperlink ref="D30" r:id="rId10" xr:uid="{00000000-0004-0000-1800-000009000000}"/>
    <hyperlink ref="D31" r:id="rId11" xr:uid="{00000000-0004-0000-1800-00000A000000}"/>
    <hyperlink ref="D32" r:id="rId12" xr:uid="{00000000-0004-0000-1800-00000B000000}"/>
    <hyperlink ref="D37" r:id="rId13" xr:uid="{00000000-0004-0000-1800-00000C000000}"/>
    <hyperlink ref="D38" r:id="rId14" xr:uid="{00000000-0004-0000-1800-00000D000000}"/>
    <hyperlink ref="D39" r:id="rId15" xr:uid="{00000000-0004-0000-1800-00000E000000}"/>
    <hyperlink ref="D44" r:id="rId16" xr:uid="{00000000-0004-0000-1800-00000F000000}"/>
    <hyperlink ref="D45" r:id="rId17" xr:uid="{00000000-0004-0000-1800-000010000000}"/>
    <hyperlink ref="D46" r:id="rId18" xr:uid="{00000000-0004-0000-1800-000011000000}"/>
    <hyperlink ref="D51" r:id="rId19" xr:uid="{00000000-0004-0000-1800-000012000000}"/>
    <hyperlink ref="D52" r:id="rId20" xr:uid="{00000000-0004-0000-1800-000013000000}"/>
    <hyperlink ref="D53" r:id="rId21" xr:uid="{00000000-0004-0000-1800-000014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C27"/>
  <sheetViews>
    <sheetView workbookViewId="0"/>
  </sheetViews>
  <sheetFormatPr baseColWidth="10" defaultColWidth="12.6640625" defaultRowHeight="15" customHeight="1"/>
  <cols>
    <col min="2" max="2" width="19.109375" customWidth="1"/>
    <col min="3" max="3" width="13.88671875" customWidth="1"/>
  </cols>
  <sheetData>
    <row r="1" spans="1:3" ht="15" customHeight="1">
      <c r="A1" s="271"/>
      <c r="B1" s="271"/>
      <c r="C1" s="271"/>
    </row>
    <row r="2" spans="1:3" ht="15" customHeight="1">
      <c r="A2" s="271"/>
      <c r="B2" s="271"/>
      <c r="C2" s="271"/>
    </row>
    <row r="3" spans="1:3" ht="15" customHeight="1">
      <c r="A3" s="271"/>
      <c r="B3" s="322" t="s">
        <v>725</v>
      </c>
      <c r="C3" s="302"/>
    </row>
    <row r="4" spans="1:3" ht="15" customHeight="1">
      <c r="A4" s="271"/>
      <c r="B4" s="272" t="s">
        <v>726</v>
      </c>
      <c r="C4" s="273">
        <v>1750905</v>
      </c>
    </row>
    <row r="5" spans="1:3" ht="15" customHeight="1">
      <c r="A5" s="271"/>
      <c r="B5" s="274" t="s">
        <v>727</v>
      </c>
      <c r="C5" s="275">
        <v>249095</v>
      </c>
    </row>
    <row r="6" spans="1:3" ht="15" customHeight="1">
      <c r="A6" s="271"/>
      <c r="B6" s="276" t="s">
        <v>728</v>
      </c>
      <c r="C6" s="277">
        <v>22761765</v>
      </c>
    </row>
    <row r="7" spans="1:3" ht="15" customHeight="1">
      <c r="A7" s="271"/>
      <c r="B7" s="322" t="s">
        <v>729</v>
      </c>
      <c r="C7" s="302"/>
    </row>
    <row r="8" spans="1:3" ht="15" customHeight="1">
      <c r="A8" s="271"/>
      <c r="B8" s="272" t="s">
        <v>105</v>
      </c>
      <c r="C8" s="278">
        <v>0.02</v>
      </c>
    </row>
    <row r="9" spans="1:3" ht="15" customHeight="1">
      <c r="A9" s="271"/>
      <c r="B9" s="274" t="s">
        <v>106</v>
      </c>
      <c r="C9" s="279">
        <v>0.03</v>
      </c>
    </row>
    <row r="10" spans="1:3" ht="15" customHeight="1">
      <c r="A10" s="271"/>
      <c r="B10" s="280" t="s">
        <v>107</v>
      </c>
      <c r="C10" s="281">
        <v>0.04</v>
      </c>
    </row>
    <row r="11" spans="1:3" ht="15" customHeight="1">
      <c r="A11" s="271"/>
      <c r="B11" s="282" t="s">
        <v>92</v>
      </c>
      <c r="C11" s="283">
        <f>SUM(C8:C10)</f>
        <v>0.09</v>
      </c>
    </row>
    <row r="12" spans="1:3" ht="15" customHeight="1">
      <c r="A12" s="271"/>
      <c r="B12" s="322" t="s">
        <v>108</v>
      </c>
      <c r="C12" s="302"/>
    </row>
    <row r="13" spans="1:3" ht="15" customHeight="1">
      <c r="A13" s="271"/>
      <c r="B13" s="272" t="s">
        <v>109</v>
      </c>
      <c r="C13" s="284">
        <v>8.3299999999999999E-2</v>
      </c>
    </row>
    <row r="14" spans="1:3" ht="15" customHeight="1">
      <c r="A14" s="271"/>
      <c r="B14" s="274" t="s">
        <v>110</v>
      </c>
      <c r="C14" s="285">
        <v>0.01</v>
      </c>
    </row>
    <row r="15" spans="1:3" ht="15" customHeight="1">
      <c r="A15" s="271"/>
      <c r="B15" s="274" t="s">
        <v>111</v>
      </c>
      <c r="C15" s="285">
        <v>8.3299999999999999E-2</v>
      </c>
    </row>
    <row r="16" spans="1:3" ht="15" customHeight="1">
      <c r="A16" s="271"/>
      <c r="B16" s="280" t="s">
        <v>112</v>
      </c>
      <c r="C16" s="286">
        <v>4.1700000000000001E-2</v>
      </c>
    </row>
    <row r="17" spans="1:3" ht="15" customHeight="1">
      <c r="A17" s="271"/>
      <c r="B17" s="282" t="s">
        <v>92</v>
      </c>
      <c r="C17" s="287">
        <f>SUM(C13:C16)</f>
        <v>0.21829999999999999</v>
      </c>
    </row>
    <row r="18" spans="1:3" ht="15" customHeight="1">
      <c r="A18" s="271"/>
      <c r="B18" s="322" t="s">
        <v>113</v>
      </c>
      <c r="C18" s="302"/>
    </row>
    <row r="19" spans="1:3" ht="15" customHeight="1">
      <c r="A19" s="271"/>
      <c r="B19" s="323" t="s">
        <v>79</v>
      </c>
      <c r="C19" s="302"/>
    </row>
    <row r="20" spans="1:3" ht="15" customHeight="1">
      <c r="A20" s="271"/>
      <c r="B20" s="272" t="s">
        <v>91</v>
      </c>
      <c r="C20" s="284">
        <v>8.5000000000000006E-2</v>
      </c>
    </row>
    <row r="21" spans="1:3" ht="15" customHeight="1">
      <c r="A21" s="271"/>
      <c r="B21" s="276" t="s">
        <v>90</v>
      </c>
      <c r="C21" s="288">
        <v>0.04</v>
      </c>
    </row>
    <row r="22" spans="1:3" ht="14.4">
      <c r="A22" s="271"/>
      <c r="B22" s="323" t="s">
        <v>80</v>
      </c>
      <c r="C22" s="302"/>
    </row>
    <row r="23" spans="1:3" ht="14.4">
      <c r="A23" s="271"/>
      <c r="B23" s="272" t="s">
        <v>91</v>
      </c>
      <c r="C23" s="284">
        <v>0.12</v>
      </c>
    </row>
    <row r="24" spans="1:3" ht="14.4">
      <c r="A24" s="271"/>
      <c r="B24" s="274" t="s">
        <v>90</v>
      </c>
      <c r="C24" s="285">
        <v>0.04</v>
      </c>
    </row>
    <row r="25" spans="1:3" ht="14.4">
      <c r="A25" s="271"/>
      <c r="B25" s="289" t="s">
        <v>730</v>
      </c>
      <c r="C25" s="290">
        <f t="shared" ref="C25:C26" si="0">SUM(C20+C23)</f>
        <v>0.20500000000000002</v>
      </c>
    </row>
    <row r="26" spans="1:3" ht="14.4">
      <c r="A26" s="271"/>
      <c r="B26" s="291" t="s">
        <v>731</v>
      </c>
      <c r="C26" s="292">
        <f t="shared" si="0"/>
        <v>0.08</v>
      </c>
    </row>
    <row r="27" spans="1:3" ht="14.4">
      <c r="A27" s="271"/>
      <c r="B27" s="293" t="s">
        <v>101</v>
      </c>
      <c r="C27" s="294">
        <f>SUM(C11+C17+C25)</f>
        <v>0.51330000000000009</v>
      </c>
    </row>
  </sheetData>
  <mergeCells count="6">
    <mergeCell ref="B22:C22"/>
    <mergeCell ref="B3:C3"/>
    <mergeCell ref="B7:C7"/>
    <mergeCell ref="B12:C12"/>
    <mergeCell ref="B18:C18"/>
    <mergeCell ref="B19:C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26</vt:i4>
      </vt:variant>
    </vt:vector>
  </HeadingPairs>
  <TitlesOfParts>
    <vt:vector size="26" baseType="lpstr">
      <vt:lpstr>Portada</vt:lpstr>
      <vt:lpstr>Consolidado</vt:lpstr>
      <vt:lpstr>Gastos de Personal</vt:lpstr>
      <vt:lpstr>Torre admin</vt:lpstr>
      <vt:lpstr>Monitor Admin</vt:lpstr>
      <vt:lpstr>DiscoSolido Admin</vt:lpstr>
      <vt:lpstr>Disco duro interno Admin</vt:lpstr>
      <vt:lpstr>ram Admin</vt:lpstr>
      <vt:lpstr>Servidor Admin</vt:lpstr>
      <vt:lpstr>Teclado Admin</vt:lpstr>
      <vt:lpstr>Mouse Admin</vt:lpstr>
      <vt:lpstr>Portatil Nosotros</vt:lpstr>
      <vt:lpstr>Monitor Nosotros</vt:lpstr>
      <vt:lpstr> Disco mecanico Nosotros</vt:lpstr>
      <vt:lpstr> Servidor Nosotros</vt:lpstr>
      <vt:lpstr> ram nosotros</vt:lpstr>
      <vt:lpstr>Tarjeta de video nosotros</vt:lpstr>
      <vt:lpstr>Procesador Nosotros</vt:lpstr>
      <vt:lpstr>Teclado nosostros </vt:lpstr>
      <vt:lpstr>Mouse nosotros</vt:lpstr>
      <vt:lpstr>software licencia</vt:lpstr>
      <vt:lpstr>licencia visual</vt:lpstr>
      <vt:lpstr>windows 11 licencia</vt:lpstr>
      <vt:lpstr>licencia SQL</vt:lpstr>
      <vt:lpstr>Servicios en la nube</vt:lpstr>
      <vt:lpstr>ParaFiscales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Vanesa Pinzon</cp:lastModifiedBy>
  <dcterms:created xsi:type="dcterms:W3CDTF">2010-11-08T17:12:41Z</dcterms:created>
  <dcterms:modified xsi:type="dcterms:W3CDTF">2026-05-25T14:35:33Z</dcterms:modified>
</cp:coreProperties>
</file>